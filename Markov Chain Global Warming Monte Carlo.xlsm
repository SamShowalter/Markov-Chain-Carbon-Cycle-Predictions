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drawings/drawing12.xml" ContentType="application/vnd.openxmlformats-officedocument.drawing+xml"/>
  <Override PartName="/xl/charts/chart12.xml" ContentType="application/vnd.openxmlformats-officedocument.drawingml.chart+xml"/>
  <Override PartName="/xl/drawings/drawing13.xml" ContentType="application/vnd.openxmlformats-officedocument.drawing+xml"/>
  <Override PartName="/xl/charts/chart13.xml" ContentType="application/vnd.openxmlformats-officedocument.drawingml.chart+xml"/>
  <Override PartName="/xl/drawings/drawing14.xml" ContentType="application/vnd.openxmlformats-officedocument.drawing+xml"/>
  <Override PartName="/xl/charts/chart14.xml" ContentType="application/vnd.openxmlformats-officedocument.drawingml.chart+xml"/>
  <Override PartName="/xl/drawings/drawing15.xml" ContentType="application/vnd.openxmlformats-officedocument.drawing+xml"/>
  <Override PartName="/xl/charts/chart15.xml" ContentType="application/vnd.openxmlformats-officedocument.drawingml.chart+xml"/>
  <Override PartName="/xl/drawings/drawing16.xml" ContentType="application/vnd.openxmlformats-officedocument.drawing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I:\15161-ECON385A\SAMUELSHOWALTER_2018\"/>
    </mc:Choice>
  </mc:AlternateContent>
  <bookViews>
    <workbookView xWindow="0" yWindow="0" windowWidth="15345" windowHeight="4560" tabRatio="500" firstSheet="12" activeTab="15"/>
  </bookViews>
  <sheets>
    <sheet name="Fossil 50 Years" sheetId="2" r:id="rId1"/>
    <sheet name="Terrestrial life 50 years" sheetId="4" r:id="rId2"/>
    <sheet name="Marine Life 50 years" sheetId="6" r:id="rId3"/>
    <sheet name="Atmosphere 50 Years " sheetId="14" r:id="rId4"/>
    <sheet name="Detritus 50 Years" sheetId="16" r:id="rId5"/>
    <sheet name="Detritus  100 yrs" sheetId="17" r:id="rId6"/>
    <sheet name="Terrestrial 100 yrs" sheetId="19" r:id="rId7"/>
    <sheet name="Fossil 100 yrs" sheetId="21" r:id="rId8"/>
    <sheet name="Marine Life 100 yrs" sheetId="23" r:id="rId9"/>
    <sheet name="Atmosphere 100 yrs" sheetId="25" r:id="rId10"/>
    <sheet name="Atmosphere 150 yrs" sheetId="27" r:id="rId11"/>
    <sheet name="Marine Biota 150 yrs" sheetId="29" r:id="rId12"/>
    <sheet name="Fossil 150 yrs" sheetId="31" r:id="rId13"/>
    <sheet name="Terrestrial Life 150 yrs" sheetId="33" r:id="rId14"/>
    <sheet name="Destritus 150 yrs" sheetId="35" r:id="rId15"/>
    <sheet name="MCMC Projection" sheetId="1" r:id="rId16"/>
  </sheets>
  <calcPr calcId="162913" calcMode="manual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Y37" i="1" l="1"/>
  <c r="Y38" i="1"/>
  <c r="Y39" i="1"/>
  <c r="Y40" i="1"/>
  <c r="Y41" i="1"/>
  <c r="Y42" i="1"/>
  <c r="Y43" i="1"/>
  <c r="Y36" i="1"/>
  <c r="X44" i="1"/>
  <c r="X42" i="1"/>
  <c r="X37" i="1"/>
  <c r="X38" i="1"/>
  <c r="X39" i="1"/>
  <c r="X40" i="1"/>
  <c r="X41" i="1"/>
  <c r="X36" i="1"/>
  <c r="W44" i="1"/>
  <c r="W43" i="1"/>
  <c r="W37" i="1"/>
  <c r="W38" i="1"/>
  <c r="W39" i="1"/>
  <c r="W40" i="1"/>
  <c r="W41" i="1"/>
  <c r="W36" i="1"/>
  <c r="V43" i="1"/>
  <c r="V44" i="1"/>
  <c r="V42" i="1"/>
  <c r="V37" i="1"/>
  <c r="V38" i="1"/>
  <c r="V39" i="1"/>
  <c r="V40" i="1"/>
  <c r="V36" i="1"/>
  <c r="U42" i="1"/>
  <c r="U43" i="1"/>
  <c r="U44" i="1"/>
  <c r="U41" i="1"/>
  <c r="U37" i="1"/>
  <c r="U40" i="1" s="1"/>
  <c r="U38" i="1"/>
  <c r="U39" i="1"/>
  <c r="U36" i="1"/>
  <c r="T41" i="1"/>
  <c r="T42" i="1"/>
  <c r="T43" i="1"/>
  <c r="T44" i="1"/>
  <c r="T40" i="1"/>
  <c r="T37" i="1"/>
  <c r="T38" i="1"/>
  <c r="T36" i="1"/>
  <c r="S40" i="1"/>
  <c r="S41" i="1"/>
  <c r="S42" i="1"/>
  <c r="S43" i="1"/>
  <c r="S44" i="1"/>
  <c r="S39" i="1"/>
  <c r="S37" i="1"/>
  <c r="S36" i="1"/>
  <c r="R36" i="1"/>
  <c r="R39" i="1"/>
  <c r="R40" i="1"/>
  <c r="R41" i="1"/>
  <c r="R42" i="1"/>
  <c r="R43" i="1"/>
  <c r="R44" i="1"/>
  <c r="R38" i="1"/>
  <c r="Q38" i="1"/>
  <c r="Q39" i="1"/>
  <c r="Q40" i="1"/>
  <c r="Q41" i="1"/>
  <c r="Q42" i="1"/>
  <c r="Q43" i="1"/>
  <c r="Q44" i="1"/>
  <c r="Q37" i="1"/>
  <c r="Y10" i="1"/>
  <c r="Y11" i="1"/>
  <c r="Y12" i="1"/>
  <c r="Y13" i="1"/>
  <c r="Y14" i="1"/>
  <c r="Y15" i="1"/>
  <c r="Y16" i="1"/>
  <c r="Y9" i="1"/>
  <c r="W17" i="1"/>
  <c r="X17" i="1"/>
  <c r="X10" i="1"/>
  <c r="X11" i="1"/>
  <c r="X12" i="1"/>
  <c r="X13" i="1"/>
  <c r="X14" i="1"/>
  <c r="X15" i="1"/>
  <c r="X9" i="1"/>
  <c r="W10" i="1"/>
  <c r="W9" i="1"/>
  <c r="V16" i="1"/>
  <c r="V17" i="1"/>
  <c r="V15" i="1"/>
  <c r="V10" i="1"/>
  <c r="V11" i="1"/>
  <c r="V12" i="1"/>
  <c r="V13" i="1"/>
  <c r="V9" i="1"/>
  <c r="U15" i="1"/>
  <c r="U16" i="1"/>
  <c r="U17" i="1"/>
  <c r="U14" i="1"/>
  <c r="U10" i="1"/>
  <c r="U11" i="1"/>
  <c r="U12" i="1"/>
  <c r="U9" i="1"/>
  <c r="T14" i="1"/>
  <c r="T15" i="1"/>
  <c r="T16" i="1"/>
  <c r="T17" i="1"/>
  <c r="T13" i="1"/>
  <c r="T10" i="1"/>
  <c r="T11" i="1"/>
  <c r="T9" i="1"/>
  <c r="S13" i="1"/>
  <c r="S14" i="1"/>
  <c r="S15" i="1"/>
  <c r="S16" i="1"/>
  <c r="S17" i="1"/>
  <c r="S12" i="1"/>
  <c r="S10" i="1"/>
  <c r="S9" i="1"/>
  <c r="R12" i="1"/>
  <c r="R13" i="1"/>
  <c r="R14" i="1"/>
  <c r="R15" i="1"/>
  <c r="R16" i="1"/>
  <c r="R17" i="1"/>
  <c r="R11" i="1"/>
  <c r="R9" i="1"/>
  <c r="V41" i="1" l="1"/>
  <c r="R10" i="1"/>
  <c r="S11" i="1"/>
  <c r="Q16" i="1"/>
  <c r="Q13" i="1"/>
  <c r="Q10" i="1"/>
  <c r="Q9" i="1" l="1"/>
  <c r="Q18" i="1" s="1"/>
  <c r="J43" i="1"/>
  <c r="F39" i="1"/>
  <c r="H41" i="1"/>
  <c r="H45" i="1" s="1"/>
  <c r="K44" i="1"/>
  <c r="I42" i="1"/>
  <c r="I45" i="1" s="1"/>
  <c r="D37" i="1"/>
  <c r="E38" i="1"/>
  <c r="E45" i="1" s="1"/>
  <c r="K45" i="1"/>
  <c r="J45" i="1"/>
  <c r="G45" i="1"/>
  <c r="F45" i="1"/>
  <c r="D45" i="1"/>
  <c r="C45" i="1"/>
  <c r="D18" i="1"/>
  <c r="E18" i="1"/>
  <c r="F18" i="1"/>
  <c r="G18" i="1"/>
  <c r="H18" i="1"/>
  <c r="I18" i="1"/>
  <c r="J18" i="1"/>
  <c r="K18" i="1"/>
  <c r="C18" i="1"/>
  <c r="W18" i="1" l="1"/>
  <c r="B24" i="1"/>
  <c r="S18" i="1"/>
  <c r="B28" i="1"/>
  <c r="B23" i="1"/>
  <c r="R18" i="1"/>
  <c r="X16" i="1"/>
  <c r="B29" i="1" s="1"/>
  <c r="U13" i="1"/>
  <c r="B26" i="1" s="1"/>
  <c r="Y17" i="1"/>
  <c r="B30" i="1" s="1"/>
  <c r="X43" i="1"/>
  <c r="B56" i="1" s="1"/>
  <c r="T12" i="1"/>
  <c r="B25" i="1" s="1"/>
  <c r="V14" i="1"/>
  <c r="B27" i="1" s="1"/>
  <c r="T18" i="1"/>
  <c r="T39" i="1"/>
  <c r="B52" i="1" s="1"/>
  <c r="B54" i="1"/>
  <c r="V45" i="1"/>
  <c r="R37" i="1"/>
  <c r="B50" i="1" s="1"/>
  <c r="B53" i="1"/>
  <c r="S38" i="1"/>
  <c r="B51" i="1" s="1"/>
  <c r="Y44" i="1"/>
  <c r="B57" i="1" s="1"/>
  <c r="W42" i="1"/>
  <c r="B55" i="1" s="1"/>
  <c r="U45" i="1"/>
  <c r="Q36" i="1"/>
  <c r="Y45" i="1" l="1"/>
  <c r="X45" i="1"/>
  <c r="S45" i="1"/>
  <c r="W45" i="1"/>
  <c r="T45" i="1"/>
  <c r="R45" i="1"/>
  <c r="U18" i="1"/>
  <c r="Y18" i="1"/>
  <c r="X18" i="1"/>
  <c r="V18" i="1"/>
  <c r="B49" i="1"/>
  <c r="Q45" i="1"/>
  <c r="B22" i="1"/>
  <c r="C23" i="1" l="1"/>
  <c r="C25" i="1"/>
  <c r="C27" i="1"/>
  <c r="C29" i="1"/>
  <c r="C24" i="1"/>
  <c r="C28" i="1"/>
  <c r="C22" i="1"/>
  <c r="C26" i="1"/>
  <c r="C30" i="1"/>
  <c r="C49" i="1"/>
  <c r="C51" i="1"/>
  <c r="C53" i="1"/>
  <c r="C55" i="1"/>
  <c r="C57" i="1"/>
  <c r="C52" i="1"/>
  <c r="C56" i="1"/>
  <c r="C50" i="1"/>
  <c r="C54" i="1"/>
  <c r="D50" i="1" l="1"/>
  <c r="D52" i="1"/>
  <c r="D54" i="1"/>
  <c r="D56" i="1"/>
  <c r="D51" i="1"/>
  <c r="D55" i="1"/>
  <c r="D49" i="1"/>
  <c r="D57" i="1"/>
  <c r="D53" i="1"/>
  <c r="D22" i="1"/>
  <c r="D24" i="1"/>
  <c r="D26" i="1"/>
  <c r="D28" i="1"/>
  <c r="D30" i="1"/>
  <c r="D23" i="1"/>
  <c r="D27" i="1"/>
  <c r="D25" i="1"/>
  <c r="D29" i="1"/>
  <c r="E23" i="1" l="1"/>
  <c r="E25" i="1"/>
  <c r="E27" i="1"/>
  <c r="E29" i="1"/>
  <c r="E22" i="1"/>
  <c r="E26" i="1"/>
  <c r="E30" i="1"/>
  <c r="E24" i="1"/>
  <c r="E28" i="1"/>
  <c r="E49" i="1"/>
  <c r="E51" i="1"/>
  <c r="E53" i="1"/>
  <c r="E55" i="1"/>
  <c r="E57" i="1"/>
  <c r="E50" i="1"/>
  <c r="E54" i="1"/>
  <c r="E56" i="1"/>
  <c r="E52" i="1"/>
  <c r="F50" i="1" l="1"/>
  <c r="F52" i="1"/>
  <c r="F54" i="1"/>
  <c r="F56" i="1"/>
  <c r="F49" i="1"/>
  <c r="F53" i="1"/>
  <c r="F57" i="1"/>
  <c r="F55" i="1"/>
  <c r="F51" i="1"/>
  <c r="F22" i="1"/>
  <c r="F24" i="1"/>
  <c r="F26" i="1"/>
  <c r="F28" i="1"/>
  <c r="F30" i="1"/>
  <c r="F25" i="1"/>
  <c r="F29" i="1"/>
  <c r="F23" i="1"/>
  <c r="F27" i="1"/>
  <c r="G23" i="1" l="1"/>
  <c r="G25" i="1"/>
  <c r="G27" i="1"/>
  <c r="G29" i="1"/>
  <c r="G24" i="1"/>
  <c r="G28" i="1"/>
  <c r="G22" i="1"/>
  <c r="G26" i="1"/>
  <c r="G30" i="1"/>
  <c r="G49" i="1"/>
  <c r="G51" i="1"/>
  <c r="G53" i="1"/>
  <c r="G55" i="1"/>
  <c r="G57" i="1"/>
  <c r="G52" i="1"/>
  <c r="G56" i="1"/>
  <c r="G54" i="1"/>
  <c r="G50" i="1"/>
  <c r="H50" i="1" l="1"/>
  <c r="H52" i="1"/>
  <c r="H54" i="1"/>
  <c r="H56" i="1"/>
  <c r="H51" i="1"/>
  <c r="H55" i="1"/>
  <c r="H53" i="1"/>
  <c r="H49" i="1"/>
  <c r="H57" i="1"/>
  <c r="H22" i="1"/>
  <c r="H24" i="1"/>
  <c r="H26" i="1"/>
  <c r="H28" i="1"/>
  <c r="H30" i="1"/>
  <c r="H23" i="1"/>
  <c r="H27" i="1"/>
  <c r="H25" i="1"/>
  <c r="H29" i="1"/>
  <c r="I23" i="1" l="1"/>
  <c r="I25" i="1"/>
  <c r="I27" i="1"/>
  <c r="I29" i="1"/>
  <c r="I22" i="1"/>
  <c r="I26" i="1"/>
  <c r="I30" i="1"/>
  <c r="I24" i="1"/>
  <c r="I28" i="1"/>
  <c r="I49" i="1"/>
  <c r="I51" i="1"/>
  <c r="I53" i="1"/>
  <c r="I55" i="1"/>
  <c r="I57" i="1"/>
  <c r="I50" i="1"/>
  <c r="I54" i="1"/>
  <c r="I52" i="1"/>
  <c r="I56" i="1"/>
  <c r="J50" i="1" l="1"/>
  <c r="J52" i="1"/>
  <c r="J54" i="1"/>
  <c r="J56" i="1"/>
  <c r="J49" i="1"/>
  <c r="J53" i="1"/>
  <c r="J57" i="1"/>
  <c r="J51" i="1"/>
  <c r="J55" i="1"/>
  <c r="J22" i="1"/>
  <c r="J24" i="1"/>
  <c r="J26" i="1"/>
  <c r="J28" i="1"/>
  <c r="J30" i="1"/>
  <c r="J25" i="1"/>
  <c r="J29" i="1"/>
  <c r="J23" i="1"/>
  <c r="J27" i="1"/>
  <c r="K23" i="1" l="1"/>
  <c r="K25" i="1"/>
  <c r="K27" i="1"/>
  <c r="K29" i="1"/>
  <c r="K24" i="1"/>
  <c r="K28" i="1"/>
  <c r="K22" i="1"/>
  <c r="K26" i="1"/>
  <c r="K30" i="1"/>
  <c r="K49" i="1"/>
  <c r="K51" i="1"/>
  <c r="K53" i="1"/>
  <c r="K55" i="1"/>
  <c r="K57" i="1"/>
  <c r="K52" i="1"/>
  <c r="K56" i="1"/>
  <c r="K50" i="1"/>
  <c r="K54" i="1"/>
  <c r="L50" i="1" l="1"/>
  <c r="L52" i="1"/>
  <c r="L54" i="1"/>
  <c r="L56" i="1"/>
  <c r="L51" i="1"/>
  <c r="L55" i="1"/>
  <c r="L49" i="1"/>
  <c r="L57" i="1"/>
  <c r="L53" i="1"/>
  <c r="L22" i="1"/>
  <c r="L24" i="1"/>
  <c r="L26" i="1"/>
  <c r="L28" i="1"/>
  <c r="L30" i="1"/>
  <c r="L23" i="1"/>
  <c r="L27" i="1"/>
  <c r="L25" i="1"/>
  <c r="L29" i="1"/>
  <c r="M23" i="1" l="1"/>
  <c r="M25" i="1"/>
  <c r="M27" i="1"/>
  <c r="M29" i="1"/>
  <c r="M22" i="1"/>
  <c r="M26" i="1"/>
  <c r="M30" i="1"/>
  <c r="M24" i="1"/>
  <c r="M28" i="1"/>
  <c r="M49" i="1"/>
  <c r="M51" i="1"/>
  <c r="M53" i="1"/>
  <c r="M55" i="1"/>
  <c r="M57" i="1"/>
  <c r="M50" i="1"/>
  <c r="M54" i="1"/>
  <c r="M56" i="1"/>
  <c r="M52" i="1"/>
  <c r="N50" i="1" l="1"/>
  <c r="N52" i="1"/>
  <c r="N49" i="1"/>
  <c r="N53" i="1"/>
  <c r="N55" i="1"/>
  <c r="N57" i="1"/>
  <c r="N54" i="1"/>
  <c r="N56" i="1"/>
  <c r="N51" i="1"/>
  <c r="N22" i="1"/>
  <c r="N24" i="1"/>
  <c r="N26" i="1"/>
  <c r="N28" i="1"/>
  <c r="N30" i="1"/>
  <c r="N25" i="1"/>
  <c r="N29" i="1"/>
  <c r="N23" i="1"/>
  <c r="N27" i="1"/>
  <c r="O23" i="1" l="1"/>
  <c r="O25" i="1"/>
  <c r="O27" i="1"/>
  <c r="O29" i="1"/>
  <c r="O24" i="1"/>
  <c r="O28" i="1"/>
  <c r="O22" i="1"/>
  <c r="O26" i="1"/>
  <c r="O30" i="1"/>
  <c r="O50" i="1"/>
  <c r="O52" i="1"/>
  <c r="O54" i="1"/>
  <c r="O56" i="1"/>
  <c r="O49" i="1"/>
  <c r="O53" i="1"/>
  <c r="O57" i="1"/>
  <c r="O55" i="1"/>
  <c r="O51" i="1"/>
  <c r="P49" i="1" l="1"/>
  <c r="P51" i="1"/>
  <c r="P53" i="1"/>
  <c r="P55" i="1"/>
  <c r="P57" i="1"/>
  <c r="P52" i="1"/>
  <c r="P56" i="1"/>
  <c r="P54" i="1"/>
  <c r="P50" i="1"/>
  <c r="P22" i="1"/>
  <c r="P24" i="1"/>
  <c r="P26" i="1"/>
  <c r="P28" i="1"/>
  <c r="P30" i="1"/>
  <c r="P23" i="1"/>
  <c r="P27" i="1"/>
  <c r="P25" i="1"/>
  <c r="P29" i="1"/>
  <c r="Q23" i="1" l="1"/>
  <c r="Q25" i="1"/>
  <c r="Q27" i="1"/>
  <c r="Q29" i="1"/>
  <c r="Q22" i="1"/>
  <c r="Q26" i="1"/>
  <c r="Q30" i="1"/>
  <c r="Q24" i="1"/>
  <c r="Q28" i="1"/>
  <c r="Q50" i="1"/>
  <c r="Q52" i="1"/>
  <c r="Q54" i="1"/>
  <c r="Q56" i="1"/>
  <c r="Q51" i="1"/>
  <c r="Q55" i="1"/>
  <c r="Q53" i="1"/>
  <c r="Q49" i="1"/>
  <c r="Q57" i="1"/>
  <c r="R49" i="1" l="1"/>
  <c r="R51" i="1"/>
  <c r="R53" i="1"/>
  <c r="R55" i="1"/>
  <c r="R57" i="1"/>
  <c r="R50" i="1"/>
  <c r="R54" i="1"/>
  <c r="R52" i="1"/>
  <c r="R56" i="1"/>
  <c r="R22" i="1"/>
  <c r="R24" i="1"/>
  <c r="R26" i="1"/>
  <c r="R28" i="1"/>
  <c r="R30" i="1"/>
  <c r="R25" i="1"/>
  <c r="R29" i="1"/>
  <c r="R23" i="1"/>
  <c r="R27" i="1"/>
  <c r="S23" i="1" l="1"/>
  <c r="S25" i="1"/>
  <c r="S27" i="1"/>
  <c r="S29" i="1"/>
  <c r="S24" i="1"/>
  <c r="S28" i="1"/>
  <c r="S22" i="1"/>
  <c r="S26" i="1"/>
  <c r="S30" i="1"/>
  <c r="S50" i="1"/>
  <c r="S52" i="1"/>
  <c r="S54" i="1"/>
  <c r="S56" i="1"/>
  <c r="S49" i="1"/>
  <c r="S53" i="1"/>
  <c r="S57" i="1"/>
  <c r="S51" i="1"/>
  <c r="S55" i="1"/>
  <c r="T49" i="1" l="1"/>
  <c r="T51" i="1"/>
  <c r="T53" i="1"/>
  <c r="T55" i="1"/>
  <c r="T57" i="1"/>
  <c r="T52" i="1"/>
  <c r="T56" i="1"/>
  <c r="T50" i="1"/>
  <c r="T54" i="1"/>
  <c r="T22" i="1"/>
  <c r="T24" i="1"/>
  <c r="T26" i="1"/>
  <c r="T28" i="1"/>
  <c r="T30" i="1"/>
  <c r="T23" i="1"/>
  <c r="T27" i="1"/>
  <c r="T25" i="1"/>
  <c r="T29" i="1"/>
  <c r="U23" i="1" l="1"/>
  <c r="U25" i="1"/>
  <c r="U27" i="1"/>
  <c r="U29" i="1"/>
  <c r="U22" i="1"/>
  <c r="U26" i="1"/>
  <c r="U30" i="1"/>
  <c r="U24" i="1"/>
  <c r="U28" i="1"/>
  <c r="U50" i="1"/>
  <c r="U52" i="1"/>
  <c r="U54" i="1"/>
  <c r="U56" i="1"/>
  <c r="U51" i="1"/>
  <c r="U55" i="1"/>
  <c r="U49" i="1"/>
  <c r="U57" i="1"/>
  <c r="U53" i="1"/>
  <c r="V49" i="1" l="1"/>
  <c r="V51" i="1"/>
  <c r="V53" i="1"/>
  <c r="V55" i="1"/>
  <c r="V57" i="1"/>
  <c r="V50" i="1"/>
  <c r="V54" i="1"/>
  <c r="V56" i="1"/>
  <c r="V52" i="1"/>
  <c r="V22" i="1"/>
  <c r="V24" i="1"/>
  <c r="V26" i="1"/>
  <c r="V28" i="1"/>
  <c r="V30" i="1"/>
  <c r="V25" i="1"/>
  <c r="V29" i="1"/>
  <c r="V23" i="1"/>
  <c r="V27" i="1"/>
  <c r="W23" i="1" l="1"/>
  <c r="W25" i="1"/>
  <c r="W27" i="1"/>
  <c r="W29" i="1"/>
  <c r="W24" i="1"/>
  <c r="W28" i="1"/>
  <c r="W22" i="1"/>
  <c r="W26" i="1"/>
  <c r="W30" i="1"/>
  <c r="W50" i="1"/>
  <c r="W52" i="1"/>
  <c r="W54" i="1"/>
  <c r="W56" i="1"/>
  <c r="W49" i="1"/>
  <c r="W53" i="1"/>
  <c r="W57" i="1"/>
  <c r="W55" i="1"/>
  <c r="W51" i="1"/>
  <c r="X49" i="1" l="1"/>
  <c r="X51" i="1"/>
  <c r="X53" i="1"/>
  <c r="X55" i="1"/>
  <c r="X57" i="1"/>
  <c r="X52" i="1"/>
  <c r="X56" i="1"/>
  <c r="X54" i="1"/>
  <c r="X50" i="1"/>
  <c r="X22" i="1"/>
  <c r="X24" i="1"/>
  <c r="X26" i="1"/>
  <c r="X28" i="1"/>
  <c r="X30" i="1"/>
  <c r="X23" i="1"/>
  <c r="X27" i="1"/>
  <c r="X25" i="1"/>
  <c r="X29" i="1"/>
  <c r="Y23" i="1" l="1"/>
  <c r="Y25" i="1"/>
  <c r="Y27" i="1"/>
  <c r="Y29" i="1"/>
  <c r="Y22" i="1"/>
  <c r="Y26" i="1"/>
  <c r="Y30" i="1"/>
  <c r="Y24" i="1"/>
  <c r="Y28" i="1"/>
  <c r="Y50" i="1"/>
  <c r="Y52" i="1"/>
  <c r="Y54" i="1"/>
  <c r="Y56" i="1"/>
  <c r="Y51" i="1"/>
  <c r="Y55" i="1"/>
  <c r="Y53" i="1"/>
  <c r="Y57" i="1"/>
  <c r="Y49" i="1"/>
  <c r="Z49" i="1" l="1"/>
  <c r="Z51" i="1"/>
  <c r="Z53" i="1"/>
  <c r="Z55" i="1"/>
  <c r="Z57" i="1"/>
  <c r="Z50" i="1"/>
  <c r="Z54" i="1"/>
  <c r="Z52" i="1"/>
  <c r="Z56" i="1"/>
  <c r="Z22" i="1"/>
  <c r="Z24" i="1"/>
  <c r="Z26" i="1"/>
  <c r="Z28" i="1"/>
  <c r="Z30" i="1"/>
  <c r="Z25" i="1"/>
  <c r="Z29" i="1"/>
  <c r="Z23" i="1"/>
  <c r="Z27" i="1"/>
  <c r="AA23" i="1" l="1"/>
  <c r="AA25" i="1"/>
  <c r="AA27" i="1"/>
  <c r="AA29" i="1"/>
  <c r="AA24" i="1"/>
  <c r="AA28" i="1"/>
  <c r="AA22" i="1"/>
  <c r="AA26" i="1"/>
  <c r="AA30" i="1"/>
  <c r="AA50" i="1"/>
  <c r="AA52" i="1"/>
  <c r="AA54" i="1"/>
  <c r="AA56" i="1"/>
  <c r="AA49" i="1"/>
  <c r="AA53" i="1"/>
  <c r="AA57" i="1"/>
  <c r="AA51" i="1"/>
  <c r="AA55" i="1"/>
  <c r="AB49" i="1" l="1"/>
  <c r="AB51" i="1"/>
  <c r="AB53" i="1"/>
  <c r="AB55" i="1"/>
  <c r="AB57" i="1"/>
  <c r="AB52" i="1"/>
  <c r="AB56" i="1"/>
  <c r="AB50" i="1"/>
  <c r="AB54" i="1"/>
  <c r="AB22" i="1"/>
  <c r="AB24" i="1"/>
  <c r="AB26" i="1"/>
  <c r="AB28" i="1"/>
  <c r="AB30" i="1"/>
  <c r="AB23" i="1"/>
  <c r="AB27" i="1"/>
  <c r="AB25" i="1"/>
  <c r="AB29" i="1"/>
  <c r="AC23" i="1" l="1"/>
  <c r="AC25" i="1"/>
  <c r="AC27" i="1"/>
  <c r="AC29" i="1"/>
  <c r="AC22" i="1"/>
  <c r="AC26" i="1"/>
  <c r="AC30" i="1"/>
  <c r="AC24" i="1"/>
  <c r="AC28" i="1"/>
  <c r="AC50" i="1"/>
  <c r="AC52" i="1"/>
  <c r="AC54" i="1"/>
  <c r="AC56" i="1"/>
  <c r="AC51" i="1"/>
  <c r="AC55" i="1"/>
  <c r="AC49" i="1"/>
  <c r="AC57" i="1"/>
  <c r="AC53" i="1"/>
  <c r="AD49" i="1" l="1"/>
  <c r="AD51" i="1"/>
  <c r="AD53" i="1"/>
  <c r="AD55" i="1"/>
  <c r="AD57" i="1"/>
  <c r="AD50" i="1"/>
  <c r="AD54" i="1"/>
  <c r="AD56" i="1"/>
  <c r="AD52" i="1"/>
  <c r="AD22" i="1"/>
  <c r="AD24" i="1"/>
  <c r="AD26" i="1"/>
  <c r="AD28" i="1"/>
  <c r="AD30" i="1"/>
  <c r="AD25" i="1"/>
  <c r="AD29" i="1"/>
  <c r="AD23" i="1"/>
  <c r="AD27" i="1"/>
  <c r="AE23" i="1" l="1"/>
  <c r="AE25" i="1"/>
  <c r="AE27" i="1"/>
  <c r="AE29" i="1"/>
  <c r="AE24" i="1"/>
  <c r="AE28" i="1"/>
  <c r="AE22" i="1"/>
  <c r="AE26" i="1"/>
  <c r="AE30" i="1"/>
  <c r="AE50" i="1"/>
  <c r="AE52" i="1"/>
  <c r="AE54" i="1"/>
  <c r="AE56" i="1"/>
  <c r="AE49" i="1"/>
  <c r="AE53" i="1"/>
  <c r="AE57" i="1"/>
  <c r="AE55" i="1"/>
  <c r="AE51" i="1"/>
  <c r="AF49" i="1" l="1"/>
  <c r="AF51" i="1"/>
  <c r="AF53" i="1"/>
  <c r="AF55" i="1"/>
  <c r="AF57" i="1"/>
  <c r="AF52" i="1"/>
  <c r="AF56" i="1"/>
  <c r="AF54" i="1"/>
  <c r="AF50" i="1"/>
  <c r="AF22" i="1"/>
  <c r="AF24" i="1"/>
  <c r="AF26" i="1"/>
  <c r="AF28" i="1"/>
  <c r="AF30" i="1"/>
  <c r="AF23" i="1"/>
  <c r="AF27" i="1"/>
  <c r="AF25" i="1"/>
  <c r="AF29" i="1"/>
  <c r="AG23" i="1" l="1"/>
  <c r="AG25" i="1"/>
  <c r="AG27" i="1"/>
  <c r="AG29" i="1"/>
  <c r="AG22" i="1"/>
  <c r="AG26" i="1"/>
  <c r="AG30" i="1"/>
  <c r="AG24" i="1"/>
  <c r="AG28" i="1"/>
  <c r="AG50" i="1"/>
  <c r="AG52" i="1"/>
  <c r="AG54" i="1"/>
  <c r="AG56" i="1"/>
  <c r="AG51" i="1"/>
  <c r="AG55" i="1"/>
  <c r="AG53" i="1"/>
  <c r="AG49" i="1"/>
  <c r="AG57" i="1"/>
  <c r="AH49" i="1" l="1"/>
  <c r="AH51" i="1"/>
  <c r="AH53" i="1"/>
  <c r="AH55" i="1"/>
  <c r="AH57" i="1"/>
  <c r="AH50" i="1"/>
  <c r="AH54" i="1"/>
  <c r="AH52" i="1"/>
  <c r="AH56" i="1"/>
  <c r="AH22" i="1"/>
  <c r="AH24" i="1"/>
  <c r="AH26" i="1"/>
  <c r="AH28" i="1"/>
  <c r="AH30" i="1"/>
  <c r="AH25" i="1"/>
  <c r="AH29" i="1"/>
  <c r="AH23" i="1"/>
  <c r="AH27" i="1"/>
  <c r="AI23" i="1" l="1"/>
  <c r="AI25" i="1"/>
  <c r="AI27" i="1"/>
  <c r="AI29" i="1"/>
  <c r="AI24" i="1"/>
  <c r="AI28" i="1"/>
  <c r="AI22" i="1"/>
  <c r="AI26" i="1"/>
  <c r="AI30" i="1"/>
  <c r="AI50" i="1"/>
  <c r="AI52" i="1"/>
  <c r="AI54" i="1"/>
  <c r="AI56" i="1"/>
  <c r="AI49" i="1"/>
  <c r="AI53" i="1"/>
  <c r="AI57" i="1"/>
  <c r="AI51" i="1"/>
  <c r="AI55" i="1"/>
  <c r="AJ49" i="1" l="1"/>
  <c r="AJ51" i="1"/>
  <c r="AJ53" i="1"/>
  <c r="AJ55" i="1"/>
  <c r="AJ57" i="1"/>
  <c r="AJ52" i="1"/>
  <c r="AJ56" i="1"/>
  <c r="AJ50" i="1"/>
  <c r="AJ54" i="1"/>
  <c r="AJ22" i="1"/>
  <c r="AJ24" i="1"/>
  <c r="AJ26" i="1"/>
  <c r="AJ28" i="1"/>
  <c r="AJ30" i="1"/>
  <c r="AJ23" i="1"/>
  <c r="AJ27" i="1"/>
  <c r="AJ25" i="1"/>
  <c r="AJ29" i="1"/>
  <c r="AK23" i="1" l="1"/>
  <c r="AK25" i="1"/>
  <c r="AK27" i="1"/>
  <c r="AK29" i="1"/>
  <c r="AK22" i="1"/>
  <c r="AK26" i="1"/>
  <c r="AK30" i="1"/>
  <c r="AK24" i="1"/>
  <c r="AK28" i="1"/>
  <c r="AK50" i="1"/>
  <c r="AK52" i="1"/>
  <c r="AK54" i="1"/>
  <c r="AK56" i="1"/>
  <c r="AK51" i="1"/>
  <c r="AK55" i="1"/>
  <c r="AK49" i="1"/>
  <c r="AK57" i="1"/>
  <c r="AK53" i="1"/>
  <c r="AL49" i="1" l="1"/>
  <c r="AL51" i="1"/>
  <c r="AL53" i="1"/>
  <c r="AL55" i="1"/>
  <c r="AL57" i="1"/>
  <c r="AL50" i="1"/>
  <c r="AL54" i="1"/>
  <c r="AL56" i="1"/>
  <c r="AL52" i="1"/>
  <c r="AL22" i="1"/>
  <c r="AL24" i="1"/>
  <c r="AL26" i="1"/>
  <c r="AL28" i="1"/>
  <c r="AL30" i="1"/>
  <c r="AL25" i="1"/>
  <c r="AL29" i="1"/>
  <c r="AL23" i="1"/>
  <c r="AL27" i="1"/>
  <c r="AM23" i="1" l="1"/>
  <c r="AM25" i="1"/>
  <c r="AM27" i="1"/>
  <c r="AM29" i="1"/>
  <c r="AM24" i="1"/>
  <c r="AM28" i="1"/>
  <c r="AM22" i="1"/>
  <c r="AM26" i="1"/>
  <c r="AM30" i="1"/>
  <c r="AM50" i="1"/>
  <c r="AM52" i="1"/>
  <c r="AM54" i="1"/>
  <c r="AM56" i="1"/>
  <c r="AM49" i="1"/>
  <c r="AM53" i="1"/>
  <c r="AM57" i="1"/>
  <c r="AM55" i="1"/>
  <c r="AM51" i="1"/>
  <c r="AN49" i="1" l="1"/>
  <c r="AN51" i="1"/>
  <c r="AN53" i="1"/>
  <c r="AN55" i="1"/>
  <c r="AN57" i="1"/>
  <c r="AN52" i="1"/>
  <c r="AN56" i="1"/>
  <c r="AN54" i="1"/>
  <c r="AN50" i="1"/>
  <c r="AN22" i="1"/>
  <c r="AN24" i="1"/>
  <c r="AN26" i="1"/>
  <c r="AN28" i="1"/>
  <c r="AN30" i="1"/>
  <c r="AN23" i="1"/>
  <c r="AN27" i="1"/>
  <c r="AN25" i="1"/>
  <c r="AN29" i="1"/>
  <c r="AO23" i="1" l="1"/>
  <c r="AO25" i="1"/>
  <c r="AO27" i="1"/>
  <c r="AO29" i="1"/>
  <c r="AO22" i="1"/>
  <c r="AO26" i="1"/>
  <c r="AO30" i="1"/>
  <c r="AO24" i="1"/>
  <c r="AO28" i="1"/>
  <c r="AO50" i="1"/>
  <c r="AO52" i="1"/>
  <c r="AO54" i="1"/>
  <c r="AO56" i="1"/>
  <c r="AO51" i="1"/>
  <c r="AO55" i="1"/>
  <c r="AO53" i="1"/>
  <c r="AO57" i="1"/>
  <c r="AO49" i="1"/>
  <c r="AP49" i="1" l="1"/>
  <c r="AP51" i="1"/>
  <c r="AP53" i="1"/>
  <c r="AP55" i="1"/>
  <c r="AP50" i="1"/>
  <c r="AP54" i="1"/>
  <c r="AP57" i="1"/>
  <c r="AP52" i="1"/>
  <c r="AP56" i="1"/>
  <c r="AP22" i="1"/>
  <c r="AP24" i="1"/>
  <c r="AP26" i="1"/>
  <c r="AP28" i="1"/>
  <c r="AP30" i="1"/>
  <c r="AP25" i="1"/>
  <c r="AP29" i="1"/>
  <c r="AP23" i="1"/>
  <c r="AP27" i="1"/>
  <c r="AQ23" i="1" l="1"/>
  <c r="AQ25" i="1"/>
  <c r="AQ27" i="1"/>
  <c r="AQ29" i="1"/>
  <c r="AQ24" i="1"/>
  <c r="AQ28" i="1"/>
  <c r="AQ22" i="1"/>
  <c r="AQ26" i="1"/>
  <c r="AQ30" i="1"/>
  <c r="AQ50" i="1"/>
  <c r="AQ52" i="1"/>
  <c r="AQ54" i="1"/>
  <c r="AQ56" i="1"/>
  <c r="AQ49" i="1"/>
  <c r="AQ53" i="1"/>
  <c r="AQ57" i="1"/>
  <c r="AQ51" i="1"/>
  <c r="AQ55" i="1"/>
  <c r="AR49" i="1" l="1"/>
  <c r="AR51" i="1"/>
  <c r="AR53" i="1"/>
  <c r="AR55" i="1"/>
  <c r="AR57" i="1"/>
  <c r="AR52" i="1"/>
  <c r="AR56" i="1"/>
  <c r="AR50" i="1"/>
  <c r="AR54" i="1"/>
  <c r="AR22" i="1"/>
  <c r="AR24" i="1"/>
  <c r="AR26" i="1"/>
  <c r="AR28" i="1"/>
  <c r="AR30" i="1"/>
  <c r="AR23" i="1"/>
  <c r="AR27" i="1"/>
  <c r="AR25" i="1"/>
  <c r="AR29" i="1"/>
  <c r="AS23" i="1" l="1"/>
  <c r="AS25" i="1"/>
  <c r="AS27" i="1"/>
  <c r="AS29" i="1"/>
  <c r="AS22" i="1"/>
  <c r="AS26" i="1"/>
  <c r="AS30" i="1"/>
  <c r="AS24" i="1"/>
  <c r="AS28" i="1"/>
  <c r="AS50" i="1"/>
  <c r="AS52" i="1"/>
  <c r="AS54" i="1"/>
  <c r="AS56" i="1"/>
  <c r="AS51" i="1"/>
  <c r="AS55" i="1"/>
  <c r="AS49" i="1"/>
  <c r="AS57" i="1"/>
  <c r="AS53" i="1"/>
  <c r="AT49" i="1" l="1"/>
  <c r="AT51" i="1"/>
  <c r="AT53" i="1"/>
  <c r="AT55" i="1"/>
  <c r="AT57" i="1"/>
  <c r="AT50" i="1"/>
  <c r="AT54" i="1"/>
  <c r="AT56" i="1"/>
  <c r="AT52" i="1"/>
  <c r="AT22" i="1"/>
  <c r="AT24" i="1"/>
  <c r="AT26" i="1"/>
  <c r="AT28" i="1"/>
  <c r="AT30" i="1"/>
  <c r="AT25" i="1"/>
  <c r="AT29" i="1"/>
  <c r="AT23" i="1"/>
  <c r="AT27" i="1"/>
  <c r="AU23" i="1" l="1"/>
  <c r="AU25" i="1"/>
  <c r="AU27" i="1"/>
  <c r="AU29" i="1"/>
  <c r="AU24" i="1"/>
  <c r="AU28" i="1"/>
  <c r="AU22" i="1"/>
  <c r="AU26" i="1"/>
  <c r="AU30" i="1"/>
  <c r="AU50" i="1"/>
  <c r="AU52" i="1"/>
  <c r="AU54" i="1"/>
  <c r="AU56" i="1"/>
  <c r="AU49" i="1"/>
  <c r="AU53" i="1"/>
  <c r="AU57" i="1"/>
  <c r="AU55" i="1"/>
  <c r="AU51" i="1"/>
  <c r="AV49" i="1" l="1"/>
  <c r="AV51" i="1"/>
  <c r="AV53" i="1"/>
  <c r="AV55" i="1"/>
  <c r="AV57" i="1"/>
  <c r="AV52" i="1"/>
  <c r="AV56" i="1"/>
  <c r="AV54" i="1"/>
  <c r="AV50" i="1"/>
  <c r="AV22" i="1"/>
  <c r="AV24" i="1"/>
  <c r="AV26" i="1"/>
  <c r="AV28" i="1"/>
  <c r="AV30" i="1"/>
  <c r="AV23" i="1"/>
  <c r="AV27" i="1"/>
  <c r="AV25" i="1"/>
  <c r="AV29" i="1"/>
  <c r="AW23" i="1" l="1"/>
  <c r="AW25" i="1"/>
  <c r="AW27" i="1"/>
  <c r="AW29" i="1"/>
  <c r="AW22" i="1"/>
  <c r="AW26" i="1"/>
  <c r="AW30" i="1"/>
  <c r="AW24" i="1"/>
  <c r="AW28" i="1"/>
  <c r="AW50" i="1"/>
  <c r="AW52" i="1"/>
  <c r="AW54" i="1"/>
  <c r="AW56" i="1"/>
  <c r="AW51" i="1"/>
  <c r="AW55" i="1"/>
  <c r="AW53" i="1"/>
  <c r="AW49" i="1"/>
  <c r="AW57" i="1"/>
  <c r="AX49" i="1" l="1"/>
  <c r="AX51" i="1"/>
  <c r="AX53" i="1"/>
  <c r="AX55" i="1"/>
  <c r="AX57" i="1"/>
  <c r="AX50" i="1"/>
  <c r="AX54" i="1"/>
  <c r="AX52" i="1"/>
  <c r="AX56" i="1"/>
  <c r="AX22" i="1"/>
  <c r="AX24" i="1"/>
  <c r="AX26" i="1"/>
  <c r="AX28" i="1"/>
  <c r="AX30" i="1"/>
  <c r="AX25" i="1"/>
  <c r="AX29" i="1"/>
  <c r="AX23" i="1"/>
  <c r="AX27" i="1"/>
  <c r="AY23" i="1" l="1"/>
  <c r="AY25" i="1"/>
  <c r="AY27" i="1"/>
  <c r="AY29" i="1"/>
  <c r="AY24" i="1"/>
  <c r="AY28" i="1"/>
  <c r="AY22" i="1"/>
  <c r="AY26" i="1"/>
  <c r="AY30" i="1"/>
  <c r="AY50" i="1"/>
  <c r="AY52" i="1"/>
  <c r="AY54" i="1"/>
  <c r="AY56" i="1"/>
  <c r="AY49" i="1"/>
  <c r="AY53" i="1"/>
  <c r="AY57" i="1"/>
  <c r="AY51" i="1"/>
  <c r="AY55" i="1"/>
  <c r="AZ49" i="1" l="1"/>
  <c r="AZ51" i="1"/>
  <c r="AZ53" i="1"/>
  <c r="AZ55" i="1"/>
  <c r="AZ57" i="1"/>
  <c r="AZ52" i="1"/>
  <c r="AZ56" i="1"/>
  <c r="AZ50" i="1"/>
  <c r="AZ54" i="1"/>
  <c r="AZ22" i="1"/>
  <c r="AZ24" i="1"/>
  <c r="AZ26" i="1"/>
  <c r="AZ28" i="1"/>
  <c r="AZ30" i="1"/>
  <c r="AZ23" i="1"/>
  <c r="AZ27" i="1"/>
  <c r="AZ25" i="1"/>
  <c r="AZ29" i="1"/>
  <c r="BA23" i="1" l="1"/>
  <c r="BA25" i="1"/>
  <c r="BA27" i="1"/>
  <c r="BA29" i="1"/>
  <c r="BA22" i="1"/>
  <c r="BA26" i="1"/>
  <c r="BA30" i="1"/>
  <c r="BA24" i="1"/>
  <c r="BA28" i="1"/>
  <c r="BA50" i="1"/>
  <c r="BA52" i="1"/>
  <c r="BA54" i="1"/>
  <c r="BA56" i="1"/>
  <c r="BA51" i="1"/>
  <c r="BA55" i="1"/>
  <c r="BA49" i="1"/>
  <c r="BA57" i="1"/>
  <c r="BA53" i="1"/>
  <c r="BB49" i="1" l="1"/>
  <c r="BB51" i="1"/>
  <c r="BB53" i="1"/>
  <c r="BB55" i="1"/>
  <c r="BB57" i="1"/>
  <c r="BB50" i="1"/>
  <c r="BB54" i="1"/>
  <c r="BB56" i="1"/>
  <c r="BB52" i="1"/>
  <c r="BB22" i="1"/>
  <c r="BB24" i="1"/>
  <c r="BB26" i="1"/>
  <c r="BB28" i="1"/>
  <c r="BB30" i="1"/>
  <c r="BB25" i="1"/>
  <c r="BB29" i="1"/>
  <c r="BB23" i="1"/>
  <c r="BB27" i="1"/>
  <c r="BC23" i="1" l="1"/>
  <c r="BC25" i="1"/>
  <c r="BC27" i="1"/>
  <c r="BC29" i="1"/>
  <c r="BC24" i="1"/>
  <c r="BC28" i="1"/>
  <c r="BC22" i="1"/>
  <c r="BC26" i="1"/>
  <c r="BC30" i="1"/>
  <c r="BC50" i="1"/>
  <c r="BC52" i="1"/>
  <c r="BC54" i="1"/>
  <c r="BC56" i="1"/>
  <c r="BC49" i="1"/>
  <c r="BC53" i="1"/>
  <c r="BC57" i="1"/>
  <c r="BC55" i="1"/>
  <c r="BC51" i="1"/>
  <c r="BD49" i="1" l="1"/>
  <c r="BD51" i="1"/>
  <c r="BD53" i="1"/>
  <c r="BD55" i="1"/>
  <c r="BD57" i="1"/>
  <c r="BD52" i="1"/>
  <c r="BD56" i="1"/>
  <c r="BD54" i="1"/>
  <c r="BD50" i="1"/>
  <c r="BD22" i="1"/>
  <c r="BD24" i="1"/>
  <c r="BD26" i="1"/>
  <c r="BD28" i="1"/>
  <c r="BD30" i="1"/>
  <c r="BD23" i="1"/>
  <c r="BD27" i="1"/>
  <c r="BD25" i="1"/>
  <c r="BD29" i="1"/>
  <c r="BE23" i="1" l="1"/>
  <c r="BE25" i="1"/>
  <c r="BE27" i="1"/>
  <c r="BE29" i="1"/>
  <c r="BE22" i="1"/>
  <c r="BE26" i="1"/>
  <c r="BE30" i="1"/>
  <c r="BE24" i="1"/>
  <c r="BE28" i="1"/>
  <c r="BE50" i="1"/>
  <c r="BE52" i="1"/>
  <c r="BE54" i="1"/>
  <c r="BE56" i="1"/>
  <c r="BE51" i="1"/>
  <c r="BE55" i="1"/>
  <c r="BE53" i="1"/>
  <c r="BE49" i="1"/>
  <c r="BE57" i="1"/>
  <c r="BF49" i="1" l="1"/>
  <c r="BF51" i="1"/>
  <c r="BF53" i="1"/>
  <c r="BF55" i="1"/>
  <c r="BF57" i="1"/>
  <c r="BF50" i="1"/>
  <c r="BF54" i="1"/>
  <c r="BF52" i="1"/>
  <c r="BF56" i="1"/>
  <c r="BF23" i="1"/>
  <c r="BF25" i="1"/>
  <c r="BF27" i="1"/>
  <c r="BF29" i="1"/>
  <c r="BF22" i="1"/>
  <c r="BF24" i="1"/>
  <c r="BF26" i="1"/>
  <c r="BF28" i="1"/>
  <c r="BF30" i="1"/>
  <c r="BG22" i="1" l="1"/>
  <c r="BG24" i="1"/>
  <c r="BG26" i="1"/>
  <c r="BG28" i="1"/>
  <c r="BG30" i="1"/>
  <c r="BG23" i="1"/>
  <c r="BG25" i="1"/>
  <c r="BG27" i="1"/>
  <c r="BG29" i="1"/>
  <c r="BG50" i="1"/>
  <c r="BG52" i="1"/>
  <c r="BG54" i="1"/>
  <c r="BG56" i="1"/>
  <c r="BG49" i="1"/>
  <c r="BG53" i="1"/>
  <c r="BG57" i="1"/>
  <c r="BG51" i="1"/>
  <c r="BG55" i="1"/>
  <c r="BH49" i="1" l="1"/>
  <c r="BH51" i="1"/>
  <c r="BH53" i="1"/>
  <c r="BH55" i="1"/>
  <c r="BH57" i="1"/>
  <c r="BH52" i="1"/>
  <c r="BH56" i="1"/>
  <c r="BH50" i="1"/>
  <c r="BH54" i="1"/>
  <c r="BH23" i="1"/>
  <c r="BH25" i="1"/>
  <c r="BH27" i="1"/>
  <c r="BH29" i="1"/>
  <c r="BH22" i="1"/>
  <c r="BH24" i="1"/>
  <c r="BH26" i="1"/>
  <c r="BH28" i="1"/>
  <c r="BH30" i="1"/>
  <c r="BI22" i="1" l="1"/>
  <c r="BI24" i="1"/>
  <c r="BI26" i="1"/>
  <c r="BI28" i="1"/>
  <c r="BI30" i="1"/>
  <c r="BI23" i="1"/>
  <c r="BI25" i="1"/>
  <c r="BI27" i="1"/>
  <c r="BI29" i="1"/>
  <c r="BI50" i="1"/>
  <c r="BI52" i="1"/>
  <c r="BI54" i="1"/>
  <c r="BI56" i="1"/>
  <c r="BI51" i="1"/>
  <c r="BI55" i="1"/>
  <c r="BI49" i="1"/>
  <c r="BI57" i="1"/>
  <c r="BI53" i="1"/>
  <c r="BJ49" i="1" l="1"/>
  <c r="BJ51" i="1"/>
  <c r="BJ53" i="1"/>
  <c r="BJ55" i="1"/>
  <c r="BJ57" i="1"/>
  <c r="BJ50" i="1"/>
  <c r="BJ54" i="1"/>
  <c r="BJ56" i="1"/>
  <c r="BJ52" i="1"/>
  <c r="BJ23" i="1"/>
  <c r="BJ25" i="1"/>
  <c r="BJ27" i="1"/>
  <c r="BJ29" i="1"/>
  <c r="BJ22" i="1"/>
  <c r="BJ24" i="1"/>
  <c r="BJ26" i="1"/>
  <c r="BJ28" i="1"/>
  <c r="BJ30" i="1"/>
  <c r="BK22" i="1" l="1"/>
  <c r="BK24" i="1"/>
  <c r="BK26" i="1"/>
  <c r="BK28" i="1"/>
  <c r="BK30" i="1"/>
  <c r="BK23" i="1"/>
  <c r="BK25" i="1"/>
  <c r="BK27" i="1"/>
  <c r="BK29" i="1"/>
  <c r="BK50" i="1"/>
  <c r="BK52" i="1"/>
  <c r="BK54" i="1"/>
  <c r="BK56" i="1"/>
  <c r="BK49" i="1"/>
  <c r="BK53" i="1"/>
  <c r="BK57" i="1"/>
  <c r="BK55" i="1"/>
  <c r="BK51" i="1"/>
  <c r="BL49" i="1" l="1"/>
  <c r="BL51" i="1"/>
  <c r="BL53" i="1"/>
  <c r="BL55" i="1"/>
  <c r="BL57" i="1"/>
  <c r="BL52" i="1"/>
  <c r="BL56" i="1"/>
  <c r="BL54" i="1"/>
  <c r="BL50" i="1"/>
  <c r="BL23" i="1"/>
  <c r="BL25" i="1"/>
  <c r="BL27" i="1"/>
  <c r="BL29" i="1"/>
  <c r="BL22" i="1"/>
  <c r="BL24" i="1"/>
  <c r="BL26" i="1"/>
  <c r="BL28" i="1"/>
  <c r="BL30" i="1"/>
  <c r="BM22" i="1" l="1"/>
  <c r="BM24" i="1"/>
  <c r="BM26" i="1"/>
  <c r="BM28" i="1"/>
  <c r="BM30" i="1"/>
  <c r="BM23" i="1"/>
  <c r="BM25" i="1"/>
  <c r="BM27" i="1"/>
  <c r="BM29" i="1"/>
  <c r="BM50" i="1"/>
  <c r="BM52" i="1"/>
  <c r="BM54" i="1"/>
  <c r="BM56" i="1"/>
  <c r="BM51" i="1"/>
  <c r="BM55" i="1"/>
  <c r="BM53" i="1"/>
  <c r="BM49" i="1"/>
  <c r="BM57" i="1"/>
  <c r="BN49" i="1" l="1"/>
  <c r="BN51" i="1"/>
  <c r="BN53" i="1"/>
  <c r="BN55" i="1"/>
  <c r="BN57" i="1"/>
  <c r="BN50" i="1"/>
  <c r="BN54" i="1"/>
  <c r="BN52" i="1"/>
  <c r="BN56" i="1"/>
  <c r="BN23" i="1"/>
  <c r="BN25" i="1"/>
  <c r="BN27" i="1"/>
  <c r="BN29" i="1"/>
  <c r="BN22" i="1"/>
  <c r="BN24" i="1"/>
  <c r="BN26" i="1"/>
  <c r="BN28" i="1"/>
  <c r="BN30" i="1"/>
  <c r="BO22" i="1" l="1"/>
  <c r="BO24" i="1"/>
  <c r="BO26" i="1"/>
  <c r="BO28" i="1"/>
  <c r="BO30" i="1"/>
  <c r="BO23" i="1"/>
  <c r="BO25" i="1"/>
  <c r="BO27" i="1"/>
  <c r="BO29" i="1"/>
  <c r="BO50" i="1"/>
  <c r="BO52" i="1"/>
  <c r="BO54" i="1"/>
  <c r="BO56" i="1"/>
  <c r="BO49" i="1"/>
  <c r="BO53" i="1"/>
  <c r="BO57" i="1"/>
  <c r="BO51" i="1"/>
  <c r="BO55" i="1"/>
  <c r="BP49" i="1" l="1"/>
  <c r="BP51" i="1"/>
  <c r="BP53" i="1"/>
  <c r="BP55" i="1"/>
  <c r="BP57" i="1"/>
  <c r="BP52" i="1"/>
  <c r="BP56" i="1"/>
  <c r="BP50" i="1"/>
  <c r="BP54" i="1"/>
  <c r="BP23" i="1"/>
  <c r="BP25" i="1"/>
  <c r="BP27" i="1"/>
  <c r="BP29" i="1"/>
  <c r="BP22" i="1"/>
  <c r="BP24" i="1"/>
  <c r="BP26" i="1"/>
  <c r="BP28" i="1"/>
  <c r="BP30" i="1"/>
  <c r="BQ22" i="1" l="1"/>
  <c r="BQ24" i="1"/>
  <c r="BQ26" i="1"/>
  <c r="BQ28" i="1"/>
  <c r="BQ30" i="1"/>
  <c r="BQ23" i="1"/>
  <c r="BQ25" i="1"/>
  <c r="BQ27" i="1"/>
  <c r="BQ29" i="1"/>
  <c r="BQ50" i="1"/>
  <c r="BQ52" i="1"/>
  <c r="BQ54" i="1"/>
  <c r="BQ56" i="1"/>
  <c r="BQ51" i="1"/>
  <c r="BQ55" i="1"/>
  <c r="BQ49" i="1"/>
  <c r="BQ57" i="1"/>
  <c r="BQ53" i="1"/>
  <c r="BR49" i="1" l="1"/>
  <c r="BR51" i="1"/>
  <c r="BR53" i="1"/>
  <c r="BR55" i="1"/>
  <c r="BR57" i="1"/>
  <c r="BR50" i="1"/>
  <c r="BR54" i="1"/>
  <c r="BR56" i="1"/>
  <c r="BR52" i="1"/>
  <c r="BR23" i="1"/>
  <c r="BR25" i="1"/>
  <c r="BR27" i="1"/>
  <c r="BR29" i="1"/>
  <c r="BR22" i="1"/>
  <c r="BR24" i="1"/>
  <c r="BR26" i="1"/>
  <c r="BR28" i="1"/>
  <c r="BR30" i="1"/>
  <c r="BS22" i="1" l="1"/>
  <c r="BS24" i="1"/>
  <c r="BS26" i="1"/>
  <c r="BS28" i="1"/>
  <c r="BS30" i="1"/>
  <c r="BS23" i="1"/>
  <c r="BS25" i="1"/>
  <c r="BS27" i="1"/>
  <c r="BS29" i="1"/>
  <c r="BS50" i="1"/>
  <c r="BS52" i="1"/>
  <c r="BS54" i="1"/>
  <c r="BS56" i="1"/>
  <c r="BS49" i="1"/>
  <c r="BS53" i="1"/>
  <c r="BS57" i="1"/>
  <c r="BS55" i="1"/>
  <c r="BS51" i="1"/>
  <c r="BT49" i="1" l="1"/>
  <c r="BT51" i="1"/>
  <c r="BT53" i="1"/>
  <c r="BT55" i="1"/>
  <c r="BT57" i="1"/>
  <c r="BT52" i="1"/>
  <c r="BT56" i="1"/>
  <c r="BT54" i="1"/>
  <c r="BT50" i="1"/>
  <c r="BT23" i="1"/>
  <c r="BT25" i="1"/>
  <c r="BT27" i="1"/>
  <c r="BT29" i="1"/>
  <c r="BT22" i="1"/>
  <c r="BT24" i="1"/>
  <c r="BT26" i="1"/>
  <c r="BT28" i="1"/>
  <c r="BT30" i="1"/>
  <c r="BU22" i="1" l="1"/>
  <c r="BU24" i="1"/>
  <c r="BU26" i="1"/>
  <c r="BU28" i="1"/>
  <c r="BU30" i="1"/>
  <c r="BU23" i="1"/>
  <c r="BU25" i="1"/>
  <c r="BU27" i="1"/>
  <c r="BU29" i="1"/>
  <c r="BU50" i="1"/>
  <c r="BU52" i="1"/>
  <c r="BU54" i="1"/>
  <c r="BU56" i="1"/>
  <c r="BU51" i="1"/>
  <c r="BU55" i="1"/>
  <c r="BU53" i="1"/>
  <c r="BU49" i="1"/>
  <c r="BU57" i="1"/>
  <c r="BV49" i="1" l="1"/>
  <c r="BV51" i="1"/>
  <c r="BV53" i="1"/>
  <c r="BV55" i="1"/>
  <c r="BV57" i="1"/>
  <c r="BV50" i="1"/>
  <c r="BV54" i="1"/>
  <c r="BV52" i="1"/>
  <c r="BV56" i="1"/>
  <c r="BV23" i="1"/>
  <c r="BV25" i="1"/>
  <c r="BV27" i="1"/>
  <c r="BV29" i="1"/>
  <c r="BV22" i="1"/>
  <c r="BV24" i="1"/>
  <c r="BV26" i="1"/>
  <c r="BV28" i="1"/>
  <c r="BV30" i="1"/>
  <c r="BW22" i="1" l="1"/>
  <c r="BW24" i="1"/>
  <c r="BW26" i="1"/>
  <c r="BW28" i="1"/>
  <c r="BW30" i="1"/>
  <c r="BW23" i="1"/>
  <c r="BW25" i="1"/>
  <c r="BW27" i="1"/>
  <c r="BW29" i="1"/>
  <c r="BW50" i="1"/>
  <c r="BW52" i="1"/>
  <c r="BW54" i="1"/>
  <c r="BW56" i="1"/>
  <c r="BW49" i="1"/>
  <c r="BW53" i="1"/>
  <c r="BW57" i="1"/>
  <c r="BW51" i="1"/>
  <c r="BW55" i="1"/>
  <c r="BX49" i="1" l="1"/>
  <c r="BX51" i="1"/>
  <c r="BX53" i="1"/>
  <c r="BX55" i="1"/>
  <c r="BX57" i="1"/>
  <c r="BX52" i="1"/>
  <c r="BX56" i="1"/>
  <c r="BX50" i="1"/>
  <c r="BX54" i="1"/>
  <c r="BX23" i="1"/>
  <c r="BX25" i="1"/>
  <c r="BX27" i="1"/>
  <c r="BX29" i="1"/>
  <c r="BX22" i="1"/>
  <c r="BX24" i="1"/>
  <c r="BX26" i="1"/>
  <c r="BX28" i="1"/>
  <c r="BX30" i="1"/>
  <c r="BY22" i="1" l="1"/>
  <c r="BY24" i="1"/>
  <c r="BY26" i="1"/>
  <c r="BY28" i="1"/>
  <c r="BY30" i="1"/>
  <c r="BY23" i="1"/>
  <c r="BY25" i="1"/>
  <c r="BY27" i="1"/>
  <c r="BY29" i="1"/>
  <c r="BY50" i="1"/>
  <c r="BY52" i="1"/>
  <c r="BY54" i="1"/>
  <c r="BY56" i="1"/>
  <c r="BY51" i="1"/>
  <c r="BY55" i="1"/>
  <c r="BY49" i="1"/>
  <c r="BY57" i="1"/>
  <c r="BY53" i="1"/>
  <c r="BZ49" i="1" l="1"/>
  <c r="BZ51" i="1"/>
  <c r="BZ53" i="1"/>
  <c r="BZ55" i="1"/>
  <c r="BZ57" i="1"/>
  <c r="BZ50" i="1"/>
  <c r="BZ54" i="1"/>
  <c r="BZ56" i="1"/>
  <c r="BZ52" i="1"/>
  <c r="BZ23" i="1"/>
  <c r="BZ25" i="1"/>
  <c r="BZ27" i="1"/>
  <c r="BZ29" i="1"/>
  <c r="BZ22" i="1"/>
  <c r="BZ24" i="1"/>
  <c r="BZ26" i="1"/>
  <c r="BZ28" i="1"/>
  <c r="BZ30" i="1"/>
  <c r="CA22" i="1" l="1"/>
  <c r="CA24" i="1"/>
  <c r="CA26" i="1"/>
  <c r="CA28" i="1"/>
  <c r="CA30" i="1"/>
  <c r="CA23" i="1"/>
  <c r="CA25" i="1"/>
  <c r="CA27" i="1"/>
  <c r="CA29" i="1"/>
  <c r="CA50" i="1"/>
  <c r="CA52" i="1"/>
  <c r="CA54" i="1"/>
  <c r="CA56" i="1"/>
  <c r="CA49" i="1"/>
  <c r="CA53" i="1"/>
  <c r="CA57" i="1"/>
  <c r="CA55" i="1"/>
  <c r="CA51" i="1"/>
  <c r="CB49" i="1" l="1"/>
  <c r="CB51" i="1"/>
  <c r="CB53" i="1"/>
  <c r="CB55" i="1"/>
  <c r="CB57" i="1"/>
  <c r="CB52" i="1"/>
  <c r="CB56" i="1"/>
  <c r="CB54" i="1"/>
  <c r="CB50" i="1"/>
  <c r="CB23" i="1"/>
  <c r="CB25" i="1"/>
  <c r="CB27" i="1"/>
  <c r="CB29" i="1"/>
  <c r="CB22" i="1"/>
  <c r="CB24" i="1"/>
  <c r="CB26" i="1"/>
  <c r="CB28" i="1"/>
  <c r="CB30" i="1"/>
  <c r="CC22" i="1" l="1"/>
  <c r="CC24" i="1"/>
  <c r="CC26" i="1"/>
  <c r="CC28" i="1"/>
  <c r="CC30" i="1"/>
  <c r="CC23" i="1"/>
  <c r="CC25" i="1"/>
  <c r="CC27" i="1"/>
  <c r="CC29" i="1"/>
  <c r="CC50" i="1"/>
  <c r="CC52" i="1"/>
  <c r="CC54" i="1"/>
  <c r="CC56" i="1"/>
  <c r="CC51" i="1"/>
  <c r="CC55" i="1"/>
  <c r="CC53" i="1"/>
  <c r="CC49" i="1"/>
  <c r="CC57" i="1"/>
  <c r="CD49" i="1" l="1"/>
  <c r="CD51" i="1"/>
  <c r="CD53" i="1"/>
  <c r="CD55" i="1"/>
  <c r="CD57" i="1"/>
  <c r="CD50" i="1"/>
  <c r="CD54" i="1"/>
  <c r="CD52" i="1"/>
  <c r="CD56" i="1"/>
  <c r="CD23" i="1"/>
  <c r="CD25" i="1"/>
  <c r="CD27" i="1"/>
  <c r="CD29" i="1"/>
  <c r="CD22" i="1"/>
  <c r="CD24" i="1"/>
  <c r="CD26" i="1"/>
  <c r="CD28" i="1"/>
  <c r="CD30" i="1"/>
  <c r="CE22" i="1" l="1"/>
  <c r="CE24" i="1"/>
  <c r="CE26" i="1"/>
  <c r="CE28" i="1"/>
  <c r="CE30" i="1"/>
  <c r="CE23" i="1"/>
  <c r="CE25" i="1"/>
  <c r="CE27" i="1"/>
  <c r="CE29" i="1"/>
  <c r="CE50" i="1"/>
  <c r="CE52" i="1"/>
  <c r="CE54" i="1"/>
  <c r="CE56" i="1"/>
  <c r="CE49" i="1"/>
  <c r="CE53" i="1"/>
  <c r="CE57" i="1"/>
  <c r="CE51" i="1"/>
  <c r="CE55" i="1"/>
  <c r="CF49" i="1" l="1"/>
  <c r="CF51" i="1"/>
  <c r="CF53" i="1"/>
  <c r="CF55" i="1"/>
  <c r="CF57" i="1"/>
  <c r="CF52" i="1"/>
  <c r="CF56" i="1"/>
  <c r="CF50" i="1"/>
  <c r="CF54" i="1"/>
  <c r="CF23" i="1"/>
  <c r="CF25" i="1"/>
  <c r="CF27" i="1"/>
  <c r="CF29" i="1"/>
  <c r="CF22" i="1"/>
  <c r="CF24" i="1"/>
  <c r="CF26" i="1"/>
  <c r="CF28" i="1"/>
  <c r="CF30" i="1"/>
  <c r="CG22" i="1" l="1"/>
  <c r="CG24" i="1"/>
  <c r="CG26" i="1"/>
  <c r="CG28" i="1"/>
  <c r="CG30" i="1"/>
  <c r="CG23" i="1"/>
  <c r="CG25" i="1"/>
  <c r="CG27" i="1"/>
  <c r="CG29" i="1"/>
  <c r="CG50" i="1"/>
  <c r="CG52" i="1"/>
  <c r="CG54" i="1"/>
  <c r="CG56" i="1"/>
  <c r="CG51" i="1"/>
  <c r="CG55" i="1"/>
  <c r="CG49" i="1"/>
  <c r="CG57" i="1"/>
  <c r="CG53" i="1"/>
  <c r="CH49" i="1" l="1"/>
  <c r="CH51" i="1"/>
  <c r="CH53" i="1"/>
  <c r="CH55" i="1"/>
  <c r="CH57" i="1"/>
  <c r="CH50" i="1"/>
  <c r="CH54" i="1"/>
  <c r="CH56" i="1"/>
  <c r="CH52" i="1"/>
  <c r="CH23" i="1"/>
  <c r="CH25" i="1"/>
  <c r="CH27" i="1"/>
  <c r="CH29" i="1"/>
  <c r="CH22" i="1"/>
  <c r="CH24" i="1"/>
  <c r="CH26" i="1"/>
  <c r="CH28" i="1"/>
  <c r="CH30" i="1"/>
  <c r="CI22" i="1" l="1"/>
  <c r="CI24" i="1"/>
  <c r="CI26" i="1"/>
  <c r="CI28" i="1"/>
  <c r="CI30" i="1"/>
  <c r="CI23" i="1"/>
  <c r="CI25" i="1"/>
  <c r="CI27" i="1"/>
  <c r="CI29" i="1"/>
  <c r="CI50" i="1"/>
  <c r="CI52" i="1"/>
  <c r="CI54" i="1"/>
  <c r="CI56" i="1"/>
  <c r="CI49" i="1"/>
  <c r="CI53" i="1"/>
  <c r="CI57" i="1"/>
  <c r="CI55" i="1"/>
  <c r="CI51" i="1"/>
  <c r="CJ49" i="1" l="1"/>
  <c r="CJ51" i="1"/>
  <c r="CJ53" i="1"/>
  <c r="CJ55" i="1"/>
  <c r="CJ57" i="1"/>
  <c r="CJ52" i="1"/>
  <c r="CJ56" i="1"/>
  <c r="CJ54" i="1"/>
  <c r="CJ50" i="1"/>
  <c r="CJ23" i="1"/>
  <c r="CJ25" i="1"/>
  <c r="CJ27" i="1"/>
  <c r="CJ29" i="1"/>
  <c r="CJ22" i="1"/>
  <c r="CJ24" i="1"/>
  <c r="CJ26" i="1"/>
  <c r="CJ28" i="1"/>
  <c r="CJ30" i="1"/>
  <c r="CK22" i="1" l="1"/>
  <c r="CK24" i="1"/>
  <c r="CK26" i="1"/>
  <c r="CK28" i="1"/>
  <c r="CK30" i="1"/>
  <c r="CK23" i="1"/>
  <c r="CK25" i="1"/>
  <c r="CK27" i="1"/>
  <c r="CK29" i="1"/>
  <c r="CK50" i="1"/>
  <c r="CK52" i="1"/>
  <c r="CK54" i="1"/>
  <c r="CK56" i="1"/>
  <c r="CK51" i="1"/>
  <c r="CK55" i="1"/>
  <c r="CK53" i="1"/>
  <c r="CK49" i="1"/>
  <c r="CK57" i="1"/>
  <c r="CL49" i="1" l="1"/>
  <c r="CL51" i="1"/>
  <c r="CL53" i="1"/>
  <c r="CL55" i="1"/>
  <c r="CL57" i="1"/>
  <c r="CL50" i="1"/>
  <c r="CL54" i="1"/>
  <c r="CL52" i="1"/>
  <c r="CL56" i="1"/>
  <c r="CL23" i="1"/>
  <c r="CL25" i="1"/>
  <c r="CL27" i="1"/>
  <c r="CL29" i="1"/>
  <c r="CL22" i="1"/>
  <c r="CL24" i="1"/>
  <c r="CL26" i="1"/>
  <c r="CL28" i="1"/>
  <c r="CL30" i="1"/>
  <c r="CM22" i="1" l="1"/>
  <c r="CM24" i="1"/>
  <c r="CM26" i="1"/>
  <c r="CM28" i="1"/>
  <c r="CM30" i="1"/>
  <c r="CM23" i="1"/>
  <c r="CM25" i="1"/>
  <c r="CM27" i="1"/>
  <c r="CM29" i="1"/>
  <c r="CM50" i="1"/>
  <c r="CM52" i="1"/>
  <c r="CM54" i="1"/>
  <c r="CM56" i="1"/>
  <c r="CM49" i="1"/>
  <c r="CM53" i="1"/>
  <c r="CM57" i="1"/>
  <c r="CM51" i="1"/>
  <c r="CM55" i="1"/>
  <c r="CN49" i="1" l="1"/>
  <c r="CN51" i="1"/>
  <c r="CN53" i="1"/>
  <c r="CN55" i="1"/>
  <c r="CN57" i="1"/>
  <c r="CN52" i="1"/>
  <c r="CN56" i="1"/>
  <c r="CN50" i="1"/>
  <c r="CN54" i="1"/>
  <c r="CN23" i="1"/>
  <c r="CN25" i="1"/>
  <c r="CN27" i="1"/>
  <c r="CN29" i="1"/>
  <c r="CN22" i="1"/>
  <c r="CN24" i="1"/>
  <c r="CN26" i="1"/>
  <c r="CN28" i="1"/>
  <c r="CN30" i="1"/>
  <c r="CO22" i="1" l="1"/>
  <c r="CO24" i="1"/>
  <c r="CO26" i="1"/>
  <c r="CO28" i="1"/>
  <c r="CO30" i="1"/>
  <c r="CO23" i="1"/>
  <c r="CO25" i="1"/>
  <c r="CO27" i="1"/>
  <c r="CO29" i="1"/>
  <c r="CO50" i="1"/>
  <c r="CO52" i="1"/>
  <c r="CO54" i="1"/>
  <c r="CO56" i="1"/>
  <c r="CO51" i="1"/>
  <c r="CO55" i="1"/>
  <c r="CO49" i="1"/>
  <c r="CO57" i="1"/>
  <c r="CO53" i="1"/>
  <c r="CP49" i="1" l="1"/>
  <c r="CP51" i="1"/>
  <c r="CP53" i="1"/>
  <c r="CP55" i="1"/>
  <c r="CP57" i="1"/>
  <c r="CP50" i="1"/>
  <c r="CP54" i="1"/>
  <c r="CP56" i="1"/>
  <c r="CP52" i="1"/>
  <c r="CP23" i="1"/>
  <c r="CP25" i="1"/>
  <c r="CP27" i="1"/>
  <c r="CP29" i="1"/>
  <c r="CP22" i="1"/>
  <c r="CP24" i="1"/>
  <c r="CP26" i="1"/>
  <c r="CP28" i="1"/>
  <c r="CP30" i="1"/>
  <c r="CQ22" i="1" l="1"/>
  <c r="CQ24" i="1"/>
  <c r="CQ26" i="1"/>
  <c r="CQ28" i="1"/>
  <c r="CQ30" i="1"/>
  <c r="CQ23" i="1"/>
  <c r="CQ25" i="1"/>
  <c r="CQ27" i="1"/>
  <c r="CQ29" i="1"/>
  <c r="CQ50" i="1"/>
  <c r="CQ52" i="1"/>
  <c r="CQ54" i="1"/>
  <c r="CQ56" i="1"/>
  <c r="CQ49" i="1"/>
  <c r="CQ53" i="1"/>
  <c r="CQ57" i="1"/>
  <c r="CQ55" i="1"/>
  <c r="CQ51" i="1"/>
  <c r="CR49" i="1" l="1"/>
  <c r="CR51" i="1"/>
  <c r="CR53" i="1"/>
  <c r="CR55" i="1"/>
  <c r="CR57" i="1"/>
  <c r="CR52" i="1"/>
  <c r="CR56" i="1"/>
  <c r="CR54" i="1"/>
  <c r="CR50" i="1"/>
  <c r="CR23" i="1"/>
  <c r="CR25" i="1"/>
  <c r="CR27" i="1"/>
  <c r="CR29" i="1"/>
  <c r="CR22" i="1"/>
  <c r="CR24" i="1"/>
  <c r="CR26" i="1"/>
  <c r="CR28" i="1"/>
  <c r="CR30" i="1"/>
  <c r="CS22" i="1" l="1"/>
  <c r="CS24" i="1"/>
  <c r="CS26" i="1"/>
  <c r="CS28" i="1"/>
  <c r="CS30" i="1"/>
  <c r="CS23" i="1"/>
  <c r="CS25" i="1"/>
  <c r="CS27" i="1"/>
  <c r="CS29" i="1"/>
  <c r="CS50" i="1"/>
  <c r="CS52" i="1"/>
  <c r="CS54" i="1"/>
  <c r="CS56" i="1"/>
  <c r="CS51" i="1"/>
  <c r="CS55" i="1"/>
  <c r="CS53" i="1"/>
  <c r="CS49" i="1"/>
  <c r="CS57" i="1"/>
  <c r="CT49" i="1" l="1"/>
  <c r="CT51" i="1"/>
  <c r="CT53" i="1"/>
  <c r="CT55" i="1"/>
  <c r="CT57" i="1"/>
  <c r="CT50" i="1"/>
  <c r="CT54" i="1"/>
  <c r="CT52" i="1"/>
  <c r="CT56" i="1"/>
  <c r="CT23" i="1"/>
  <c r="CT25" i="1"/>
  <c r="CT27" i="1"/>
  <c r="CT29" i="1"/>
  <c r="CT22" i="1"/>
  <c r="CT24" i="1"/>
  <c r="CT26" i="1"/>
  <c r="CT28" i="1"/>
  <c r="CT30" i="1"/>
  <c r="CU22" i="1" l="1"/>
  <c r="CU24" i="1"/>
  <c r="CU26" i="1"/>
  <c r="CU28" i="1"/>
  <c r="CU30" i="1"/>
  <c r="CU23" i="1"/>
  <c r="CU25" i="1"/>
  <c r="CU27" i="1"/>
  <c r="CU29" i="1"/>
  <c r="CU50" i="1"/>
  <c r="CU52" i="1"/>
  <c r="CU54" i="1"/>
  <c r="CU49" i="1"/>
  <c r="CU53" i="1"/>
  <c r="CU56" i="1"/>
  <c r="CU51" i="1"/>
  <c r="CU57" i="1"/>
  <c r="CU55" i="1"/>
  <c r="CV49" i="1" l="1"/>
  <c r="CV51" i="1"/>
  <c r="CV53" i="1"/>
  <c r="CV55" i="1"/>
  <c r="CV57" i="1"/>
  <c r="CV52" i="1"/>
  <c r="CV56" i="1"/>
  <c r="CV50" i="1"/>
  <c r="CV54" i="1"/>
  <c r="CV23" i="1"/>
  <c r="CV25" i="1"/>
  <c r="CV27" i="1"/>
  <c r="CV29" i="1"/>
  <c r="CV22" i="1"/>
  <c r="CV24" i="1"/>
  <c r="CV26" i="1"/>
  <c r="CV28" i="1"/>
  <c r="CV30" i="1"/>
  <c r="CW22" i="1" l="1"/>
  <c r="CW24" i="1"/>
  <c r="CW26" i="1"/>
  <c r="CW28" i="1"/>
  <c r="CW30" i="1"/>
  <c r="CW23" i="1"/>
  <c r="CW25" i="1"/>
  <c r="CW27" i="1"/>
  <c r="CW29" i="1"/>
  <c r="CW50" i="1"/>
  <c r="CW52" i="1"/>
  <c r="CW54" i="1"/>
  <c r="CW56" i="1"/>
  <c r="CW51" i="1"/>
  <c r="CW55" i="1"/>
  <c r="CW49" i="1"/>
  <c r="CW53" i="1"/>
  <c r="CW57" i="1"/>
  <c r="CX49" i="1" l="1"/>
  <c r="CX51" i="1"/>
  <c r="CX53" i="1"/>
  <c r="CX55" i="1"/>
  <c r="CX57" i="1"/>
  <c r="CX50" i="1"/>
  <c r="CX54" i="1"/>
  <c r="CX52" i="1"/>
  <c r="CX56" i="1"/>
  <c r="CX23" i="1"/>
  <c r="CX25" i="1"/>
  <c r="CX27" i="1"/>
  <c r="CX29" i="1"/>
  <c r="CX22" i="1"/>
  <c r="CX24" i="1"/>
  <c r="CX26" i="1"/>
  <c r="CX28" i="1"/>
  <c r="CX30" i="1"/>
  <c r="CY22" i="1" l="1"/>
  <c r="CY24" i="1"/>
  <c r="CY26" i="1"/>
  <c r="CY28" i="1"/>
  <c r="CY30" i="1"/>
  <c r="CY23" i="1"/>
  <c r="CY25" i="1"/>
  <c r="CY27" i="1"/>
  <c r="CY29" i="1"/>
  <c r="CY50" i="1"/>
  <c r="CY52" i="1"/>
  <c r="CY54" i="1"/>
  <c r="CY56" i="1"/>
  <c r="CY49" i="1"/>
  <c r="CY53" i="1"/>
  <c r="CY57" i="1"/>
  <c r="CY51" i="1"/>
  <c r="CY55" i="1"/>
  <c r="CZ49" i="1" l="1"/>
  <c r="CZ51" i="1"/>
  <c r="CZ53" i="1"/>
  <c r="CZ55" i="1"/>
  <c r="CZ57" i="1"/>
  <c r="CZ52" i="1"/>
  <c r="CZ56" i="1"/>
  <c r="CZ50" i="1"/>
  <c r="CZ54" i="1"/>
  <c r="CZ23" i="1"/>
  <c r="CZ25" i="1"/>
  <c r="CZ27" i="1"/>
  <c r="CZ29" i="1"/>
  <c r="CZ22" i="1"/>
  <c r="CZ24" i="1"/>
  <c r="CZ26" i="1"/>
  <c r="CZ28" i="1"/>
  <c r="CZ30" i="1"/>
  <c r="DA22" i="1" l="1"/>
  <c r="DA24" i="1"/>
  <c r="DA26" i="1"/>
  <c r="DA28" i="1"/>
  <c r="DA30" i="1"/>
  <c r="DA23" i="1"/>
  <c r="DA25" i="1"/>
  <c r="DA27" i="1"/>
  <c r="DA29" i="1"/>
  <c r="DA50" i="1"/>
  <c r="DA52" i="1"/>
  <c r="DA54" i="1"/>
  <c r="DA56" i="1"/>
  <c r="DA51" i="1"/>
  <c r="DA55" i="1"/>
  <c r="DA49" i="1"/>
  <c r="DA53" i="1"/>
  <c r="DA57" i="1"/>
  <c r="DB49" i="1" l="1"/>
  <c r="DB51" i="1"/>
  <c r="DB53" i="1"/>
  <c r="DB55" i="1"/>
  <c r="DB57" i="1"/>
  <c r="DB50" i="1"/>
  <c r="DB54" i="1"/>
  <c r="DB52" i="1"/>
  <c r="DB56" i="1"/>
  <c r="DB23" i="1"/>
  <c r="DB25" i="1"/>
  <c r="DB27" i="1"/>
  <c r="DB29" i="1"/>
  <c r="DB22" i="1"/>
  <c r="DB24" i="1"/>
  <c r="DB26" i="1"/>
  <c r="DB28" i="1"/>
  <c r="DB30" i="1"/>
  <c r="DC22" i="1" l="1"/>
  <c r="DC24" i="1"/>
  <c r="DC26" i="1"/>
  <c r="DC28" i="1"/>
  <c r="DC30" i="1"/>
  <c r="DC23" i="1"/>
  <c r="DC25" i="1"/>
  <c r="DC27" i="1"/>
  <c r="DC29" i="1"/>
  <c r="DC50" i="1"/>
  <c r="DC52" i="1"/>
  <c r="DC54" i="1"/>
  <c r="DC56" i="1"/>
  <c r="DC49" i="1"/>
  <c r="DC53" i="1"/>
  <c r="DC57" i="1"/>
  <c r="DC51" i="1"/>
  <c r="DC55" i="1"/>
  <c r="DD49" i="1" l="1"/>
  <c r="DD51" i="1"/>
  <c r="DD53" i="1"/>
  <c r="DD55" i="1"/>
  <c r="DD57" i="1"/>
  <c r="DD52" i="1"/>
  <c r="DD56" i="1"/>
  <c r="DD50" i="1"/>
  <c r="DD54" i="1"/>
  <c r="DD23" i="1"/>
  <c r="DD25" i="1"/>
  <c r="DD27" i="1"/>
  <c r="DD29" i="1"/>
  <c r="DD22" i="1"/>
  <c r="DD24" i="1"/>
  <c r="DD26" i="1"/>
  <c r="DD28" i="1"/>
  <c r="DD30" i="1"/>
  <c r="DE22" i="1" l="1"/>
  <c r="DE24" i="1"/>
  <c r="DE26" i="1"/>
  <c r="DE28" i="1"/>
  <c r="DE30" i="1"/>
  <c r="DE23" i="1"/>
  <c r="DE25" i="1"/>
  <c r="DE27" i="1"/>
  <c r="DE29" i="1"/>
  <c r="DE50" i="1"/>
  <c r="DE52" i="1"/>
  <c r="DE54" i="1"/>
  <c r="DE56" i="1"/>
  <c r="DE51" i="1"/>
  <c r="DE55" i="1"/>
  <c r="DE49" i="1"/>
  <c r="DE53" i="1"/>
  <c r="DE57" i="1"/>
  <c r="DF49" i="1" l="1"/>
  <c r="DF51" i="1"/>
  <c r="DF53" i="1"/>
  <c r="DF55" i="1"/>
  <c r="DF57" i="1"/>
  <c r="DF50" i="1"/>
  <c r="DF54" i="1"/>
  <c r="DF52" i="1"/>
  <c r="DF56" i="1"/>
  <c r="DF23" i="1"/>
  <c r="DF25" i="1"/>
  <c r="DF27" i="1"/>
  <c r="DF29" i="1"/>
  <c r="DF22" i="1"/>
  <c r="DF24" i="1"/>
  <c r="DF26" i="1"/>
  <c r="DF28" i="1"/>
  <c r="DF30" i="1"/>
  <c r="DG22" i="1" l="1"/>
  <c r="DG24" i="1"/>
  <c r="DG26" i="1"/>
  <c r="DG28" i="1"/>
  <c r="DG30" i="1"/>
  <c r="DG23" i="1"/>
  <c r="DG25" i="1"/>
  <c r="DG27" i="1"/>
  <c r="DG29" i="1"/>
  <c r="DG50" i="1"/>
  <c r="DG52" i="1"/>
  <c r="DG54" i="1"/>
  <c r="DG56" i="1"/>
  <c r="DG49" i="1"/>
  <c r="DG53" i="1"/>
  <c r="DG57" i="1"/>
  <c r="DG51" i="1"/>
  <c r="DG55" i="1"/>
  <c r="DH49" i="1" l="1"/>
  <c r="DH51" i="1"/>
  <c r="DH53" i="1"/>
  <c r="DH55" i="1"/>
  <c r="DH57" i="1"/>
  <c r="DH52" i="1"/>
  <c r="DH56" i="1"/>
  <c r="DH50" i="1"/>
  <c r="DH54" i="1"/>
  <c r="DH23" i="1"/>
  <c r="DH25" i="1"/>
  <c r="DH27" i="1"/>
  <c r="DH29" i="1"/>
  <c r="DH22" i="1"/>
  <c r="DH24" i="1"/>
  <c r="DH26" i="1"/>
  <c r="DH28" i="1"/>
  <c r="DH30" i="1"/>
  <c r="DI22" i="1" l="1"/>
  <c r="DI24" i="1"/>
  <c r="DI26" i="1"/>
  <c r="DI28" i="1"/>
  <c r="DI30" i="1"/>
  <c r="DI23" i="1"/>
  <c r="DI25" i="1"/>
  <c r="DI27" i="1"/>
  <c r="DI29" i="1"/>
  <c r="DI50" i="1"/>
  <c r="DI52" i="1"/>
  <c r="DI54" i="1"/>
  <c r="DI56" i="1"/>
  <c r="DI51" i="1"/>
  <c r="DI55" i="1"/>
  <c r="DI49" i="1"/>
  <c r="DI53" i="1"/>
  <c r="DI57" i="1"/>
  <c r="DJ49" i="1" l="1"/>
  <c r="DJ51" i="1"/>
  <c r="DJ53" i="1"/>
  <c r="DJ55" i="1"/>
  <c r="DJ57" i="1"/>
  <c r="DJ50" i="1"/>
  <c r="DJ54" i="1"/>
  <c r="DJ52" i="1"/>
  <c r="DJ56" i="1"/>
  <c r="DJ23" i="1"/>
  <c r="DJ25" i="1"/>
  <c r="DJ27" i="1"/>
  <c r="DJ29" i="1"/>
  <c r="DJ22" i="1"/>
  <c r="DJ24" i="1"/>
  <c r="DJ26" i="1"/>
  <c r="DJ30" i="1"/>
  <c r="DJ28" i="1"/>
  <c r="DK22" i="1" l="1"/>
  <c r="DK24" i="1"/>
  <c r="DK26" i="1"/>
  <c r="DK28" i="1"/>
  <c r="DK30" i="1"/>
  <c r="DK25" i="1"/>
  <c r="DK29" i="1"/>
  <c r="DK23" i="1"/>
  <c r="DK27" i="1"/>
  <c r="DK50" i="1"/>
  <c r="DK52" i="1"/>
  <c r="DK54" i="1"/>
  <c r="DK56" i="1"/>
  <c r="DK49" i="1"/>
  <c r="DK53" i="1"/>
  <c r="DK57" i="1"/>
  <c r="DK51" i="1"/>
  <c r="DK55" i="1"/>
  <c r="DL49" i="1" l="1"/>
  <c r="DL51" i="1"/>
  <c r="DL53" i="1"/>
  <c r="DL55" i="1"/>
  <c r="DL57" i="1"/>
  <c r="DL52" i="1"/>
  <c r="DL56" i="1"/>
  <c r="DL50" i="1"/>
  <c r="DL54" i="1"/>
  <c r="DL23" i="1"/>
  <c r="DL25" i="1"/>
  <c r="DL27" i="1"/>
  <c r="DL29" i="1"/>
  <c r="DL24" i="1"/>
  <c r="DL28" i="1"/>
  <c r="DL22" i="1"/>
  <c r="DL26" i="1"/>
  <c r="DL30" i="1"/>
  <c r="DM22" i="1" l="1"/>
  <c r="DM24" i="1"/>
  <c r="DM26" i="1"/>
  <c r="DM28" i="1"/>
  <c r="DM30" i="1"/>
  <c r="DM23" i="1"/>
  <c r="DM27" i="1"/>
  <c r="DM25" i="1"/>
  <c r="DM29" i="1"/>
  <c r="DM50" i="1"/>
  <c r="DM52" i="1"/>
  <c r="DM54" i="1"/>
  <c r="DM56" i="1"/>
  <c r="DM51" i="1"/>
  <c r="DM55" i="1"/>
  <c r="DM49" i="1"/>
  <c r="DM53" i="1"/>
  <c r="DM57" i="1"/>
  <c r="DN49" i="1" l="1"/>
  <c r="DN51" i="1"/>
  <c r="DN53" i="1"/>
  <c r="DN55" i="1"/>
  <c r="DN57" i="1"/>
  <c r="DN50" i="1"/>
  <c r="DN54" i="1"/>
  <c r="DN52" i="1"/>
  <c r="DN56" i="1"/>
  <c r="DN23" i="1"/>
  <c r="DN25" i="1"/>
  <c r="DN27" i="1"/>
  <c r="DN29" i="1"/>
  <c r="DN22" i="1"/>
  <c r="DN26" i="1"/>
  <c r="DN30" i="1"/>
  <c r="DN24" i="1"/>
  <c r="DN28" i="1"/>
  <c r="DO22" i="1" l="1"/>
  <c r="DO24" i="1"/>
  <c r="DO26" i="1"/>
  <c r="DO28" i="1"/>
  <c r="DO30" i="1"/>
  <c r="DO25" i="1"/>
  <c r="DO29" i="1"/>
  <c r="DO23" i="1"/>
  <c r="DO27" i="1"/>
  <c r="DO50" i="1"/>
  <c r="DO52" i="1"/>
  <c r="DO54" i="1"/>
  <c r="DO56" i="1"/>
  <c r="DO49" i="1"/>
  <c r="DO53" i="1"/>
  <c r="DO57" i="1"/>
  <c r="DO51" i="1"/>
  <c r="DO55" i="1"/>
  <c r="DP49" i="1" l="1"/>
  <c r="DP51" i="1"/>
  <c r="DP53" i="1"/>
  <c r="DP55" i="1"/>
  <c r="DP57" i="1"/>
  <c r="DP52" i="1"/>
  <c r="DP56" i="1"/>
  <c r="DP50" i="1"/>
  <c r="DP54" i="1"/>
  <c r="DP23" i="1"/>
  <c r="DP25" i="1"/>
  <c r="DP27" i="1"/>
  <c r="DP29" i="1"/>
  <c r="DP24" i="1"/>
  <c r="DP28" i="1"/>
  <c r="DP22" i="1"/>
  <c r="DP26" i="1"/>
  <c r="DP30" i="1"/>
  <c r="DQ22" i="1" l="1"/>
  <c r="DQ24" i="1"/>
  <c r="DQ26" i="1"/>
  <c r="DQ28" i="1"/>
  <c r="DQ30" i="1"/>
  <c r="DQ23" i="1"/>
  <c r="DQ27" i="1"/>
  <c r="DQ25" i="1"/>
  <c r="DQ29" i="1"/>
  <c r="DQ50" i="1"/>
  <c r="DQ52" i="1"/>
  <c r="DQ54" i="1"/>
  <c r="DQ56" i="1"/>
  <c r="DQ51" i="1"/>
  <c r="DQ55" i="1"/>
  <c r="DQ49" i="1"/>
  <c r="DQ53" i="1"/>
  <c r="DQ57" i="1"/>
  <c r="DR49" i="1" l="1"/>
  <c r="DR51" i="1"/>
  <c r="DR53" i="1"/>
  <c r="DR55" i="1"/>
  <c r="DR57" i="1"/>
  <c r="DR50" i="1"/>
  <c r="DR54" i="1"/>
  <c r="DR52" i="1"/>
  <c r="DR56" i="1"/>
  <c r="DR23" i="1"/>
  <c r="DR25" i="1"/>
  <c r="DR27" i="1"/>
  <c r="DR29" i="1"/>
  <c r="DR22" i="1"/>
  <c r="DR26" i="1"/>
  <c r="DR30" i="1"/>
  <c r="DR24" i="1"/>
  <c r="DR28" i="1"/>
  <c r="DS22" i="1" l="1"/>
  <c r="DS24" i="1"/>
  <c r="DS26" i="1"/>
  <c r="DS28" i="1"/>
  <c r="DS30" i="1"/>
  <c r="DS25" i="1"/>
  <c r="DS29" i="1"/>
  <c r="DS23" i="1"/>
  <c r="DS27" i="1"/>
  <c r="DS50" i="1"/>
  <c r="DS52" i="1"/>
  <c r="DS54" i="1"/>
  <c r="DS56" i="1"/>
  <c r="DS49" i="1"/>
  <c r="DS53" i="1"/>
  <c r="DS57" i="1"/>
  <c r="DS51" i="1"/>
  <c r="DS55" i="1"/>
  <c r="DT49" i="1" l="1"/>
  <c r="DT51" i="1"/>
  <c r="DT53" i="1"/>
  <c r="DT55" i="1"/>
  <c r="DT57" i="1"/>
  <c r="DT52" i="1"/>
  <c r="DT56" i="1"/>
  <c r="DT50" i="1"/>
  <c r="DT54" i="1"/>
  <c r="DT23" i="1"/>
  <c r="DT25" i="1"/>
  <c r="DT27" i="1"/>
  <c r="DT29" i="1"/>
  <c r="DT24" i="1"/>
  <c r="DT28" i="1"/>
  <c r="DT22" i="1"/>
  <c r="DT26" i="1"/>
  <c r="DT30" i="1"/>
  <c r="DU22" i="1" l="1"/>
  <c r="DU24" i="1"/>
  <c r="DU26" i="1"/>
  <c r="DU28" i="1"/>
  <c r="DU30" i="1"/>
  <c r="DU23" i="1"/>
  <c r="DU27" i="1"/>
  <c r="DU25" i="1"/>
  <c r="DU29" i="1"/>
  <c r="DU50" i="1"/>
  <c r="DU52" i="1"/>
  <c r="DU54" i="1"/>
  <c r="DU56" i="1"/>
  <c r="DU51" i="1"/>
  <c r="DU55" i="1"/>
  <c r="DU49" i="1"/>
  <c r="DU53" i="1"/>
  <c r="DU57" i="1"/>
  <c r="DV49" i="1" l="1"/>
  <c r="DV51" i="1"/>
  <c r="DV53" i="1"/>
  <c r="DV55" i="1"/>
  <c r="DV57" i="1"/>
  <c r="DV50" i="1"/>
  <c r="DV54" i="1"/>
  <c r="DV52" i="1"/>
  <c r="DV56" i="1"/>
  <c r="DV23" i="1"/>
  <c r="DV25" i="1"/>
  <c r="DV27" i="1"/>
  <c r="DV29" i="1"/>
  <c r="DV22" i="1"/>
  <c r="DV26" i="1"/>
  <c r="DV30" i="1"/>
  <c r="DV24" i="1"/>
  <c r="DV28" i="1"/>
  <c r="DW22" i="1" l="1"/>
  <c r="DW24" i="1"/>
  <c r="DW26" i="1"/>
  <c r="DW28" i="1"/>
  <c r="DW30" i="1"/>
  <c r="DW25" i="1"/>
  <c r="DW29" i="1"/>
  <c r="DW23" i="1"/>
  <c r="DW27" i="1"/>
  <c r="DW50" i="1"/>
  <c r="DW52" i="1"/>
  <c r="DW54" i="1"/>
  <c r="DW56" i="1"/>
  <c r="DW49" i="1"/>
  <c r="DW53" i="1"/>
  <c r="DW57" i="1"/>
  <c r="DW51" i="1"/>
  <c r="DW55" i="1"/>
  <c r="DX49" i="1" l="1"/>
  <c r="DX51" i="1"/>
  <c r="DX53" i="1"/>
  <c r="DX55" i="1"/>
  <c r="DX57" i="1"/>
  <c r="DX52" i="1"/>
  <c r="DX56" i="1"/>
  <c r="DX50" i="1"/>
  <c r="DX54" i="1"/>
  <c r="DX23" i="1"/>
  <c r="DX25" i="1"/>
  <c r="DX27" i="1"/>
  <c r="DX29" i="1"/>
  <c r="DX24" i="1"/>
  <c r="DX28" i="1"/>
  <c r="DX22" i="1"/>
  <c r="DX26" i="1"/>
  <c r="DX30" i="1"/>
  <c r="DY22" i="1" l="1"/>
  <c r="DY24" i="1"/>
  <c r="DY26" i="1"/>
  <c r="DY28" i="1"/>
  <c r="DY30" i="1"/>
  <c r="DY23" i="1"/>
  <c r="DY27" i="1"/>
  <c r="DY25" i="1"/>
  <c r="DY29" i="1"/>
  <c r="DY50" i="1"/>
  <c r="DY52" i="1"/>
  <c r="DY54" i="1"/>
  <c r="DY56" i="1"/>
  <c r="DY51" i="1"/>
  <c r="DY55" i="1"/>
  <c r="DY49" i="1"/>
  <c r="DY53" i="1"/>
  <c r="DY57" i="1"/>
  <c r="DZ49" i="1" l="1"/>
  <c r="DZ51" i="1"/>
  <c r="DZ53" i="1"/>
  <c r="DZ55" i="1"/>
  <c r="DZ57" i="1"/>
  <c r="DZ50" i="1"/>
  <c r="DZ54" i="1"/>
  <c r="DZ52" i="1"/>
  <c r="DZ56" i="1"/>
  <c r="DZ23" i="1"/>
  <c r="DZ25" i="1"/>
  <c r="DZ27" i="1"/>
  <c r="DZ29" i="1"/>
  <c r="DZ22" i="1"/>
  <c r="DZ26" i="1"/>
  <c r="DZ30" i="1"/>
  <c r="DZ24" i="1"/>
  <c r="DZ28" i="1"/>
  <c r="EA22" i="1" l="1"/>
  <c r="EA24" i="1"/>
  <c r="EA26" i="1"/>
  <c r="EA28" i="1"/>
  <c r="EA30" i="1"/>
  <c r="EA25" i="1"/>
  <c r="EA29" i="1"/>
  <c r="EA23" i="1"/>
  <c r="EA27" i="1"/>
  <c r="EA50" i="1"/>
  <c r="EA52" i="1"/>
  <c r="EA54" i="1"/>
  <c r="EA56" i="1"/>
  <c r="EA49" i="1"/>
  <c r="EA53" i="1"/>
  <c r="EA57" i="1"/>
  <c r="EA51" i="1"/>
  <c r="EA55" i="1"/>
  <c r="EB49" i="1" l="1"/>
  <c r="EB51" i="1"/>
  <c r="EB53" i="1"/>
  <c r="EB55" i="1"/>
  <c r="EB57" i="1"/>
  <c r="EB52" i="1"/>
  <c r="EB56" i="1"/>
  <c r="EB50" i="1"/>
  <c r="EB54" i="1"/>
  <c r="EB23" i="1"/>
  <c r="EB25" i="1"/>
  <c r="EB27" i="1"/>
  <c r="EB29" i="1"/>
  <c r="EB24" i="1"/>
  <c r="EB28" i="1"/>
  <c r="EB22" i="1"/>
  <c r="EB26" i="1"/>
  <c r="EB30" i="1"/>
  <c r="EC22" i="1" l="1"/>
  <c r="EC24" i="1"/>
  <c r="EC26" i="1"/>
  <c r="EC28" i="1"/>
  <c r="EC30" i="1"/>
  <c r="EC23" i="1"/>
  <c r="EC27" i="1"/>
  <c r="EC25" i="1"/>
  <c r="EC29" i="1"/>
  <c r="EC50" i="1"/>
  <c r="EC52" i="1"/>
  <c r="EC54" i="1"/>
  <c r="EC56" i="1"/>
  <c r="EC51" i="1"/>
  <c r="EC55" i="1"/>
  <c r="EC49" i="1"/>
  <c r="EC53" i="1"/>
  <c r="EC57" i="1"/>
  <c r="ED49" i="1" l="1"/>
  <c r="ED51" i="1"/>
  <c r="ED53" i="1"/>
  <c r="ED55" i="1"/>
  <c r="ED57" i="1"/>
  <c r="ED50" i="1"/>
  <c r="ED54" i="1"/>
  <c r="ED52" i="1"/>
  <c r="ED56" i="1"/>
  <c r="ED23" i="1"/>
  <c r="ED25" i="1"/>
  <c r="ED27" i="1"/>
  <c r="ED29" i="1"/>
  <c r="ED22" i="1"/>
  <c r="ED26" i="1"/>
  <c r="ED30" i="1"/>
  <c r="ED24" i="1"/>
  <c r="ED28" i="1"/>
  <c r="EE22" i="1" l="1"/>
  <c r="EE24" i="1"/>
  <c r="EE26" i="1"/>
  <c r="EE28" i="1"/>
  <c r="EE30" i="1"/>
  <c r="EE25" i="1"/>
  <c r="EE29" i="1"/>
  <c r="EE23" i="1"/>
  <c r="EE27" i="1"/>
  <c r="EE50" i="1"/>
  <c r="EE52" i="1"/>
  <c r="EE54" i="1"/>
  <c r="EE56" i="1"/>
  <c r="EE49" i="1"/>
  <c r="EE53" i="1"/>
  <c r="EE57" i="1"/>
  <c r="EE51" i="1"/>
  <c r="EE55" i="1"/>
  <c r="EF49" i="1" l="1"/>
  <c r="EF51" i="1"/>
  <c r="EF53" i="1"/>
  <c r="EF55" i="1"/>
  <c r="EF57" i="1"/>
  <c r="EF52" i="1"/>
  <c r="EF56" i="1"/>
  <c r="EF50" i="1"/>
  <c r="EF54" i="1"/>
  <c r="EF23" i="1"/>
  <c r="EF25" i="1"/>
  <c r="EF27" i="1"/>
  <c r="EF29" i="1"/>
  <c r="EF24" i="1"/>
  <c r="EF28" i="1"/>
  <c r="EF22" i="1"/>
  <c r="EF26" i="1"/>
  <c r="EF30" i="1"/>
  <c r="EG22" i="1" l="1"/>
  <c r="EG24" i="1"/>
  <c r="EG26" i="1"/>
  <c r="EG28" i="1"/>
  <c r="EG30" i="1"/>
  <c r="EG23" i="1"/>
  <c r="EG27" i="1"/>
  <c r="EG25" i="1"/>
  <c r="EG29" i="1"/>
  <c r="EG50" i="1"/>
  <c r="EG52" i="1"/>
  <c r="EG54" i="1"/>
  <c r="EG56" i="1"/>
  <c r="EG51" i="1"/>
  <c r="EG55" i="1"/>
  <c r="EG49" i="1"/>
  <c r="EG53" i="1"/>
  <c r="EG57" i="1"/>
  <c r="EH49" i="1" l="1"/>
  <c r="EH51" i="1"/>
  <c r="EH53" i="1"/>
  <c r="EH55" i="1"/>
  <c r="EH57" i="1"/>
  <c r="EH50" i="1"/>
  <c r="EH54" i="1"/>
  <c r="EH52" i="1"/>
  <c r="EH56" i="1"/>
  <c r="EH23" i="1"/>
  <c r="EH25" i="1"/>
  <c r="EH27" i="1"/>
  <c r="EH29" i="1"/>
  <c r="EH22" i="1"/>
  <c r="EH26" i="1"/>
  <c r="EH30" i="1"/>
  <c r="EH24" i="1"/>
  <c r="EH28" i="1"/>
  <c r="EI22" i="1" l="1"/>
  <c r="EI24" i="1"/>
  <c r="EI26" i="1"/>
  <c r="EI28" i="1"/>
  <c r="EI30" i="1"/>
  <c r="EI25" i="1"/>
  <c r="EI29" i="1"/>
  <c r="EI23" i="1"/>
  <c r="EI27" i="1"/>
  <c r="EI50" i="1"/>
  <c r="EI52" i="1"/>
  <c r="EI54" i="1"/>
  <c r="EI56" i="1"/>
  <c r="EI49" i="1"/>
  <c r="EI53" i="1"/>
  <c r="EI57" i="1"/>
  <c r="EI51" i="1"/>
  <c r="EI55" i="1"/>
  <c r="EJ49" i="1" l="1"/>
  <c r="EJ51" i="1"/>
  <c r="EJ53" i="1"/>
  <c r="EJ55" i="1"/>
  <c r="EJ57" i="1"/>
  <c r="EJ52" i="1"/>
  <c r="EJ56" i="1"/>
  <c r="EJ50" i="1"/>
  <c r="EJ54" i="1"/>
  <c r="EJ23" i="1"/>
  <c r="EJ25" i="1"/>
  <c r="EJ27" i="1"/>
  <c r="EJ29" i="1"/>
  <c r="EJ24" i="1"/>
  <c r="EJ28" i="1"/>
  <c r="EJ22" i="1"/>
  <c r="EJ26" i="1"/>
  <c r="EJ30" i="1"/>
  <c r="EK22" i="1" l="1"/>
  <c r="EK24" i="1"/>
  <c r="EK26" i="1"/>
  <c r="EK28" i="1"/>
  <c r="EK30" i="1"/>
  <c r="EK23" i="1"/>
  <c r="EK27" i="1"/>
  <c r="EK25" i="1"/>
  <c r="EK29" i="1"/>
  <c r="EK50" i="1"/>
  <c r="EK52" i="1"/>
  <c r="EK54" i="1"/>
  <c r="EK56" i="1"/>
  <c r="EK51" i="1"/>
  <c r="EK55" i="1"/>
  <c r="EK49" i="1"/>
  <c r="EK53" i="1"/>
  <c r="EK57" i="1"/>
  <c r="EL49" i="1" l="1"/>
  <c r="EL51" i="1"/>
  <c r="EL53" i="1"/>
  <c r="EL55" i="1"/>
  <c r="EL57" i="1"/>
  <c r="EL50" i="1"/>
  <c r="EL54" i="1"/>
  <c r="EL52" i="1"/>
  <c r="EL56" i="1"/>
  <c r="EL23" i="1"/>
  <c r="EL25" i="1"/>
  <c r="EL27" i="1"/>
  <c r="EL29" i="1"/>
  <c r="EL22" i="1"/>
  <c r="EL26" i="1"/>
  <c r="EL30" i="1"/>
  <c r="EL24" i="1"/>
  <c r="EL28" i="1"/>
  <c r="EM22" i="1" l="1"/>
  <c r="EM24" i="1"/>
  <c r="EM26" i="1"/>
  <c r="EM28" i="1"/>
  <c r="EM30" i="1"/>
  <c r="EM25" i="1"/>
  <c r="EM29" i="1"/>
  <c r="EM23" i="1"/>
  <c r="EM27" i="1"/>
  <c r="EM50" i="1"/>
  <c r="EM52" i="1"/>
  <c r="EM54" i="1"/>
  <c r="EM56" i="1"/>
  <c r="EM49" i="1"/>
  <c r="EM53" i="1"/>
  <c r="EM57" i="1"/>
  <c r="EM51" i="1"/>
  <c r="EM55" i="1"/>
  <c r="EN49" i="1" l="1"/>
  <c r="EN51" i="1"/>
  <c r="EN53" i="1"/>
  <c r="EN55" i="1"/>
  <c r="EN57" i="1"/>
  <c r="EN52" i="1"/>
  <c r="EN56" i="1"/>
  <c r="EN50" i="1"/>
  <c r="EN54" i="1"/>
  <c r="EN23" i="1"/>
  <c r="EN25" i="1"/>
  <c r="EN27" i="1"/>
  <c r="EN29" i="1"/>
  <c r="EN24" i="1"/>
  <c r="EN28" i="1"/>
  <c r="EN22" i="1"/>
  <c r="EN26" i="1"/>
  <c r="EN30" i="1"/>
  <c r="EO22" i="1" l="1"/>
  <c r="EO24" i="1"/>
  <c r="EO26" i="1"/>
  <c r="EO28" i="1"/>
  <c r="EO30" i="1"/>
  <c r="EO23" i="1"/>
  <c r="EO27" i="1"/>
  <c r="EO25" i="1"/>
  <c r="EO29" i="1"/>
  <c r="EO50" i="1"/>
  <c r="EO52" i="1"/>
  <c r="EO54" i="1"/>
  <c r="EO56" i="1"/>
  <c r="EO51" i="1"/>
  <c r="EO55" i="1"/>
  <c r="EO49" i="1"/>
  <c r="EO53" i="1"/>
  <c r="EO57" i="1"/>
  <c r="EP49" i="1" l="1"/>
  <c r="EP51" i="1"/>
  <c r="EP53" i="1"/>
  <c r="EP55" i="1"/>
  <c r="EP57" i="1"/>
  <c r="EP50" i="1"/>
  <c r="EP54" i="1"/>
  <c r="EP52" i="1"/>
  <c r="EP56" i="1"/>
  <c r="EP23" i="1"/>
  <c r="EP25" i="1"/>
  <c r="EP27" i="1"/>
  <c r="EP29" i="1"/>
  <c r="EP22" i="1"/>
  <c r="EP26" i="1"/>
  <c r="EP30" i="1"/>
  <c r="EP24" i="1"/>
  <c r="EP28" i="1"/>
  <c r="EQ22" i="1" l="1"/>
  <c r="EQ24" i="1"/>
  <c r="EQ26" i="1"/>
  <c r="EQ28" i="1"/>
  <c r="EQ30" i="1"/>
  <c r="EQ25" i="1"/>
  <c r="EQ29" i="1"/>
  <c r="EQ23" i="1"/>
  <c r="EQ27" i="1"/>
  <c r="EQ50" i="1"/>
  <c r="EQ52" i="1"/>
  <c r="EQ54" i="1"/>
  <c r="EQ56" i="1"/>
  <c r="EQ49" i="1"/>
  <c r="EQ53" i="1"/>
  <c r="EQ57" i="1"/>
  <c r="EQ51" i="1"/>
  <c r="EQ55" i="1"/>
  <c r="ER49" i="1" l="1"/>
  <c r="ER51" i="1"/>
  <c r="ER53" i="1"/>
  <c r="ER55" i="1"/>
  <c r="ER57" i="1"/>
  <c r="ER52" i="1"/>
  <c r="ER56" i="1"/>
  <c r="ER50" i="1"/>
  <c r="ER54" i="1"/>
  <c r="ER23" i="1"/>
  <c r="ER25" i="1"/>
  <c r="ER27" i="1"/>
  <c r="ER29" i="1"/>
  <c r="ER24" i="1"/>
  <c r="ER28" i="1"/>
  <c r="ER22" i="1"/>
  <c r="ER26" i="1"/>
  <c r="ER30" i="1"/>
  <c r="ES22" i="1" l="1"/>
  <c r="ES24" i="1"/>
  <c r="ES26" i="1"/>
  <c r="ES28" i="1"/>
  <c r="ES30" i="1"/>
  <c r="ES23" i="1"/>
  <c r="ES27" i="1"/>
  <c r="ES25" i="1"/>
  <c r="ES29" i="1"/>
  <c r="ES50" i="1"/>
  <c r="ES52" i="1"/>
  <c r="ES54" i="1"/>
  <c r="ES56" i="1"/>
  <c r="ES51" i="1"/>
  <c r="ES55" i="1"/>
  <c r="ES49" i="1"/>
  <c r="ES53" i="1"/>
  <c r="ES57" i="1"/>
  <c r="ET49" i="1" l="1"/>
  <c r="ET51" i="1"/>
  <c r="ET53" i="1"/>
  <c r="ET55" i="1"/>
  <c r="ET57" i="1"/>
  <c r="ET50" i="1"/>
  <c r="ET54" i="1"/>
  <c r="ET52" i="1"/>
  <c r="ET56" i="1"/>
  <c r="ET23" i="1"/>
  <c r="ET25" i="1"/>
  <c r="ET27" i="1"/>
  <c r="ET29" i="1"/>
  <c r="ET22" i="1"/>
  <c r="ET26" i="1"/>
  <c r="ET30" i="1"/>
  <c r="ET24" i="1"/>
  <c r="ET28" i="1"/>
  <c r="EU22" i="1" l="1"/>
  <c r="EU24" i="1"/>
  <c r="EU26" i="1"/>
  <c r="EU28" i="1"/>
  <c r="EU30" i="1"/>
  <c r="EU25" i="1"/>
  <c r="EU29" i="1"/>
  <c r="EU23" i="1"/>
  <c r="EU27" i="1"/>
  <c r="EU50" i="1"/>
  <c r="EU52" i="1"/>
  <c r="EU54" i="1"/>
  <c r="EU56" i="1"/>
  <c r="EU49" i="1"/>
  <c r="EU53" i="1"/>
  <c r="EU57" i="1"/>
  <c r="EU51" i="1"/>
  <c r="EU55" i="1"/>
</calcChain>
</file>

<file path=xl/sharedStrings.xml><?xml version="1.0" encoding="utf-8"?>
<sst xmlns="http://schemas.openxmlformats.org/spreadsheetml/2006/main" count="411" uniqueCount="71">
  <si>
    <t>Markov Chain Global</t>
  </si>
  <si>
    <t>A</t>
  </si>
  <si>
    <t>No human impact</t>
  </si>
  <si>
    <t>SO</t>
  </si>
  <si>
    <t>DO</t>
  </si>
  <si>
    <t>S</t>
  </si>
  <si>
    <t>R</t>
  </si>
  <si>
    <t>F</t>
  </si>
  <si>
    <t>T</t>
  </si>
  <si>
    <t>DE</t>
  </si>
  <si>
    <t>MO</t>
  </si>
  <si>
    <t>Initial Matrix</t>
  </si>
  <si>
    <t>Year</t>
  </si>
  <si>
    <t>From</t>
  </si>
  <si>
    <t>To</t>
  </si>
  <si>
    <t>Sum</t>
  </si>
  <si>
    <t>Human impact</t>
  </si>
  <si>
    <t>YEAR 50</t>
  </si>
  <si>
    <t>Monte Carlo</t>
  </si>
  <si>
    <t>Results of Monte Carlo Simulation</t>
  </si>
  <si>
    <t>Sample Number</t>
  </si>
  <si>
    <t>Simulation Stats</t>
  </si>
  <si>
    <t>repetitions</t>
  </si>
  <si>
    <t>secs</t>
  </si>
  <si>
    <t>Notes</t>
  </si>
  <si>
    <t>Average</t>
  </si>
  <si>
    <t>SD</t>
  </si>
  <si>
    <t>Max</t>
  </si>
  <si>
    <t>Min</t>
  </si>
  <si>
    <t>Only the first 100 repetitions are displayed on this worksheet.</t>
  </si>
  <si>
    <t>MCMC Madness'!$AY$23</t>
  </si>
  <si>
    <t>MCMC Madness'!$AY$50</t>
  </si>
  <si>
    <t>NO human Interaction</t>
  </si>
  <si>
    <t>Human Interaction</t>
  </si>
  <si>
    <t>$AY$24</t>
  </si>
  <si>
    <t>MCMC Madness'!$AY$51</t>
  </si>
  <si>
    <t>No Human Impact</t>
  </si>
  <si>
    <t>Human Impact</t>
  </si>
  <si>
    <t>MCMC Madness'!$AY$22</t>
  </si>
  <si>
    <t>MCMC Madness'!$AY$49</t>
  </si>
  <si>
    <t>MCMC Madness'!$AY$17</t>
  </si>
  <si>
    <t>MCMC Madness'!$AY$44</t>
  </si>
  <si>
    <t>NO human impact</t>
  </si>
  <si>
    <t>MCMC Madness'!$AY$25</t>
  </si>
  <si>
    <t>MCMC Madness'!$AY$52</t>
  </si>
  <si>
    <t>MCMC Madness'!$CW$25</t>
  </si>
  <si>
    <t>MCMC Madness'!$CW$52</t>
  </si>
  <si>
    <t>MCMC Madness'!$CW$24</t>
  </si>
  <si>
    <t>MCMC Madness'!$CW$51</t>
  </si>
  <si>
    <t>$CW$23</t>
  </si>
  <si>
    <t>MCMC Madness'!$CW$50</t>
  </si>
  <si>
    <t>MCMC Madness'!$CW$22</t>
  </si>
  <si>
    <t>MCMC Madness'!$CW$49</t>
  </si>
  <si>
    <t>MCMC Madness'!$CW$17</t>
  </si>
  <si>
    <t>MCMC Madness'!$CW$44</t>
  </si>
  <si>
    <t>No human Impact</t>
  </si>
  <si>
    <t>MCMC Madness'!$EU$17</t>
  </si>
  <si>
    <t>MCMC Madness'!$EU$44</t>
  </si>
  <si>
    <t>$EU$22</t>
  </si>
  <si>
    <t>MCMC Madness'!$EU$49</t>
  </si>
  <si>
    <t>MCMC Madness'!$EU$23</t>
  </si>
  <si>
    <t>MCMC Madness'!$EU$50</t>
  </si>
  <si>
    <t>MCMC Madness'!$EU$24</t>
  </si>
  <si>
    <t>MCMC Madness'!$EU$51</t>
  </si>
  <si>
    <t>$EU$25</t>
  </si>
  <si>
    <t>MCMC Madness'!$EU$52</t>
  </si>
  <si>
    <t>Standard Err.</t>
  </si>
  <si>
    <t>NO HUMAN IMPACT</t>
  </si>
  <si>
    <t>http://www3.wabash.edu/econometrics/EconometricsBook/Basic%20Tools/ExcelAddIns/MCSim.htm</t>
  </si>
  <si>
    <r>
      <t xml:space="preserve">To Run Monte Carlo, go to 
</t>
    </r>
    <r>
      <rPr>
        <b/>
        <sz val="18"/>
        <color theme="1"/>
        <rFont val="Calibri"/>
        <family val="2"/>
        <scheme val="minor"/>
      </rPr>
      <t xml:space="preserve"> 
</t>
    </r>
  </si>
  <si>
    <t xml:space="preserve">and download Monte Carlo Add-in, Courtesy of Dr. Humberto Barreto.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</si>
</sst>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"/>
    <numFmt numFmtId="165" formatCode="0.0000"/>
  </numFmts>
  <fonts count="23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i/>
      <u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i/>
      <u/>
      <sz val="12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name val="Times New Roman"/>
      <family val="1"/>
    </font>
    <font>
      <sz val="24"/>
      <name val="Times New Roman"/>
      <family val="1"/>
    </font>
    <font>
      <sz val="12"/>
      <color indexed="14"/>
      <name val="Times New Roman"/>
      <family val="1"/>
    </font>
    <font>
      <sz val="12"/>
      <color indexed="12"/>
      <name val="Times New Roman"/>
      <family val="1"/>
    </font>
    <font>
      <sz val="10"/>
      <name val="Arial"/>
      <family val="2"/>
    </font>
    <font>
      <b/>
      <sz val="14"/>
      <name val="Times New Roman"/>
      <family val="1"/>
    </font>
    <font>
      <b/>
      <sz val="12"/>
      <color indexed="14"/>
      <name val="Times New Roman"/>
      <family val="1"/>
    </font>
    <font>
      <b/>
      <sz val="12"/>
      <color indexed="12"/>
      <name val="Times New Roman"/>
      <family val="1"/>
    </font>
    <font>
      <b/>
      <sz val="12"/>
      <color indexed="10"/>
      <name val="Times New Roman"/>
      <family val="1"/>
    </font>
    <font>
      <b/>
      <sz val="12"/>
      <name val="Times New Roman"/>
      <family val="1"/>
    </font>
    <font>
      <sz val="12"/>
      <color indexed="9"/>
      <name val="Times New Roman"/>
      <family val="1"/>
    </font>
    <font>
      <sz val="12"/>
      <color indexed="10"/>
      <name val="Times New Roman"/>
      <family val="1"/>
    </font>
    <font>
      <b/>
      <sz val="4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5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1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8" fillId="0" borderId="0"/>
    <xf numFmtId="9" fontId="8" fillId="0" borderId="0" applyFont="0" applyFill="0" applyBorder="0" applyAlignment="0" applyProtection="0"/>
    <xf numFmtId="0" fontId="12" fillId="0" borderId="0"/>
    <xf numFmtId="0" fontId="8" fillId="0" borderId="0"/>
  </cellStyleXfs>
  <cellXfs count="71">
    <xf numFmtId="0" fontId="0" fillId="0" borderId="0" xfId="0"/>
    <xf numFmtId="0" fontId="3" fillId="0" borderId="0" xfId="0" applyFont="1"/>
    <xf numFmtId="0" fontId="4" fillId="0" borderId="0" xfId="0" applyFont="1"/>
    <xf numFmtId="11" fontId="0" fillId="0" borderId="0" xfId="0" applyNumberFormat="1"/>
    <xf numFmtId="1" fontId="4" fillId="0" borderId="0" xfId="0" applyNumberFormat="1" applyFont="1"/>
    <xf numFmtId="0" fontId="5" fillId="0" borderId="0" xfId="0" applyFont="1"/>
    <xf numFmtId="0" fontId="6" fillId="0" borderId="0" xfId="0" applyFont="1"/>
    <xf numFmtId="0" fontId="7" fillId="0" borderId="0" xfId="0" applyFont="1"/>
    <xf numFmtId="0" fontId="5" fillId="2" borderId="0" xfId="0" applyFont="1" applyFill="1"/>
    <xf numFmtId="0" fontId="0" fillId="2" borderId="0" xfId="0" applyFill="1"/>
    <xf numFmtId="0" fontId="9" fillId="0" borderId="0" xfId="27" applyFont="1" applyAlignment="1">
      <alignment horizontal="left"/>
    </xf>
    <xf numFmtId="0" fontId="10" fillId="0" borderId="0" xfId="28" applyNumberFormat="1" applyFont="1" applyAlignment="1">
      <alignment horizontal="center"/>
    </xf>
    <xf numFmtId="0" fontId="11" fillId="0" borderId="0" xfId="27" applyFont="1"/>
    <xf numFmtId="0" fontId="12" fillId="0" borderId="0" xfId="29"/>
    <xf numFmtId="0" fontId="8" fillId="0" borderId="0" xfId="27"/>
    <xf numFmtId="1" fontId="8" fillId="0" borderId="0" xfId="27" applyNumberFormat="1"/>
    <xf numFmtId="0" fontId="8" fillId="0" borderId="0" xfId="30"/>
    <xf numFmtId="0" fontId="8" fillId="0" borderId="1" xfId="27" applyBorder="1" applyAlignment="1">
      <alignment horizontal="center" wrapText="1"/>
    </xf>
    <xf numFmtId="9" fontId="10" fillId="0" borderId="1" xfId="28" applyFont="1" applyBorder="1" applyAlignment="1">
      <alignment horizontal="center" wrapText="1"/>
    </xf>
    <xf numFmtId="0" fontId="8" fillId="0" borderId="0" xfId="27" applyBorder="1" applyAlignment="1">
      <alignment wrapText="1"/>
    </xf>
    <xf numFmtId="0" fontId="8" fillId="0" borderId="0" xfId="27" applyAlignment="1">
      <alignment wrapText="1"/>
    </xf>
    <xf numFmtId="0" fontId="12" fillId="0" borderId="0" xfId="29" applyAlignment="1">
      <alignment wrapText="1"/>
    </xf>
    <xf numFmtId="0" fontId="8" fillId="0" borderId="0" xfId="27" applyAlignment="1">
      <alignment horizontal="center"/>
    </xf>
    <xf numFmtId="164" fontId="10" fillId="0" borderId="0" xfId="28" applyNumberFormat="1" applyFont="1" applyAlignment="1">
      <alignment horizontal="center"/>
    </xf>
    <xf numFmtId="164" fontId="11" fillId="0" borderId="0" xfId="27" applyNumberFormat="1" applyFont="1"/>
    <xf numFmtId="0" fontId="8" fillId="0" borderId="0" xfId="27" applyFont="1" applyBorder="1"/>
    <xf numFmtId="1" fontId="8" fillId="0" borderId="4" xfId="27" applyNumberFormat="1" applyFont="1" applyBorder="1"/>
    <xf numFmtId="0" fontId="8" fillId="0" borderId="5" xfId="27" applyFont="1" applyBorder="1"/>
    <xf numFmtId="1" fontId="8" fillId="0" borderId="6" xfId="27" applyNumberFormat="1" applyFont="1" applyBorder="1"/>
    <xf numFmtId="0" fontId="8" fillId="0" borderId="7" xfId="27" applyBorder="1"/>
    <xf numFmtId="0" fontId="17" fillId="0" borderId="0" xfId="27" applyFont="1" applyAlignment="1">
      <alignment horizontal="center"/>
    </xf>
    <xf numFmtId="0" fontId="8" fillId="0" borderId="0" xfId="27" applyBorder="1"/>
    <xf numFmtId="1" fontId="8" fillId="0" borderId="0" xfId="27" applyNumberFormat="1" applyFont="1" applyBorder="1"/>
    <xf numFmtId="0" fontId="10" fillId="0" borderId="4" xfId="27" applyFont="1" applyBorder="1"/>
    <xf numFmtId="164" fontId="10" fillId="0" borderId="5" xfId="28" applyNumberFormat="1" applyFont="1" applyBorder="1"/>
    <xf numFmtId="0" fontId="11" fillId="0" borderId="4" xfId="27" applyFont="1" applyBorder="1"/>
    <xf numFmtId="164" fontId="11" fillId="0" borderId="5" xfId="28" applyNumberFormat="1" applyFont="1" applyBorder="1"/>
    <xf numFmtId="0" fontId="16" fillId="0" borderId="12" xfId="27" applyFont="1" applyBorder="1"/>
    <xf numFmtId="0" fontId="16" fillId="0" borderId="9" xfId="27" applyFont="1" applyBorder="1"/>
    <xf numFmtId="165" fontId="10" fillId="0" borderId="5" xfId="28" applyNumberFormat="1" applyFont="1" applyBorder="1"/>
    <xf numFmtId="165" fontId="11" fillId="0" borderId="5" xfId="28" applyNumberFormat="1" applyFont="1" applyBorder="1"/>
    <xf numFmtId="0" fontId="16" fillId="0" borderId="0" xfId="27" applyFont="1" applyBorder="1"/>
    <xf numFmtId="0" fontId="16" fillId="0" borderId="13" xfId="27" applyFont="1" applyBorder="1"/>
    <xf numFmtId="1" fontId="8" fillId="0" borderId="0" xfId="28" applyNumberFormat="1"/>
    <xf numFmtId="0" fontId="8" fillId="0" borderId="13" xfId="27" applyFont="1" applyBorder="1"/>
    <xf numFmtId="0" fontId="10" fillId="0" borderId="6" xfId="27" applyFont="1" applyBorder="1"/>
    <xf numFmtId="164" fontId="10" fillId="0" borderId="7" xfId="28" applyNumberFormat="1" applyFont="1" applyBorder="1"/>
    <xf numFmtId="0" fontId="11" fillId="0" borderId="6" xfId="27" applyFont="1" applyBorder="1"/>
    <xf numFmtId="164" fontId="11" fillId="0" borderId="7" xfId="28" applyNumberFormat="1" applyFont="1" applyBorder="1"/>
    <xf numFmtId="0" fontId="8" fillId="0" borderId="1" xfId="27" applyFont="1" applyBorder="1"/>
    <xf numFmtId="0" fontId="8" fillId="0" borderId="14" xfId="27" applyFont="1" applyBorder="1"/>
    <xf numFmtId="0" fontId="12" fillId="0" borderId="0" xfId="29" applyBorder="1"/>
    <xf numFmtId="0" fontId="17" fillId="0" borderId="0" xfId="27" applyFont="1"/>
    <xf numFmtId="1" fontId="18" fillId="0" borderId="0" xfId="27" applyNumberFormat="1" applyFont="1"/>
    <xf numFmtId="0" fontId="8" fillId="0" borderId="0" xfId="27" applyFont="1"/>
    <xf numFmtId="0" fontId="19" fillId="0" borderId="0" xfId="27" applyFont="1" applyAlignment="1">
      <alignment horizontal="left"/>
    </xf>
    <xf numFmtId="9" fontId="10" fillId="0" borderId="1" xfId="28" quotePrefix="1" applyFont="1" applyBorder="1" applyAlignment="1">
      <alignment horizontal="center" wrapText="1"/>
    </xf>
    <xf numFmtId="9" fontId="11" fillId="0" borderId="1" xfId="28" quotePrefix="1" applyFont="1" applyBorder="1" applyAlignment="1">
      <alignment horizontal="center" wrapText="1"/>
    </xf>
    <xf numFmtId="0" fontId="8" fillId="0" borderId="0" xfId="30" quotePrefix="1"/>
    <xf numFmtId="0" fontId="13" fillId="0" borderId="2" xfId="27" applyFont="1" applyBorder="1" applyAlignment="1">
      <alignment horizontal="center" wrapText="1"/>
    </xf>
    <xf numFmtId="0" fontId="13" fillId="0" borderId="3" xfId="27" applyFont="1" applyBorder="1" applyAlignment="1">
      <alignment horizontal="center" wrapText="1"/>
    </xf>
    <xf numFmtId="0" fontId="14" fillId="0" borderId="8" xfId="27" quotePrefix="1" applyFont="1" applyBorder="1" applyAlignment="1">
      <alignment horizontal="center"/>
    </xf>
    <xf numFmtId="0" fontId="14" fillId="0" borderId="9" xfId="27" applyFont="1" applyBorder="1" applyAlignment="1">
      <alignment horizontal="center"/>
    </xf>
    <xf numFmtId="0" fontId="15" fillId="0" borderId="8" xfId="27" quotePrefix="1" applyFont="1" applyBorder="1" applyAlignment="1">
      <alignment horizontal="center"/>
    </xf>
    <xf numFmtId="0" fontId="15" fillId="0" borderId="9" xfId="27" applyFont="1" applyBorder="1" applyAlignment="1">
      <alignment horizontal="center"/>
    </xf>
    <xf numFmtId="0" fontId="16" fillId="0" borderId="10" xfId="27" applyFont="1" applyBorder="1" applyAlignment="1">
      <alignment horizontal="center"/>
    </xf>
    <xf numFmtId="0" fontId="16" fillId="0" borderId="11" xfId="27" applyFont="1" applyBorder="1" applyAlignment="1">
      <alignment horizontal="center"/>
    </xf>
    <xf numFmtId="0" fontId="14" fillId="0" borderId="8" xfId="27" applyFont="1" applyBorder="1" applyAlignment="1">
      <alignment horizontal="center"/>
    </xf>
    <xf numFmtId="0" fontId="0" fillId="0" borderId="0" xfId="0" applyAlignment="1">
      <alignment wrapText="1"/>
    </xf>
    <xf numFmtId="0" fontId="20" fillId="0" borderId="0" xfId="0" applyFont="1" applyAlignment="1"/>
    <xf numFmtId="0" fontId="22" fillId="0" borderId="0" xfId="0" applyFont="1" applyAlignment="1"/>
  </cellXfs>
  <cellStyles count="31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Normal" xfId="0" builtinId="0"/>
    <cellStyle name="Normal 2" xfId="30"/>
    <cellStyle name="Normal_AutoCorr" xfId="29"/>
    <cellStyle name="Normal_MonteCarlo" xfId="27"/>
    <cellStyle name="Percent 2" xfId="28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Fossil</a:t>
            </a:r>
            <a:r>
              <a:rPr lang="en-US" baseline="0"/>
              <a:t> Fuel, 2066</a:t>
            </a:r>
            <a:endParaRPr lang="en-US"/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'Fossil 50 Years'!$AL$1</c:f>
              <c:strCache>
                <c:ptCount val="1"/>
                <c:pt idx="0">
                  <c:v>MCMC Madness'!$AY$23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'Fossil 50 Years'!$AK$2:$AK$401</c:f>
              <c:numCache>
                <c:formatCode>General</c:formatCode>
                <c:ptCount val="400"/>
                <c:pt idx="0">
                  <c:v>200</c:v>
                </c:pt>
                <c:pt idx="1">
                  <c:v>200</c:v>
                </c:pt>
                <c:pt idx="2">
                  <c:v>220</c:v>
                </c:pt>
                <c:pt idx="3">
                  <c:v>220</c:v>
                </c:pt>
                <c:pt idx="4">
                  <c:v>240</c:v>
                </c:pt>
                <c:pt idx="5">
                  <c:v>240</c:v>
                </c:pt>
                <c:pt idx="6">
                  <c:v>260</c:v>
                </c:pt>
                <c:pt idx="7">
                  <c:v>260</c:v>
                </c:pt>
                <c:pt idx="8">
                  <c:v>280</c:v>
                </c:pt>
                <c:pt idx="9">
                  <c:v>280</c:v>
                </c:pt>
                <c:pt idx="10">
                  <c:v>300</c:v>
                </c:pt>
                <c:pt idx="11">
                  <c:v>300</c:v>
                </c:pt>
                <c:pt idx="12">
                  <c:v>320</c:v>
                </c:pt>
                <c:pt idx="13">
                  <c:v>320</c:v>
                </c:pt>
                <c:pt idx="14">
                  <c:v>340</c:v>
                </c:pt>
                <c:pt idx="15">
                  <c:v>340</c:v>
                </c:pt>
                <c:pt idx="16">
                  <c:v>360</c:v>
                </c:pt>
                <c:pt idx="17">
                  <c:v>360</c:v>
                </c:pt>
                <c:pt idx="18">
                  <c:v>380</c:v>
                </c:pt>
                <c:pt idx="19">
                  <c:v>380</c:v>
                </c:pt>
                <c:pt idx="20">
                  <c:v>400</c:v>
                </c:pt>
                <c:pt idx="21">
                  <c:v>400</c:v>
                </c:pt>
                <c:pt idx="22">
                  <c:v>420</c:v>
                </c:pt>
                <c:pt idx="23">
                  <c:v>420</c:v>
                </c:pt>
                <c:pt idx="24">
                  <c:v>440</c:v>
                </c:pt>
                <c:pt idx="25">
                  <c:v>440</c:v>
                </c:pt>
                <c:pt idx="26">
                  <c:v>460</c:v>
                </c:pt>
                <c:pt idx="27">
                  <c:v>460</c:v>
                </c:pt>
                <c:pt idx="28">
                  <c:v>480</c:v>
                </c:pt>
                <c:pt idx="29">
                  <c:v>480</c:v>
                </c:pt>
                <c:pt idx="30">
                  <c:v>500</c:v>
                </c:pt>
                <c:pt idx="31">
                  <c:v>500</c:v>
                </c:pt>
                <c:pt idx="32">
                  <c:v>520</c:v>
                </c:pt>
                <c:pt idx="33">
                  <c:v>520</c:v>
                </c:pt>
                <c:pt idx="34">
                  <c:v>540</c:v>
                </c:pt>
                <c:pt idx="35">
                  <c:v>540</c:v>
                </c:pt>
                <c:pt idx="36">
                  <c:v>560</c:v>
                </c:pt>
                <c:pt idx="37">
                  <c:v>560</c:v>
                </c:pt>
                <c:pt idx="38">
                  <c:v>580</c:v>
                </c:pt>
                <c:pt idx="39">
                  <c:v>580</c:v>
                </c:pt>
                <c:pt idx="40">
                  <c:v>600</c:v>
                </c:pt>
                <c:pt idx="41">
                  <c:v>600</c:v>
                </c:pt>
                <c:pt idx="42">
                  <c:v>620</c:v>
                </c:pt>
                <c:pt idx="43">
                  <c:v>620</c:v>
                </c:pt>
                <c:pt idx="44">
                  <c:v>640</c:v>
                </c:pt>
                <c:pt idx="45">
                  <c:v>640</c:v>
                </c:pt>
                <c:pt idx="46">
                  <c:v>660</c:v>
                </c:pt>
                <c:pt idx="47">
                  <c:v>660</c:v>
                </c:pt>
                <c:pt idx="48">
                  <c:v>680</c:v>
                </c:pt>
                <c:pt idx="49">
                  <c:v>680</c:v>
                </c:pt>
                <c:pt idx="50">
                  <c:v>700</c:v>
                </c:pt>
                <c:pt idx="51">
                  <c:v>700</c:v>
                </c:pt>
                <c:pt idx="52">
                  <c:v>720</c:v>
                </c:pt>
                <c:pt idx="53">
                  <c:v>720</c:v>
                </c:pt>
                <c:pt idx="54">
                  <c:v>740</c:v>
                </c:pt>
                <c:pt idx="55">
                  <c:v>740</c:v>
                </c:pt>
                <c:pt idx="56">
                  <c:v>760</c:v>
                </c:pt>
                <c:pt idx="57">
                  <c:v>760</c:v>
                </c:pt>
                <c:pt idx="58">
                  <c:v>780</c:v>
                </c:pt>
                <c:pt idx="59">
                  <c:v>780</c:v>
                </c:pt>
                <c:pt idx="60">
                  <c:v>800</c:v>
                </c:pt>
                <c:pt idx="61">
                  <c:v>800</c:v>
                </c:pt>
                <c:pt idx="62">
                  <c:v>820</c:v>
                </c:pt>
                <c:pt idx="63">
                  <c:v>820</c:v>
                </c:pt>
                <c:pt idx="64">
                  <c:v>840</c:v>
                </c:pt>
                <c:pt idx="65">
                  <c:v>840</c:v>
                </c:pt>
                <c:pt idx="66">
                  <c:v>860</c:v>
                </c:pt>
                <c:pt idx="67">
                  <c:v>860</c:v>
                </c:pt>
                <c:pt idx="68">
                  <c:v>880</c:v>
                </c:pt>
                <c:pt idx="69">
                  <c:v>880</c:v>
                </c:pt>
                <c:pt idx="70">
                  <c:v>900</c:v>
                </c:pt>
                <c:pt idx="71">
                  <c:v>900</c:v>
                </c:pt>
                <c:pt idx="72">
                  <c:v>920</c:v>
                </c:pt>
                <c:pt idx="73">
                  <c:v>920</c:v>
                </c:pt>
                <c:pt idx="74">
                  <c:v>940</c:v>
                </c:pt>
                <c:pt idx="75">
                  <c:v>940</c:v>
                </c:pt>
                <c:pt idx="76">
                  <c:v>960</c:v>
                </c:pt>
                <c:pt idx="77">
                  <c:v>960</c:v>
                </c:pt>
                <c:pt idx="78">
                  <c:v>980</c:v>
                </c:pt>
                <c:pt idx="79">
                  <c:v>980</c:v>
                </c:pt>
                <c:pt idx="80">
                  <c:v>1000</c:v>
                </c:pt>
                <c:pt idx="81">
                  <c:v>1000</c:v>
                </c:pt>
                <c:pt idx="82">
                  <c:v>1020</c:v>
                </c:pt>
                <c:pt idx="83">
                  <c:v>1020</c:v>
                </c:pt>
                <c:pt idx="84">
                  <c:v>1040</c:v>
                </c:pt>
                <c:pt idx="85">
                  <c:v>1040</c:v>
                </c:pt>
                <c:pt idx="86">
                  <c:v>1060</c:v>
                </c:pt>
                <c:pt idx="87">
                  <c:v>1060</c:v>
                </c:pt>
                <c:pt idx="88">
                  <c:v>1080</c:v>
                </c:pt>
                <c:pt idx="89">
                  <c:v>1080</c:v>
                </c:pt>
                <c:pt idx="90">
                  <c:v>1100</c:v>
                </c:pt>
                <c:pt idx="91">
                  <c:v>1100</c:v>
                </c:pt>
                <c:pt idx="92">
                  <c:v>1120</c:v>
                </c:pt>
                <c:pt idx="93">
                  <c:v>1120</c:v>
                </c:pt>
                <c:pt idx="94">
                  <c:v>1140</c:v>
                </c:pt>
                <c:pt idx="95">
                  <c:v>1140</c:v>
                </c:pt>
                <c:pt idx="96">
                  <c:v>1160</c:v>
                </c:pt>
                <c:pt idx="97">
                  <c:v>1160</c:v>
                </c:pt>
                <c:pt idx="98">
                  <c:v>1180</c:v>
                </c:pt>
                <c:pt idx="99">
                  <c:v>1180</c:v>
                </c:pt>
                <c:pt idx="100">
                  <c:v>1200</c:v>
                </c:pt>
                <c:pt idx="101">
                  <c:v>1200</c:v>
                </c:pt>
                <c:pt idx="102">
                  <c:v>1220</c:v>
                </c:pt>
                <c:pt idx="103">
                  <c:v>1220</c:v>
                </c:pt>
                <c:pt idx="104">
                  <c:v>1240</c:v>
                </c:pt>
                <c:pt idx="105">
                  <c:v>1240</c:v>
                </c:pt>
                <c:pt idx="106">
                  <c:v>1260</c:v>
                </c:pt>
                <c:pt idx="107">
                  <c:v>1260</c:v>
                </c:pt>
                <c:pt idx="108">
                  <c:v>1280</c:v>
                </c:pt>
                <c:pt idx="109">
                  <c:v>1280</c:v>
                </c:pt>
                <c:pt idx="110">
                  <c:v>1300</c:v>
                </c:pt>
                <c:pt idx="111">
                  <c:v>1300</c:v>
                </c:pt>
                <c:pt idx="112">
                  <c:v>1320</c:v>
                </c:pt>
                <c:pt idx="113">
                  <c:v>1320</c:v>
                </c:pt>
                <c:pt idx="114">
                  <c:v>1340</c:v>
                </c:pt>
                <c:pt idx="115">
                  <c:v>1340</c:v>
                </c:pt>
                <c:pt idx="116">
                  <c:v>1360</c:v>
                </c:pt>
                <c:pt idx="117">
                  <c:v>1360</c:v>
                </c:pt>
                <c:pt idx="118">
                  <c:v>1380</c:v>
                </c:pt>
                <c:pt idx="119">
                  <c:v>1380</c:v>
                </c:pt>
                <c:pt idx="120">
                  <c:v>1400</c:v>
                </c:pt>
                <c:pt idx="121">
                  <c:v>1400</c:v>
                </c:pt>
                <c:pt idx="122">
                  <c:v>1420</c:v>
                </c:pt>
                <c:pt idx="123">
                  <c:v>1420</c:v>
                </c:pt>
                <c:pt idx="124">
                  <c:v>1440</c:v>
                </c:pt>
                <c:pt idx="125">
                  <c:v>1440</c:v>
                </c:pt>
                <c:pt idx="126">
                  <c:v>1460</c:v>
                </c:pt>
                <c:pt idx="127">
                  <c:v>1460</c:v>
                </c:pt>
                <c:pt idx="128">
                  <c:v>1480</c:v>
                </c:pt>
                <c:pt idx="129">
                  <c:v>1480</c:v>
                </c:pt>
                <c:pt idx="130">
                  <c:v>1500</c:v>
                </c:pt>
                <c:pt idx="131">
                  <c:v>1500</c:v>
                </c:pt>
                <c:pt idx="132">
                  <c:v>1520</c:v>
                </c:pt>
                <c:pt idx="133">
                  <c:v>1520</c:v>
                </c:pt>
                <c:pt idx="134">
                  <c:v>1540</c:v>
                </c:pt>
                <c:pt idx="135">
                  <c:v>1540</c:v>
                </c:pt>
                <c:pt idx="136">
                  <c:v>1560</c:v>
                </c:pt>
                <c:pt idx="137">
                  <c:v>1560</c:v>
                </c:pt>
                <c:pt idx="138">
                  <c:v>1580</c:v>
                </c:pt>
                <c:pt idx="139">
                  <c:v>1580</c:v>
                </c:pt>
                <c:pt idx="140">
                  <c:v>1600</c:v>
                </c:pt>
                <c:pt idx="141">
                  <c:v>1600</c:v>
                </c:pt>
                <c:pt idx="142">
                  <c:v>1620</c:v>
                </c:pt>
                <c:pt idx="143">
                  <c:v>1620</c:v>
                </c:pt>
                <c:pt idx="144">
                  <c:v>1640</c:v>
                </c:pt>
                <c:pt idx="145">
                  <c:v>1640</c:v>
                </c:pt>
                <c:pt idx="146">
                  <c:v>1660</c:v>
                </c:pt>
                <c:pt idx="147">
                  <c:v>1660</c:v>
                </c:pt>
                <c:pt idx="148">
                  <c:v>1680</c:v>
                </c:pt>
                <c:pt idx="149">
                  <c:v>1680</c:v>
                </c:pt>
                <c:pt idx="150">
                  <c:v>1700</c:v>
                </c:pt>
                <c:pt idx="151">
                  <c:v>1700</c:v>
                </c:pt>
                <c:pt idx="152">
                  <c:v>1720</c:v>
                </c:pt>
                <c:pt idx="153">
                  <c:v>1720</c:v>
                </c:pt>
                <c:pt idx="154">
                  <c:v>1740</c:v>
                </c:pt>
                <c:pt idx="155">
                  <c:v>1740</c:v>
                </c:pt>
                <c:pt idx="156">
                  <c:v>1760</c:v>
                </c:pt>
                <c:pt idx="157">
                  <c:v>1760</c:v>
                </c:pt>
                <c:pt idx="158">
                  <c:v>1780</c:v>
                </c:pt>
                <c:pt idx="159">
                  <c:v>1780</c:v>
                </c:pt>
                <c:pt idx="160">
                  <c:v>1800</c:v>
                </c:pt>
                <c:pt idx="161">
                  <c:v>1800</c:v>
                </c:pt>
                <c:pt idx="162">
                  <c:v>1820</c:v>
                </c:pt>
                <c:pt idx="163">
                  <c:v>1820</c:v>
                </c:pt>
                <c:pt idx="164">
                  <c:v>1840</c:v>
                </c:pt>
                <c:pt idx="165">
                  <c:v>1840</c:v>
                </c:pt>
                <c:pt idx="166">
                  <c:v>1860</c:v>
                </c:pt>
                <c:pt idx="167">
                  <c:v>1860</c:v>
                </c:pt>
                <c:pt idx="168">
                  <c:v>1880</c:v>
                </c:pt>
                <c:pt idx="169">
                  <c:v>1880</c:v>
                </c:pt>
                <c:pt idx="170">
                  <c:v>1900</c:v>
                </c:pt>
                <c:pt idx="171">
                  <c:v>1900</c:v>
                </c:pt>
                <c:pt idx="172">
                  <c:v>1920</c:v>
                </c:pt>
                <c:pt idx="173">
                  <c:v>1920</c:v>
                </c:pt>
                <c:pt idx="174">
                  <c:v>1940</c:v>
                </c:pt>
                <c:pt idx="175">
                  <c:v>1940</c:v>
                </c:pt>
                <c:pt idx="176">
                  <c:v>1960</c:v>
                </c:pt>
                <c:pt idx="177">
                  <c:v>1960</c:v>
                </c:pt>
                <c:pt idx="178">
                  <c:v>1980</c:v>
                </c:pt>
                <c:pt idx="179">
                  <c:v>1980</c:v>
                </c:pt>
                <c:pt idx="180">
                  <c:v>2000</c:v>
                </c:pt>
                <c:pt idx="181">
                  <c:v>2000</c:v>
                </c:pt>
                <c:pt idx="182">
                  <c:v>2020</c:v>
                </c:pt>
                <c:pt idx="183">
                  <c:v>2020</c:v>
                </c:pt>
                <c:pt idx="184">
                  <c:v>2040</c:v>
                </c:pt>
                <c:pt idx="185">
                  <c:v>2040</c:v>
                </c:pt>
                <c:pt idx="186">
                  <c:v>2060</c:v>
                </c:pt>
                <c:pt idx="187">
                  <c:v>2060</c:v>
                </c:pt>
                <c:pt idx="188">
                  <c:v>2080</c:v>
                </c:pt>
                <c:pt idx="189">
                  <c:v>2080</c:v>
                </c:pt>
                <c:pt idx="190">
                  <c:v>2100</c:v>
                </c:pt>
                <c:pt idx="191">
                  <c:v>2100</c:v>
                </c:pt>
                <c:pt idx="192">
                  <c:v>2120</c:v>
                </c:pt>
                <c:pt idx="193">
                  <c:v>2120</c:v>
                </c:pt>
                <c:pt idx="194">
                  <c:v>2140</c:v>
                </c:pt>
                <c:pt idx="195">
                  <c:v>2140</c:v>
                </c:pt>
                <c:pt idx="196">
                  <c:v>2160</c:v>
                </c:pt>
                <c:pt idx="197">
                  <c:v>2160</c:v>
                </c:pt>
                <c:pt idx="198">
                  <c:v>2180</c:v>
                </c:pt>
                <c:pt idx="199">
                  <c:v>2180</c:v>
                </c:pt>
                <c:pt idx="200">
                  <c:v>2200</c:v>
                </c:pt>
                <c:pt idx="201">
                  <c:v>2200</c:v>
                </c:pt>
                <c:pt idx="202">
                  <c:v>2220</c:v>
                </c:pt>
                <c:pt idx="203">
                  <c:v>2220</c:v>
                </c:pt>
                <c:pt idx="204">
                  <c:v>2240</c:v>
                </c:pt>
                <c:pt idx="205">
                  <c:v>2240</c:v>
                </c:pt>
                <c:pt idx="206">
                  <c:v>2260</c:v>
                </c:pt>
                <c:pt idx="207">
                  <c:v>2260</c:v>
                </c:pt>
                <c:pt idx="208">
                  <c:v>2280</c:v>
                </c:pt>
                <c:pt idx="209">
                  <c:v>2280</c:v>
                </c:pt>
                <c:pt idx="210">
                  <c:v>2300</c:v>
                </c:pt>
                <c:pt idx="211">
                  <c:v>2300</c:v>
                </c:pt>
                <c:pt idx="212">
                  <c:v>2320</c:v>
                </c:pt>
                <c:pt idx="213">
                  <c:v>2320</c:v>
                </c:pt>
                <c:pt idx="214">
                  <c:v>2340</c:v>
                </c:pt>
                <c:pt idx="215">
                  <c:v>2340</c:v>
                </c:pt>
                <c:pt idx="216">
                  <c:v>2360</c:v>
                </c:pt>
                <c:pt idx="217">
                  <c:v>2360</c:v>
                </c:pt>
                <c:pt idx="218">
                  <c:v>2380</c:v>
                </c:pt>
                <c:pt idx="219">
                  <c:v>2380</c:v>
                </c:pt>
                <c:pt idx="220">
                  <c:v>2400</c:v>
                </c:pt>
                <c:pt idx="221">
                  <c:v>2400</c:v>
                </c:pt>
                <c:pt idx="222">
                  <c:v>2420</c:v>
                </c:pt>
                <c:pt idx="223">
                  <c:v>2420</c:v>
                </c:pt>
                <c:pt idx="224">
                  <c:v>2440</c:v>
                </c:pt>
                <c:pt idx="225">
                  <c:v>2440</c:v>
                </c:pt>
                <c:pt idx="226">
                  <c:v>2460</c:v>
                </c:pt>
                <c:pt idx="227">
                  <c:v>2460</c:v>
                </c:pt>
                <c:pt idx="228">
                  <c:v>2480</c:v>
                </c:pt>
                <c:pt idx="229">
                  <c:v>2480</c:v>
                </c:pt>
                <c:pt idx="230">
                  <c:v>2500</c:v>
                </c:pt>
                <c:pt idx="231">
                  <c:v>2500</c:v>
                </c:pt>
                <c:pt idx="232">
                  <c:v>2520</c:v>
                </c:pt>
                <c:pt idx="233">
                  <c:v>2520</c:v>
                </c:pt>
                <c:pt idx="234">
                  <c:v>2540</c:v>
                </c:pt>
                <c:pt idx="235">
                  <c:v>2540</c:v>
                </c:pt>
                <c:pt idx="236">
                  <c:v>2560</c:v>
                </c:pt>
                <c:pt idx="237">
                  <c:v>2560</c:v>
                </c:pt>
                <c:pt idx="238">
                  <c:v>2580</c:v>
                </c:pt>
                <c:pt idx="239">
                  <c:v>2580</c:v>
                </c:pt>
                <c:pt idx="240">
                  <c:v>2600</c:v>
                </c:pt>
                <c:pt idx="241">
                  <c:v>2600</c:v>
                </c:pt>
                <c:pt idx="242">
                  <c:v>2620</c:v>
                </c:pt>
                <c:pt idx="243">
                  <c:v>2620</c:v>
                </c:pt>
                <c:pt idx="244">
                  <c:v>2640</c:v>
                </c:pt>
                <c:pt idx="245">
                  <c:v>2640</c:v>
                </c:pt>
                <c:pt idx="246">
                  <c:v>2660</c:v>
                </c:pt>
                <c:pt idx="247">
                  <c:v>2660</c:v>
                </c:pt>
                <c:pt idx="248">
                  <c:v>2680</c:v>
                </c:pt>
                <c:pt idx="249">
                  <c:v>2680</c:v>
                </c:pt>
                <c:pt idx="250">
                  <c:v>2700</c:v>
                </c:pt>
                <c:pt idx="251">
                  <c:v>2700</c:v>
                </c:pt>
                <c:pt idx="252">
                  <c:v>2720</c:v>
                </c:pt>
                <c:pt idx="253">
                  <c:v>2720</c:v>
                </c:pt>
                <c:pt idx="254">
                  <c:v>2740</c:v>
                </c:pt>
                <c:pt idx="255">
                  <c:v>2740</c:v>
                </c:pt>
                <c:pt idx="256">
                  <c:v>2760</c:v>
                </c:pt>
                <c:pt idx="257">
                  <c:v>2760</c:v>
                </c:pt>
                <c:pt idx="258">
                  <c:v>2780</c:v>
                </c:pt>
                <c:pt idx="259">
                  <c:v>2780</c:v>
                </c:pt>
                <c:pt idx="260">
                  <c:v>2800</c:v>
                </c:pt>
                <c:pt idx="261">
                  <c:v>2800</c:v>
                </c:pt>
                <c:pt idx="262">
                  <c:v>2820</c:v>
                </c:pt>
                <c:pt idx="263">
                  <c:v>2820</c:v>
                </c:pt>
                <c:pt idx="264">
                  <c:v>2840</c:v>
                </c:pt>
                <c:pt idx="265">
                  <c:v>2840</c:v>
                </c:pt>
                <c:pt idx="266">
                  <c:v>2860</c:v>
                </c:pt>
                <c:pt idx="267">
                  <c:v>2860</c:v>
                </c:pt>
                <c:pt idx="268">
                  <c:v>2880</c:v>
                </c:pt>
                <c:pt idx="269">
                  <c:v>2880</c:v>
                </c:pt>
                <c:pt idx="270">
                  <c:v>2900</c:v>
                </c:pt>
                <c:pt idx="271">
                  <c:v>2900</c:v>
                </c:pt>
                <c:pt idx="272">
                  <c:v>2920</c:v>
                </c:pt>
                <c:pt idx="273">
                  <c:v>2920</c:v>
                </c:pt>
                <c:pt idx="274">
                  <c:v>2940</c:v>
                </c:pt>
                <c:pt idx="275">
                  <c:v>2940</c:v>
                </c:pt>
                <c:pt idx="276">
                  <c:v>2960</c:v>
                </c:pt>
                <c:pt idx="277">
                  <c:v>2960</c:v>
                </c:pt>
                <c:pt idx="278">
                  <c:v>2980</c:v>
                </c:pt>
                <c:pt idx="279">
                  <c:v>2980</c:v>
                </c:pt>
                <c:pt idx="280">
                  <c:v>3000</c:v>
                </c:pt>
                <c:pt idx="281">
                  <c:v>3000</c:v>
                </c:pt>
                <c:pt idx="282">
                  <c:v>3020</c:v>
                </c:pt>
                <c:pt idx="283">
                  <c:v>3020</c:v>
                </c:pt>
                <c:pt idx="284">
                  <c:v>3040</c:v>
                </c:pt>
                <c:pt idx="285">
                  <c:v>3040</c:v>
                </c:pt>
                <c:pt idx="286">
                  <c:v>3060</c:v>
                </c:pt>
                <c:pt idx="287">
                  <c:v>3060</c:v>
                </c:pt>
                <c:pt idx="288">
                  <c:v>3080</c:v>
                </c:pt>
                <c:pt idx="289">
                  <c:v>3080</c:v>
                </c:pt>
                <c:pt idx="290">
                  <c:v>3100</c:v>
                </c:pt>
                <c:pt idx="291">
                  <c:v>3100</c:v>
                </c:pt>
                <c:pt idx="292">
                  <c:v>3120</c:v>
                </c:pt>
                <c:pt idx="293">
                  <c:v>3120</c:v>
                </c:pt>
                <c:pt idx="294">
                  <c:v>3140</c:v>
                </c:pt>
                <c:pt idx="295">
                  <c:v>3140</c:v>
                </c:pt>
                <c:pt idx="296">
                  <c:v>3160</c:v>
                </c:pt>
                <c:pt idx="297">
                  <c:v>3160</c:v>
                </c:pt>
                <c:pt idx="298">
                  <c:v>3180</c:v>
                </c:pt>
                <c:pt idx="299">
                  <c:v>3180</c:v>
                </c:pt>
                <c:pt idx="300">
                  <c:v>3200</c:v>
                </c:pt>
                <c:pt idx="301">
                  <c:v>3200</c:v>
                </c:pt>
                <c:pt idx="302">
                  <c:v>3220</c:v>
                </c:pt>
                <c:pt idx="303">
                  <c:v>3220</c:v>
                </c:pt>
                <c:pt idx="304">
                  <c:v>3240</c:v>
                </c:pt>
                <c:pt idx="305">
                  <c:v>3240</c:v>
                </c:pt>
                <c:pt idx="306">
                  <c:v>3260</c:v>
                </c:pt>
                <c:pt idx="307">
                  <c:v>3260</c:v>
                </c:pt>
                <c:pt idx="308">
                  <c:v>3280</c:v>
                </c:pt>
                <c:pt idx="309">
                  <c:v>3280</c:v>
                </c:pt>
                <c:pt idx="310">
                  <c:v>3300</c:v>
                </c:pt>
                <c:pt idx="311">
                  <c:v>3300</c:v>
                </c:pt>
                <c:pt idx="312">
                  <c:v>3320</c:v>
                </c:pt>
                <c:pt idx="313">
                  <c:v>3320</c:v>
                </c:pt>
                <c:pt idx="314">
                  <c:v>3340</c:v>
                </c:pt>
                <c:pt idx="315">
                  <c:v>3340</c:v>
                </c:pt>
                <c:pt idx="316">
                  <c:v>3360</c:v>
                </c:pt>
                <c:pt idx="317">
                  <c:v>3360</c:v>
                </c:pt>
                <c:pt idx="318">
                  <c:v>3380</c:v>
                </c:pt>
                <c:pt idx="319">
                  <c:v>3380</c:v>
                </c:pt>
                <c:pt idx="320">
                  <c:v>3400</c:v>
                </c:pt>
                <c:pt idx="321">
                  <c:v>3400</c:v>
                </c:pt>
                <c:pt idx="322">
                  <c:v>3420</c:v>
                </c:pt>
                <c:pt idx="323">
                  <c:v>3420</c:v>
                </c:pt>
                <c:pt idx="324">
                  <c:v>3440</c:v>
                </c:pt>
                <c:pt idx="325">
                  <c:v>3440</c:v>
                </c:pt>
                <c:pt idx="326">
                  <c:v>3460</c:v>
                </c:pt>
                <c:pt idx="327">
                  <c:v>3460</c:v>
                </c:pt>
                <c:pt idx="328">
                  <c:v>3480</c:v>
                </c:pt>
                <c:pt idx="329">
                  <c:v>3480</c:v>
                </c:pt>
                <c:pt idx="330">
                  <c:v>3500</c:v>
                </c:pt>
                <c:pt idx="331">
                  <c:v>3500</c:v>
                </c:pt>
                <c:pt idx="332">
                  <c:v>3520</c:v>
                </c:pt>
                <c:pt idx="333">
                  <c:v>3520</c:v>
                </c:pt>
                <c:pt idx="334">
                  <c:v>3540</c:v>
                </c:pt>
                <c:pt idx="335">
                  <c:v>3540</c:v>
                </c:pt>
                <c:pt idx="336">
                  <c:v>3560</c:v>
                </c:pt>
                <c:pt idx="337">
                  <c:v>3560</c:v>
                </c:pt>
                <c:pt idx="338">
                  <c:v>3580</c:v>
                </c:pt>
                <c:pt idx="339">
                  <c:v>3580</c:v>
                </c:pt>
                <c:pt idx="340">
                  <c:v>3600</c:v>
                </c:pt>
                <c:pt idx="341">
                  <c:v>3600</c:v>
                </c:pt>
                <c:pt idx="342">
                  <c:v>3620</c:v>
                </c:pt>
                <c:pt idx="343">
                  <c:v>3620</c:v>
                </c:pt>
                <c:pt idx="344">
                  <c:v>3640</c:v>
                </c:pt>
                <c:pt idx="345">
                  <c:v>3640</c:v>
                </c:pt>
                <c:pt idx="346">
                  <c:v>3660</c:v>
                </c:pt>
                <c:pt idx="347">
                  <c:v>3660</c:v>
                </c:pt>
                <c:pt idx="348">
                  <c:v>3680</c:v>
                </c:pt>
                <c:pt idx="349">
                  <c:v>3680</c:v>
                </c:pt>
                <c:pt idx="350">
                  <c:v>3700</c:v>
                </c:pt>
                <c:pt idx="351">
                  <c:v>3700</c:v>
                </c:pt>
                <c:pt idx="352">
                  <c:v>3720</c:v>
                </c:pt>
                <c:pt idx="353">
                  <c:v>3720</c:v>
                </c:pt>
                <c:pt idx="354">
                  <c:v>3740</c:v>
                </c:pt>
                <c:pt idx="355">
                  <c:v>3740</c:v>
                </c:pt>
                <c:pt idx="356">
                  <c:v>3760</c:v>
                </c:pt>
                <c:pt idx="357">
                  <c:v>3760</c:v>
                </c:pt>
                <c:pt idx="358">
                  <c:v>3780</c:v>
                </c:pt>
                <c:pt idx="359">
                  <c:v>3780</c:v>
                </c:pt>
                <c:pt idx="360">
                  <c:v>3800</c:v>
                </c:pt>
                <c:pt idx="361">
                  <c:v>3800</c:v>
                </c:pt>
                <c:pt idx="362">
                  <c:v>3820</c:v>
                </c:pt>
                <c:pt idx="363">
                  <c:v>3820</c:v>
                </c:pt>
                <c:pt idx="364">
                  <c:v>3840</c:v>
                </c:pt>
                <c:pt idx="365">
                  <c:v>3840</c:v>
                </c:pt>
                <c:pt idx="366">
                  <c:v>3860</c:v>
                </c:pt>
                <c:pt idx="367">
                  <c:v>3860</c:v>
                </c:pt>
                <c:pt idx="368">
                  <c:v>3880</c:v>
                </c:pt>
                <c:pt idx="369">
                  <c:v>3880</c:v>
                </c:pt>
                <c:pt idx="370">
                  <c:v>3900</c:v>
                </c:pt>
                <c:pt idx="371">
                  <c:v>3900</c:v>
                </c:pt>
                <c:pt idx="372">
                  <c:v>3920</c:v>
                </c:pt>
                <c:pt idx="373">
                  <c:v>3920</c:v>
                </c:pt>
                <c:pt idx="374">
                  <c:v>3940</c:v>
                </c:pt>
                <c:pt idx="375">
                  <c:v>3940</c:v>
                </c:pt>
                <c:pt idx="376">
                  <c:v>3960</c:v>
                </c:pt>
                <c:pt idx="377">
                  <c:v>3960</c:v>
                </c:pt>
                <c:pt idx="378">
                  <c:v>3980</c:v>
                </c:pt>
                <c:pt idx="379">
                  <c:v>3980</c:v>
                </c:pt>
                <c:pt idx="380">
                  <c:v>4000</c:v>
                </c:pt>
                <c:pt idx="381">
                  <c:v>4000</c:v>
                </c:pt>
                <c:pt idx="382">
                  <c:v>4020</c:v>
                </c:pt>
                <c:pt idx="383">
                  <c:v>4020</c:v>
                </c:pt>
                <c:pt idx="384">
                  <c:v>4040</c:v>
                </c:pt>
                <c:pt idx="385">
                  <c:v>4040</c:v>
                </c:pt>
                <c:pt idx="386">
                  <c:v>4060</c:v>
                </c:pt>
                <c:pt idx="387">
                  <c:v>4060</c:v>
                </c:pt>
                <c:pt idx="388">
                  <c:v>4080</c:v>
                </c:pt>
                <c:pt idx="389">
                  <c:v>4080</c:v>
                </c:pt>
                <c:pt idx="390">
                  <c:v>4100</c:v>
                </c:pt>
                <c:pt idx="391">
                  <c:v>4100</c:v>
                </c:pt>
                <c:pt idx="392">
                  <c:v>4120</c:v>
                </c:pt>
                <c:pt idx="393">
                  <c:v>4120</c:v>
                </c:pt>
                <c:pt idx="394">
                  <c:v>4140</c:v>
                </c:pt>
                <c:pt idx="395">
                  <c:v>4140</c:v>
                </c:pt>
                <c:pt idx="396">
                  <c:v>4160</c:v>
                </c:pt>
                <c:pt idx="397">
                  <c:v>4160</c:v>
                </c:pt>
                <c:pt idx="398">
                  <c:v>4180</c:v>
                </c:pt>
                <c:pt idx="399">
                  <c:v>4180</c:v>
                </c:pt>
              </c:numCache>
            </c:numRef>
          </c:xVal>
          <c:yVal>
            <c:numRef>
              <c:f>'Fossil 50 Years'!$AL$2:$AL$401</c:f>
              <c:numCache>
                <c:formatCode>General</c:formatCode>
                <c:ptCount val="4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9764</c:v>
                </c:pt>
                <c:pt idx="396">
                  <c:v>9764</c:v>
                </c:pt>
                <c:pt idx="397">
                  <c:v>236</c:v>
                </c:pt>
                <c:pt idx="398">
                  <c:v>236</c:v>
                </c:pt>
                <c:pt idx="3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7AD-4180-9F06-C6C73C4FB7F2}"/>
            </c:ext>
          </c:extLst>
        </c:ser>
        <c:ser>
          <c:idx val="1"/>
          <c:order val="1"/>
          <c:tx>
            <c:strRef>
              <c:f>'Fossil 50 Years'!$AM$1</c:f>
              <c:strCache>
                <c:ptCount val="1"/>
                <c:pt idx="0">
                  <c:v>MCMC Madness'!$AY$50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'Fossil 50 Years'!$AK$2:$AK$401</c:f>
              <c:numCache>
                <c:formatCode>General</c:formatCode>
                <c:ptCount val="400"/>
                <c:pt idx="0">
                  <c:v>200</c:v>
                </c:pt>
                <c:pt idx="1">
                  <c:v>200</c:v>
                </c:pt>
                <c:pt idx="2">
                  <c:v>220</c:v>
                </c:pt>
                <c:pt idx="3">
                  <c:v>220</c:v>
                </c:pt>
                <c:pt idx="4">
                  <c:v>240</c:v>
                </c:pt>
                <c:pt idx="5">
                  <c:v>240</c:v>
                </c:pt>
                <c:pt idx="6">
                  <c:v>260</c:v>
                </c:pt>
                <c:pt idx="7">
                  <c:v>260</c:v>
                </c:pt>
                <c:pt idx="8">
                  <c:v>280</c:v>
                </c:pt>
                <c:pt idx="9">
                  <c:v>280</c:v>
                </c:pt>
                <c:pt idx="10">
                  <c:v>300</c:v>
                </c:pt>
                <c:pt idx="11">
                  <c:v>300</c:v>
                </c:pt>
                <c:pt idx="12">
                  <c:v>320</c:v>
                </c:pt>
                <c:pt idx="13">
                  <c:v>320</c:v>
                </c:pt>
                <c:pt idx="14">
                  <c:v>340</c:v>
                </c:pt>
                <c:pt idx="15">
                  <c:v>340</c:v>
                </c:pt>
                <c:pt idx="16">
                  <c:v>360</c:v>
                </c:pt>
                <c:pt idx="17">
                  <c:v>360</c:v>
                </c:pt>
                <c:pt idx="18">
                  <c:v>380</c:v>
                </c:pt>
                <c:pt idx="19">
                  <c:v>380</c:v>
                </c:pt>
                <c:pt idx="20">
                  <c:v>400</c:v>
                </c:pt>
                <c:pt idx="21">
                  <c:v>400</c:v>
                </c:pt>
                <c:pt idx="22">
                  <c:v>420</c:v>
                </c:pt>
                <c:pt idx="23">
                  <c:v>420</c:v>
                </c:pt>
                <c:pt idx="24">
                  <c:v>440</c:v>
                </c:pt>
                <c:pt idx="25">
                  <c:v>440</c:v>
                </c:pt>
                <c:pt idx="26">
                  <c:v>460</c:v>
                </c:pt>
                <c:pt idx="27">
                  <c:v>460</c:v>
                </c:pt>
                <c:pt idx="28">
                  <c:v>480</c:v>
                </c:pt>
                <c:pt idx="29">
                  <c:v>480</c:v>
                </c:pt>
                <c:pt idx="30">
                  <c:v>500</c:v>
                </c:pt>
                <c:pt idx="31">
                  <c:v>500</c:v>
                </c:pt>
                <c:pt idx="32">
                  <c:v>520</c:v>
                </c:pt>
                <c:pt idx="33">
                  <c:v>520</c:v>
                </c:pt>
                <c:pt idx="34">
                  <c:v>540</c:v>
                </c:pt>
                <c:pt idx="35">
                  <c:v>540</c:v>
                </c:pt>
                <c:pt idx="36">
                  <c:v>560</c:v>
                </c:pt>
                <c:pt idx="37">
                  <c:v>560</c:v>
                </c:pt>
                <c:pt idx="38">
                  <c:v>580</c:v>
                </c:pt>
                <c:pt idx="39">
                  <c:v>580</c:v>
                </c:pt>
                <c:pt idx="40">
                  <c:v>600</c:v>
                </c:pt>
                <c:pt idx="41">
                  <c:v>600</c:v>
                </c:pt>
                <c:pt idx="42">
                  <c:v>620</c:v>
                </c:pt>
                <c:pt idx="43">
                  <c:v>620</c:v>
                </c:pt>
                <c:pt idx="44">
                  <c:v>640</c:v>
                </c:pt>
                <c:pt idx="45">
                  <c:v>640</c:v>
                </c:pt>
                <c:pt idx="46">
                  <c:v>660</c:v>
                </c:pt>
                <c:pt idx="47">
                  <c:v>660</c:v>
                </c:pt>
                <c:pt idx="48">
                  <c:v>680</c:v>
                </c:pt>
                <c:pt idx="49">
                  <c:v>680</c:v>
                </c:pt>
                <c:pt idx="50">
                  <c:v>700</c:v>
                </c:pt>
                <c:pt idx="51">
                  <c:v>700</c:v>
                </c:pt>
                <c:pt idx="52">
                  <c:v>720</c:v>
                </c:pt>
                <c:pt idx="53">
                  <c:v>720</c:v>
                </c:pt>
                <c:pt idx="54">
                  <c:v>740</c:v>
                </c:pt>
                <c:pt idx="55">
                  <c:v>740</c:v>
                </c:pt>
                <c:pt idx="56">
                  <c:v>760</c:v>
                </c:pt>
                <c:pt idx="57">
                  <c:v>760</c:v>
                </c:pt>
                <c:pt idx="58">
                  <c:v>780</c:v>
                </c:pt>
                <c:pt idx="59">
                  <c:v>780</c:v>
                </c:pt>
                <c:pt idx="60">
                  <c:v>800</c:v>
                </c:pt>
                <c:pt idx="61">
                  <c:v>800</c:v>
                </c:pt>
                <c:pt idx="62">
                  <c:v>820</c:v>
                </c:pt>
                <c:pt idx="63">
                  <c:v>820</c:v>
                </c:pt>
                <c:pt idx="64">
                  <c:v>840</c:v>
                </c:pt>
                <c:pt idx="65">
                  <c:v>840</c:v>
                </c:pt>
                <c:pt idx="66">
                  <c:v>860</c:v>
                </c:pt>
                <c:pt idx="67">
                  <c:v>860</c:v>
                </c:pt>
                <c:pt idx="68">
                  <c:v>880</c:v>
                </c:pt>
                <c:pt idx="69">
                  <c:v>880</c:v>
                </c:pt>
                <c:pt idx="70">
                  <c:v>900</c:v>
                </c:pt>
                <c:pt idx="71">
                  <c:v>900</c:v>
                </c:pt>
                <c:pt idx="72">
                  <c:v>920</c:v>
                </c:pt>
                <c:pt idx="73">
                  <c:v>920</c:v>
                </c:pt>
                <c:pt idx="74">
                  <c:v>940</c:v>
                </c:pt>
                <c:pt idx="75">
                  <c:v>940</c:v>
                </c:pt>
                <c:pt idx="76">
                  <c:v>960</c:v>
                </c:pt>
                <c:pt idx="77">
                  <c:v>960</c:v>
                </c:pt>
                <c:pt idx="78">
                  <c:v>980</c:v>
                </c:pt>
                <c:pt idx="79">
                  <c:v>980</c:v>
                </c:pt>
                <c:pt idx="80">
                  <c:v>1000</c:v>
                </c:pt>
                <c:pt idx="81">
                  <c:v>1000</c:v>
                </c:pt>
                <c:pt idx="82">
                  <c:v>1020</c:v>
                </c:pt>
                <c:pt idx="83">
                  <c:v>1020</c:v>
                </c:pt>
                <c:pt idx="84">
                  <c:v>1040</c:v>
                </c:pt>
                <c:pt idx="85">
                  <c:v>1040</c:v>
                </c:pt>
                <c:pt idx="86">
                  <c:v>1060</c:v>
                </c:pt>
                <c:pt idx="87">
                  <c:v>1060</c:v>
                </c:pt>
                <c:pt idx="88">
                  <c:v>1080</c:v>
                </c:pt>
                <c:pt idx="89">
                  <c:v>1080</c:v>
                </c:pt>
                <c:pt idx="90">
                  <c:v>1100</c:v>
                </c:pt>
                <c:pt idx="91">
                  <c:v>1100</c:v>
                </c:pt>
                <c:pt idx="92">
                  <c:v>1120</c:v>
                </c:pt>
                <c:pt idx="93">
                  <c:v>1120</c:v>
                </c:pt>
                <c:pt idx="94">
                  <c:v>1140</c:v>
                </c:pt>
                <c:pt idx="95">
                  <c:v>1140</c:v>
                </c:pt>
                <c:pt idx="96">
                  <c:v>1160</c:v>
                </c:pt>
                <c:pt idx="97">
                  <c:v>1160</c:v>
                </c:pt>
                <c:pt idx="98">
                  <c:v>1180</c:v>
                </c:pt>
                <c:pt idx="99">
                  <c:v>1180</c:v>
                </c:pt>
                <c:pt idx="100">
                  <c:v>1200</c:v>
                </c:pt>
                <c:pt idx="101">
                  <c:v>1200</c:v>
                </c:pt>
                <c:pt idx="102">
                  <c:v>1220</c:v>
                </c:pt>
                <c:pt idx="103">
                  <c:v>1220</c:v>
                </c:pt>
                <c:pt idx="104">
                  <c:v>1240</c:v>
                </c:pt>
                <c:pt idx="105">
                  <c:v>1240</c:v>
                </c:pt>
                <c:pt idx="106">
                  <c:v>1260</c:v>
                </c:pt>
                <c:pt idx="107">
                  <c:v>1260</c:v>
                </c:pt>
                <c:pt idx="108">
                  <c:v>1280</c:v>
                </c:pt>
                <c:pt idx="109">
                  <c:v>1280</c:v>
                </c:pt>
                <c:pt idx="110">
                  <c:v>1300</c:v>
                </c:pt>
                <c:pt idx="111">
                  <c:v>1300</c:v>
                </c:pt>
                <c:pt idx="112">
                  <c:v>1320</c:v>
                </c:pt>
                <c:pt idx="113">
                  <c:v>1320</c:v>
                </c:pt>
                <c:pt idx="114">
                  <c:v>1340</c:v>
                </c:pt>
                <c:pt idx="115">
                  <c:v>1340</c:v>
                </c:pt>
                <c:pt idx="116">
                  <c:v>1360</c:v>
                </c:pt>
                <c:pt idx="117">
                  <c:v>1360</c:v>
                </c:pt>
                <c:pt idx="118">
                  <c:v>1380</c:v>
                </c:pt>
                <c:pt idx="119">
                  <c:v>1380</c:v>
                </c:pt>
                <c:pt idx="120">
                  <c:v>1400</c:v>
                </c:pt>
                <c:pt idx="121">
                  <c:v>1400</c:v>
                </c:pt>
                <c:pt idx="122">
                  <c:v>1420</c:v>
                </c:pt>
                <c:pt idx="123">
                  <c:v>1420</c:v>
                </c:pt>
                <c:pt idx="124">
                  <c:v>1440</c:v>
                </c:pt>
                <c:pt idx="125">
                  <c:v>1440</c:v>
                </c:pt>
                <c:pt idx="126">
                  <c:v>1460</c:v>
                </c:pt>
                <c:pt idx="127">
                  <c:v>1460</c:v>
                </c:pt>
                <c:pt idx="128">
                  <c:v>1480</c:v>
                </c:pt>
                <c:pt idx="129">
                  <c:v>1480</c:v>
                </c:pt>
                <c:pt idx="130">
                  <c:v>1500</c:v>
                </c:pt>
                <c:pt idx="131">
                  <c:v>1500</c:v>
                </c:pt>
                <c:pt idx="132">
                  <c:v>1520</c:v>
                </c:pt>
                <c:pt idx="133">
                  <c:v>1520</c:v>
                </c:pt>
                <c:pt idx="134">
                  <c:v>1540</c:v>
                </c:pt>
                <c:pt idx="135">
                  <c:v>1540</c:v>
                </c:pt>
                <c:pt idx="136">
                  <c:v>1560</c:v>
                </c:pt>
                <c:pt idx="137">
                  <c:v>1560</c:v>
                </c:pt>
                <c:pt idx="138">
                  <c:v>1580</c:v>
                </c:pt>
                <c:pt idx="139">
                  <c:v>1580</c:v>
                </c:pt>
                <c:pt idx="140">
                  <c:v>1600</c:v>
                </c:pt>
                <c:pt idx="141">
                  <c:v>1600</c:v>
                </c:pt>
                <c:pt idx="142">
                  <c:v>1620</c:v>
                </c:pt>
                <c:pt idx="143">
                  <c:v>1620</c:v>
                </c:pt>
                <c:pt idx="144">
                  <c:v>1640</c:v>
                </c:pt>
                <c:pt idx="145">
                  <c:v>1640</c:v>
                </c:pt>
                <c:pt idx="146">
                  <c:v>1660</c:v>
                </c:pt>
                <c:pt idx="147">
                  <c:v>1660</c:v>
                </c:pt>
                <c:pt idx="148">
                  <c:v>1680</c:v>
                </c:pt>
                <c:pt idx="149">
                  <c:v>1680</c:v>
                </c:pt>
                <c:pt idx="150">
                  <c:v>1700</c:v>
                </c:pt>
                <c:pt idx="151">
                  <c:v>1700</c:v>
                </c:pt>
                <c:pt idx="152">
                  <c:v>1720</c:v>
                </c:pt>
                <c:pt idx="153">
                  <c:v>1720</c:v>
                </c:pt>
                <c:pt idx="154">
                  <c:v>1740</c:v>
                </c:pt>
                <c:pt idx="155">
                  <c:v>1740</c:v>
                </c:pt>
                <c:pt idx="156">
                  <c:v>1760</c:v>
                </c:pt>
                <c:pt idx="157">
                  <c:v>1760</c:v>
                </c:pt>
                <c:pt idx="158">
                  <c:v>1780</c:v>
                </c:pt>
                <c:pt idx="159">
                  <c:v>1780</c:v>
                </c:pt>
                <c:pt idx="160">
                  <c:v>1800</c:v>
                </c:pt>
                <c:pt idx="161">
                  <c:v>1800</c:v>
                </c:pt>
                <c:pt idx="162">
                  <c:v>1820</c:v>
                </c:pt>
                <c:pt idx="163">
                  <c:v>1820</c:v>
                </c:pt>
                <c:pt idx="164">
                  <c:v>1840</c:v>
                </c:pt>
                <c:pt idx="165">
                  <c:v>1840</c:v>
                </c:pt>
                <c:pt idx="166">
                  <c:v>1860</c:v>
                </c:pt>
                <c:pt idx="167">
                  <c:v>1860</c:v>
                </c:pt>
                <c:pt idx="168">
                  <c:v>1880</c:v>
                </c:pt>
                <c:pt idx="169">
                  <c:v>1880</c:v>
                </c:pt>
                <c:pt idx="170">
                  <c:v>1900</c:v>
                </c:pt>
                <c:pt idx="171">
                  <c:v>1900</c:v>
                </c:pt>
                <c:pt idx="172">
                  <c:v>1920</c:v>
                </c:pt>
                <c:pt idx="173">
                  <c:v>1920</c:v>
                </c:pt>
                <c:pt idx="174">
                  <c:v>1940</c:v>
                </c:pt>
                <c:pt idx="175">
                  <c:v>1940</c:v>
                </c:pt>
                <c:pt idx="176">
                  <c:v>1960</c:v>
                </c:pt>
                <c:pt idx="177">
                  <c:v>1960</c:v>
                </c:pt>
                <c:pt idx="178">
                  <c:v>1980</c:v>
                </c:pt>
                <c:pt idx="179">
                  <c:v>1980</c:v>
                </c:pt>
                <c:pt idx="180">
                  <c:v>2000</c:v>
                </c:pt>
                <c:pt idx="181">
                  <c:v>2000</c:v>
                </c:pt>
                <c:pt idx="182">
                  <c:v>2020</c:v>
                </c:pt>
                <c:pt idx="183">
                  <c:v>2020</c:v>
                </c:pt>
                <c:pt idx="184">
                  <c:v>2040</c:v>
                </c:pt>
                <c:pt idx="185">
                  <c:v>2040</c:v>
                </c:pt>
                <c:pt idx="186">
                  <c:v>2060</c:v>
                </c:pt>
                <c:pt idx="187">
                  <c:v>2060</c:v>
                </c:pt>
                <c:pt idx="188">
                  <c:v>2080</c:v>
                </c:pt>
                <c:pt idx="189">
                  <c:v>2080</c:v>
                </c:pt>
                <c:pt idx="190">
                  <c:v>2100</c:v>
                </c:pt>
                <c:pt idx="191">
                  <c:v>2100</c:v>
                </c:pt>
                <c:pt idx="192">
                  <c:v>2120</c:v>
                </c:pt>
                <c:pt idx="193">
                  <c:v>2120</c:v>
                </c:pt>
                <c:pt idx="194">
                  <c:v>2140</c:v>
                </c:pt>
                <c:pt idx="195">
                  <c:v>2140</c:v>
                </c:pt>
                <c:pt idx="196">
                  <c:v>2160</c:v>
                </c:pt>
                <c:pt idx="197">
                  <c:v>2160</c:v>
                </c:pt>
                <c:pt idx="198">
                  <c:v>2180</c:v>
                </c:pt>
                <c:pt idx="199">
                  <c:v>2180</c:v>
                </c:pt>
                <c:pt idx="200">
                  <c:v>2200</c:v>
                </c:pt>
                <c:pt idx="201">
                  <c:v>2200</c:v>
                </c:pt>
                <c:pt idx="202">
                  <c:v>2220</c:v>
                </c:pt>
                <c:pt idx="203">
                  <c:v>2220</c:v>
                </c:pt>
                <c:pt idx="204">
                  <c:v>2240</c:v>
                </c:pt>
                <c:pt idx="205">
                  <c:v>2240</c:v>
                </c:pt>
                <c:pt idx="206">
                  <c:v>2260</c:v>
                </c:pt>
                <c:pt idx="207">
                  <c:v>2260</c:v>
                </c:pt>
                <c:pt idx="208">
                  <c:v>2280</c:v>
                </c:pt>
                <c:pt idx="209">
                  <c:v>2280</c:v>
                </c:pt>
                <c:pt idx="210">
                  <c:v>2300</c:v>
                </c:pt>
                <c:pt idx="211">
                  <c:v>2300</c:v>
                </c:pt>
                <c:pt idx="212">
                  <c:v>2320</c:v>
                </c:pt>
                <c:pt idx="213">
                  <c:v>2320</c:v>
                </c:pt>
                <c:pt idx="214">
                  <c:v>2340</c:v>
                </c:pt>
                <c:pt idx="215">
                  <c:v>2340</c:v>
                </c:pt>
                <c:pt idx="216">
                  <c:v>2360</c:v>
                </c:pt>
                <c:pt idx="217">
                  <c:v>2360</c:v>
                </c:pt>
                <c:pt idx="218">
                  <c:v>2380</c:v>
                </c:pt>
                <c:pt idx="219">
                  <c:v>2380</c:v>
                </c:pt>
                <c:pt idx="220">
                  <c:v>2400</c:v>
                </c:pt>
                <c:pt idx="221">
                  <c:v>2400</c:v>
                </c:pt>
                <c:pt idx="222">
                  <c:v>2420</c:v>
                </c:pt>
                <c:pt idx="223">
                  <c:v>2420</c:v>
                </c:pt>
                <c:pt idx="224">
                  <c:v>2440</c:v>
                </c:pt>
                <c:pt idx="225">
                  <c:v>2440</c:v>
                </c:pt>
                <c:pt idx="226">
                  <c:v>2460</c:v>
                </c:pt>
                <c:pt idx="227">
                  <c:v>2460</c:v>
                </c:pt>
                <c:pt idx="228">
                  <c:v>2480</c:v>
                </c:pt>
                <c:pt idx="229">
                  <c:v>2480</c:v>
                </c:pt>
                <c:pt idx="230">
                  <c:v>2500</c:v>
                </c:pt>
                <c:pt idx="231">
                  <c:v>2500</c:v>
                </c:pt>
                <c:pt idx="232">
                  <c:v>2520</c:v>
                </c:pt>
                <c:pt idx="233">
                  <c:v>2520</c:v>
                </c:pt>
                <c:pt idx="234">
                  <c:v>2540</c:v>
                </c:pt>
                <c:pt idx="235">
                  <c:v>2540</c:v>
                </c:pt>
                <c:pt idx="236">
                  <c:v>2560</c:v>
                </c:pt>
                <c:pt idx="237">
                  <c:v>2560</c:v>
                </c:pt>
                <c:pt idx="238">
                  <c:v>2580</c:v>
                </c:pt>
                <c:pt idx="239">
                  <c:v>2580</c:v>
                </c:pt>
                <c:pt idx="240">
                  <c:v>2600</c:v>
                </c:pt>
                <c:pt idx="241">
                  <c:v>2600</c:v>
                </c:pt>
                <c:pt idx="242">
                  <c:v>2620</c:v>
                </c:pt>
                <c:pt idx="243">
                  <c:v>2620</c:v>
                </c:pt>
                <c:pt idx="244">
                  <c:v>2640</c:v>
                </c:pt>
                <c:pt idx="245">
                  <c:v>2640</c:v>
                </c:pt>
                <c:pt idx="246">
                  <c:v>2660</c:v>
                </c:pt>
                <c:pt idx="247">
                  <c:v>2660</c:v>
                </c:pt>
                <c:pt idx="248">
                  <c:v>2680</c:v>
                </c:pt>
                <c:pt idx="249">
                  <c:v>2680</c:v>
                </c:pt>
                <c:pt idx="250">
                  <c:v>2700</c:v>
                </c:pt>
                <c:pt idx="251">
                  <c:v>2700</c:v>
                </c:pt>
                <c:pt idx="252">
                  <c:v>2720</c:v>
                </c:pt>
                <c:pt idx="253">
                  <c:v>2720</c:v>
                </c:pt>
                <c:pt idx="254">
                  <c:v>2740</c:v>
                </c:pt>
                <c:pt idx="255">
                  <c:v>2740</c:v>
                </c:pt>
                <c:pt idx="256">
                  <c:v>2760</c:v>
                </c:pt>
                <c:pt idx="257">
                  <c:v>2760</c:v>
                </c:pt>
                <c:pt idx="258">
                  <c:v>2780</c:v>
                </c:pt>
                <c:pt idx="259">
                  <c:v>2780</c:v>
                </c:pt>
                <c:pt idx="260">
                  <c:v>2800</c:v>
                </c:pt>
                <c:pt idx="261">
                  <c:v>2800</c:v>
                </c:pt>
                <c:pt idx="262">
                  <c:v>2820</c:v>
                </c:pt>
                <c:pt idx="263">
                  <c:v>2820</c:v>
                </c:pt>
                <c:pt idx="264">
                  <c:v>2840</c:v>
                </c:pt>
                <c:pt idx="265">
                  <c:v>2840</c:v>
                </c:pt>
                <c:pt idx="266">
                  <c:v>2860</c:v>
                </c:pt>
                <c:pt idx="267">
                  <c:v>2860</c:v>
                </c:pt>
                <c:pt idx="268">
                  <c:v>2880</c:v>
                </c:pt>
                <c:pt idx="269">
                  <c:v>2880</c:v>
                </c:pt>
                <c:pt idx="270">
                  <c:v>2900</c:v>
                </c:pt>
                <c:pt idx="271">
                  <c:v>2900</c:v>
                </c:pt>
                <c:pt idx="272">
                  <c:v>2920</c:v>
                </c:pt>
                <c:pt idx="273">
                  <c:v>2920</c:v>
                </c:pt>
                <c:pt idx="274">
                  <c:v>2940</c:v>
                </c:pt>
                <c:pt idx="275">
                  <c:v>2940</c:v>
                </c:pt>
                <c:pt idx="276">
                  <c:v>2960</c:v>
                </c:pt>
                <c:pt idx="277">
                  <c:v>2960</c:v>
                </c:pt>
                <c:pt idx="278">
                  <c:v>2980</c:v>
                </c:pt>
                <c:pt idx="279">
                  <c:v>2980</c:v>
                </c:pt>
                <c:pt idx="280">
                  <c:v>3000</c:v>
                </c:pt>
                <c:pt idx="281">
                  <c:v>3000</c:v>
                </c:pt>
                <c:pt idx="282">
                  <c:v>3020</c:v>
                </c:pt>
                <c:pt idx="283">
                  <c:v>3020</c:v>
                </c:pt>
                <c:pt idx="284">
                  <c:v>3040</c:v>
                </c:pt>
                <c:pt idx="285">
                  <c:v>3040</c:v>
                </c:pt>
                <c:pt idx="286">
                  <c:v>3060</c:v>
                </c:pt>
                <c:pt idx="287">
                  <c:v>3060</c:v>
                </c:pt>
                <c:pt idx="288">
                  <c:v>3080</c:v>
                </c:pt>
                <c:pt idx="289">
                  <c:v>3080</c:v>
                </c:pt>
                <c:pt idx="290">
                  <c:v>3100</c:v>
                </c:pt>
                <c:pt idx="291">
                  <c:v>3100</c:v>
                </c:pt>
                <c:pt idx="292">
                  <c:v>3120</c:v>
                </c:pt>
                <c:pt idx="293">
                  <c:v>3120</c:v>
                </c:pt>
                <c:pt idx="294">
                  <c:v>3140</c:v>
                </c:pt>
                <c:pt idx="295">
                  <c:v>3140</c:v>
                </c:pt>
                <c:pt idx="296">
                  <c:v>3160</c:v>
                </c:pt>
                <c:pt idx="297">
                  <c:v>3160</c:v>
                </c:pt>
                <c:pt idx="298">
                  <c:v>3180</c:v>
                </c:pt>
                <c:pt idx="299">
                  <c:v>3180</c:v>
                </c:pt>
                <c:pt idx="300">
                  <c:v>3200</c:v>
                </c:pt>
                <c:pt idx="301">
                  <c:v>3200</c:v>
                </c:pt>
                <c:pt idx="302">
                  <c:v>3220</c:v>
                </c:pt>
                <c:pt idx="303">
                  <c:v>3220</c:v>
                </c:pt>
                <c:pt idx="304">
                  <c:v>3240</c:v>
                </c:pt>
                <c:pt idx="305">
                  <c:v>3240</c:v>
                </c:pt>
                <c:pt idx="306">
                  <c:v>3260</c:v>
                </c:pt>
                <c:pt idx="307">
                  <c:v>3260</c:v>
                </c:pt>
                <c:pt idx="308">
                  <c:v>3280</c:v>
                </c:pt>
                <c:pt idx="309">
                  <c:v>3280</c:v>
                </c:pt>
                <c:pt idx="310">
                  <c:v>3300</c:v>
                </c:pt>
                <c:pt idx="311">
                  <c:v>3300</c:v>
                </c:pt>
                <c:pt idx="312">
                  <c:v>3320</c:v>
                </c:pt>
                <c:pt idx="313">
                  <c:v>3320</c:v>
                </c:pt>
                <c:pt idx="314">
                  <c:v>3340</c:v>
                </c:pt>
                <c:pt idx="315">
                  <c:v>3340</c:v>
                </c:pt>
                <c:pt idx="316">
                  <c:v>3360</c:v>
                </c:pt>
                <c:pt idx="317">
                  <c:v>3360</c:v>
                </c:pt>
                <c:pt idx="318">
                  <c:v>3380</c:v>
                </c:pt>
                <c:pt idx="319">
                  <c:v>3380</c:v>
                </c:pt>
                <c:pt idx="320">
                  <c:v>3400</c:v>
                </c:pt>
                <c:pt idx="321">
                  <c:v>3400</c:v>
                </c:pt>
                <c:pt idx="322">
                  <c:v>3420</c:v>
                </c:pt>
                <c:pt idx="323">
                  <c:v>3420</c:v>
                </c:pt>
                <c:pt idx="324">
                  <c:v>3440</c:v>
                </c:pt>
                <c:pt idx="325">
                  <c:v>3440</c:v>
                </c:pt>
                <c:pt idx="326">
                  <c:v>3460</c:v>
                </c:pt>
                <c:pt idx="327">
                  <c:v>3460</c:v>
                </c:pt>
                <c:pt idx="328">
                  <c:v>3480</c:v>
                </c:pt>
                <c:pt idx="329">
                  <c:v>3480</c:v>
                </c:pt>
                <c:pt idx="330">
                  <c:v>3500</c:v>
                </c:pt>
                <c:pt idx="331">
                  <c:v>3500</c:v>
                </c:pt>
                <c:pt idx="332">
                  <c:v>3520</c:v>
                </c:pt>
                <c:pt idx="333">
                  <c:v>3520</c:v>
                </c:pt>
                <c:pt idx="334">
                  <c:v>3540</c:v>
                </c:pt>
                <c:pt idx="335">
                  <c:v>3540</c:v>
                </c:pt>
                <c:pt idx="336">
                  <c:v>3560</c:v>
                </c:pt>
                <c:pt idx="337">
                  <c:v>3560</c:v>
                </c:pt>
                <c:pt idx="338">
                  <c:v>3580</c:v>
                </c:pt>
                <c:pt idx="339">
                  <c:v>3580</c:v>
                </c:pt>
                <c:pt idx="340">
                  <c:v>3600</c:v>
                </c:pt>
                <c:pt idx="341">
                  <c:v>3600</c:v>
                </c:pt>
                <c:pt idx="342">
                  <c:v>3620</c:v>
                </c:pt>
                <c:pt idx="343">
                  <c:v>3620</c:v>
                </c:pt>
                <c:pt idx="344">
                  <c:v>3640</c:v>
                </c:pt>
                <c:pt idx="345">
                  <c:v>3640</c:v>
                </c:pt>
                <c:pt idx="346">
                  <c:v>3660</c:v>
                </c:pt>
                <c:pt idx="347">
                  <c:v>3660</c:v>
                </c:pt>
                <c:pt idx="348">
                  <c:v>3680</c:v>
                </c:pt>
                <c:pt idx="349">
                  <c:v>3680</c:v>
                </c:pt>
                <c:pt idx="350">
                  <c:v>3700</c:v>
                </c:pt>
                <c:pt idx="351">
                  <c:v>3700</c:v>
                </c:pt>
                <c:pt idx="352">
                  <c:v>3720</c:v>
                </c:pt>
                <c:pt idx="353">
                  <c:v>3720</c:v>
                </c:pt>
                <c:pt idx="354">
                  <c:v>3740</c:v>
                </c:pt>
                <c:pt idx="355">
                  <c:v>3740</c:v>
                </c:pt>
                <c:pt idx="356">
                  <c:v>3760</c:v>
                </c:pt>
                <c:pt idx="357">
                  <c:v>3760</c:v>
                </c:pt>
                <c:pt idx="358">
                  <c:v>3780</c:v>
                </c:pt>
                <c:pt idx="359">
                  <c:v>3780</c:v>
                </c:pt>
                <c:pt idx="360">
                  <c:v>3800</c:v>
                </c:pt>
                <c:pt idx="361">
                  <c:v>3800</c:v>
                </c:pt>
                <c:pt idx="362">
                  <c:v>3820</c:v>
                </c:pt>
                <c:pt idx="363">
                  <c:v>3820</c:v>
                </c:pt>
                <c:pt idx="364">
                  <c:v>3840</c:v>
                </c:pt>
                <c:pt idx="365">
                  <c:v>3840</c:v>
                </c:pt>
                <c:pt idx="366">
                  <c:v>3860</c:v>
                </c:pt>
                <c:pt idx="367">
                  <c:v>3860</c:v>
                </c:pt>
                <c:pt idx="368">
                  <c:v>3880</c:v>
                </c:pt>
                <c:pt idx="369">
                  <c:v>3880</c:v>
                </c:pt>
                <c:pt idx="370">
                  <c:v>3900</c:v>
                </c:pt>
                <c:pt idx="371">
                  <c:v>3900</c:v>
                </c:pt>
                <c:pt idx="372">
                  <c:v>3920</c:v>
                </c:pt>
                <c:pt idx="373">
                  <c:v>3920</c:v>
                </c:pt>
                <c:pt idx="374">
                  <c:v>3940</c:v>
                </c:pt>
                <c:pt idx="375">
                  <c:v>3940</c:v>
                </c:pt>
                <c:pt idx="376">
                  <c:v>3960</c:v>
                </c:pt>
                <c:pt idx="377">
                  <c:v>3960</c:v>
                </c:pt>
                <c:pt idx="378">
                  <c:v>3980</c:v>
                </c:pt>
                <c:pt idx="379">
                  <c:v>3980</c:v>
                </c:pt>
                <c:pt idx="380">
                  <c:v>4000</c:v>
                </c:pt>
                <c:pt idx="381">
                  <c:v>4000</c:v>
                </c:pt>
                <c:pt idx="382">
                  <c:v>4020</c:v>
                </c:pt>
                <c:pt idx="383">
                  <c:v>4020</c:v>
                </c:pt>
                <c:pt idx="384">
                  <c:v>4040</c:v>
                </c:pt>
                <c:pt idx="385">
                  <c:v>4040</c:v>
                </c:pt>
                <c:pt idx="386">
                  <c:v>4060</c:v>
                </c:pt>
                <c:pt idx="387">
                  <c:v>4060</c:v>
                </c:pt>
                <c:pt idx="388">
                  <c:v>4080</c:v>
                </c:pt>
                <c:pt idx="389">
                  <c:v>4080</c:v>
                </c:pt>
                <c:pt idx="390">
                  <c:v>4100</c:v>
                </c:pt>
                <c:pt idx="391">
                  <c:v>4100</c:v>
                </c:pt>
                <c:pt idx="392">
                  <c:v>4120</c:v>
                </c:pt>
                <c:pt idx="393">
                  <c:v>4120</c:v>
                </c:pt>
                <c:pt idx="394">
                  <c:v>4140</c:v>
                </c:pt>
                <c:pt idx="395">
                  <c:v>4140</c:v>
                </c:pt>
                <c:pt idx="396">
                  <c:v>4160</c:v>
                </c:pt>
                <c:pt idx="397">
                  <c:v>4160</c:v>
                </c:pt>
                <c:pt idx="398">
                  <c:v>4180</c:v>
                </c:pt>
                <c:pt idx="399">
                  <c:v>4180</c:v>
                </c:pt>
              </c:numCache>
            </c:numRef>
          </c:xVal>
          <c:yVal>
            <c:numRef>
              <c:f>'Fossil 50 Years'!$AM$2:$AM$401</c:f>
              <c:numCache>
                <c:formatCode>General</c:formatCode>
                <c:ptCount val="400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5</c:v>
                </c:pt>
                <c:pt idx="4">
                  <c:v>5</c:v>
                </c:pt>
                <c:pt idx="5">
                  <c:v>23</c:v>
                </c:pt>
                <c:pt idx="6">
                  <c:v>23</c:v>
                </c:pt>
                <c:pt idx="7">
                  <c:v>69</c:v>
                </c:pt>
                <c:pt idx="8">
                  <c:v>69</c:v>
                </c:pt>
                <c:pt idx="9">
                  <c:v>193</c:v>
                </c:pt>
                <c:pt idx="10">
                  <c:v>193</c:v>
                </c:pt>
                <c:pt idx="11">
                  <c:v>343</c:v>
                </c:pt>
                <c:pt idx="12">
                  <c:v>343</c:v>
                </c:pt>
                <c:pt idx="13">
                  <c:v>522</c:v>
                </c:pt>
                <c:pt idx="14">
                  <c:v>522</c:v>
                </c:pt>
                <c:pt idx="15">
                  <c:v>723</c:v>
                </c:pt>
                <c:pt idx="16">
                  <c:v>723</c:v>
                </c:pt>
                <c:pt idx="17">
                  <c:v>862</c:v>
                </c:pt>
                <c:pt idx="18">
                  <c:v>862</c:v>
                </c:pt>
                <c:pt idx="19">
                  <c:v>927</c:v>
                </c:pt>
                <c:pt idx="20">
                  <c:v>927</c:v>
                </c:pt>
                <c:pt idx="21">
                  <c:v>979</c:v>
                </c:pt>
                <c:pt idx="22">
                  <c:v>979</c:v>
                </c:pt>
                <c:pt idx="23">
                  <c:v>938</c:v>
                </c:pt>
                <c:pt idx="24">
                  <c:v>938</c:v>
                </c:pt>
                <c:pt idx="25">
                  <c:v>865</c:v>
                </c:pt>
                <c:pt idx="26">
                  <c:v>865</c:v>
                </c:pt>
                <c:pt idx="27">
                  <c:v>764</c:v>
                </c:pt>
                <c:pt idx="28">
                  <c:v>764</c:v>
                </c:pt>
                <c:pt idx="29">
                  <c:v>616</c:v>
                </c:pt>
                <c:pt idx="30">
                  <c:v>616</c:v>
                </c:pt>
                <c:pt idx="31">
                  <c:v>549</c:v>
                </c:pt>
                <c:pt idx="32">
                  <c:v>549</c:v>
                </c:pt>
                <c:pt idx="33">
                  <c:v>415</c:v>
                </c:pt>
                <c:pt idx="34">
                  <c:v>415</c:v>
                </c:pt>
                <c:pt idx="35">
                  <c:v>324</c:v>
                </c:pt>
                <c:pt idx="36">
                  <c:v>324</c:v>
                </c:pt>
                <c:pt idx="37">
                  <c:v>248</c:v>
                </c:pt>
                <c:pt idx="38">
                  <c:v>248</c:v>
                </c:pt>
                <c:pt idx="39">
                  <c:v>188</c:v>
                </c:pt>
                <c:pt idx="40">
                  <c:v>188</c:v>
                </c:pt>
                <c:pt idx="41">
                  <c:v>132</c:v>
                </c:pt>
                <c:pt idx="42">
                  <c:v>132</c:v>
                </c:pt>
                <c:pt idx="43">
                  <c:v>103</c:v>
                </c:pt>
                <c:pt idx="44">
                  <c:v>103</c:v>
                </c:pt>
                <c:pt idx="45">
                  <c:v>58</c:v>
                </c:pt>
                <c:pt idx="46">
                  <c:v>58</c:v>
                </c:pt>
                <c:pt idx="47">
                  <c:v>52</c:v>
                </c:pt>
                <c:pt idx="48">
                  <c:v>52</c:v>
                </c:pt>
                <c:pt idx="49">
                  <c:v>29</c:v>
                </c:pt>
                <c:pt idx="50">
                  <c:v>29</c:v>
                </c:pt>
                <c:pt idx="51">
                  <c:v>20</c:v>
                </c:pt>
                <c:pt idx="52">
                  <c:v>20</c:v>
                </c:pt>
                <c:pt idx="53">
                  <c:v>13</c:v>
                </c:pt>
                <c:pt idx="54">
                  <c:v>13</c:v>
                </c:pt>
                <c:pt idx="55">
                  <c:v>13</c:v>
                </c:pt>
                <c:pt idx="56">
                  <c:v>13</c:v>
                </c:pt>
                <c:pt idx="57">
                  <c:v>3</c:v>
                </c:pt>
                <c:pt idx="58">
                  <c:v>3</c:v>
                </c:pt>
                <c:pt idx="59">
                  <c:v>7</c:v>
                </c:pt>
                <c:pt idx="60">
                  <c:v>7</c:v>
                </c:pt>
                <c:pt idx="61">
                  <c:v>6</c:v>
                </c:pt>
                <c:pt idx="62">
                  <c:v>6</c:v>
                </c:pt>
                <c:pt idx="63">
                  <c:v>1</c:v>
                </c:pt>
                <c:pt idx="64">
                  <c:v>1</c:v>
                </c:pt>
                <c:pt idx="65">
                  <c:v>6</c:v>
                </c:pt>
                <c:pt idx="66">
                  <c:v>6</c:v>
                </c:pt>
                <c:pt idx="67">
                  <c:v>0</c:v>
                </c:pt>
                <c:pt idx="68">
                  <c:v>0</c:v>
                </c:pt>
                <c:pt idx="69">
                  <c:v>1</c:v>
                </c:pt>
                <c:pt idx="70">
                  <c:v>1</c:v>
                </c:pt>
                <c:pt idx="71">
                  <c:v>0</c:v>
                </c:pt>
                <c:pt idx="72">
                  <c:v>0</c:v>
                </c:pt>
                <c:pt idx="73">
                  <c:v>1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7AD-4180-9F06-C6C73C4FB7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007680"/>
        <c:axId val="44008240"/>
      </c:scatterChart>
      <c:valAx>
        <c:axId val="44007680"/>
        <c:scaling>
          <c:orientation val="minMax"/>
          <c:max val="4180"/>
          <c:min val="2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Carbon (Gigatons)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4008240"/>
        <c:crosses val="autoZero"/>
        <c:crossBetween val="midCat"/>
      </c:valAx>
      <c:valAx>
        <c:axId val="4400824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one"/>
        <c:spPr>
          <a:ln w="25400">
            <a:noFill/>
          </a:ln>
        </c:spPr>
        <c:crossAx val="44007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Terrestrial Life, 2066 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'Terrestrial life 50 years'!$AL$1</c:f>
              <c:strCache>
                <c:ptCount val="1"/>
                <c:pt idx="0">
                  <c:v>$AY$24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'Terrestrial life 50 years'!$AK$2:$AK$131</c:f>
              <c:numCache>
                <c:formatCode>General</c:formatCode>
                <c:ptCount val="130"/>
                <c:pt idx="0">
                  <c:v>500</c:v>
                </c:pt>
                <c:pt idx="1">
                  <c:v>500</c:v>
                </c:pt>
                <c:pt idx="2">
                  <c:v>525</c:v>
                </c:pt>
                <c:pt idx="3">
                  <c:v>525</c:v>
                </c:pt>
                <c:pt idx="4">
                  <c:v>550</c:v>
                </c:pt>
                <c:pt idx="5">
                  <c:v>550</c:v>
                </c:pt>
                <c:pt idx="6">
                  <c:v>575</c:v>
                </c:pt>
                <c:pt idx="7">
                  <c:v>575</c:v>
                </c:pt>
                <c:pt idx="8">
                  <c:v>600</c:v>
                </c:pt>
                <c:pt idx="9">
                  <c:v>600</c:v>
                </c:pt>
                <c:pt idx="10">
                  <c:v>625</c:v>
                </c:pt>
                <c:pt idx="11">
                  <c:v>625</c:v>
                </c:pt>
                <c:pt idx="12">
                  <c:v>650</c:v>
                </c:pt>
                <c:pt idx="13">
                  <c:v>650</c:v>
                </c:pt>
                <c:pt idx="14">
                  <c:v>675</c:v>
                </c:pt>
                <c:pt idx="15">
                  <c:v>675</c:v>
                </c:pt>
                <c:pt idx="16">
                  <c:v>700</c:v>
                </c:pt>
                <c:pt idx="17">
                  <c:v>700</c:v>
                </c:pt>
                <c:pt idx="18">
                  <c:v>725</c:v>
                </c:pt>
                <c:pt idx="19">
                  <c:v>725</c:v>
                </c:pt>
                <c:pt idx="20">
                  <c:v>750</c:v>
                </c:pt>
                <c:pt idx="21">
                  <c:v>750</c:v>
                </c:pt>
                <c:pt idx="22">
                  <c:v>775</c:v>
                </c:pt>
                <c:pt idx="23">
                  <c:v>775</c:v>
                </c:pt>
                <c:pt idx="24">
                  <c:v>800</c:v>
                </c:pt>
                <c:pt idx="25">
                  <c:v>800</c:v>
                </c:pt>
                <c:pt idx="26">
                  <c:v>825</c:v>
                </c:pt>
                <c:pt idx="27">
                  <c:v>825</c:v>
                </c:pt>
                <c:pt idx="28">
                  <c:v>850</c:v>
                </c:pt>
                <c:pt idx="29">
                  <c:v>850</c:v>
                </c:pt>
                <c:pt idx="30">
                  <c:v>875</c:v>
                </c:pt>
                <c:pt idx="31">
                  <c:v>875</c:v>
                </c:pt>
                <c:pt idx="32">
                  <c:v>900</c:v>
                </c:pt>
                <c:pt idx="33">
                  <c:v>900</c:v>
                </c:pt>
                <c:pt idx="34">
                  <c:v>925</c:v>
                </c:pt>
                <c:pt idx="35">
                  <c:v>925</c:v>
                </c:pt>
                <c:pt idx="36">
                  <c:v>950</c:v>
                </c:pt>
                <c:pt idx="37">
                  <c:v>950</c:v>
                </c:pt>
                <c:pt idx="38">
                  <c:v>975</c:v>
                </c:pt>
                <c:pt idx="39">
                  <c:v>975</c:v>
                </c:pt>
                <c:pt idx="40">
                  <c:v>1000</c:v>
                </c:pt>
                <c:pt idx="41">
                  <c:v>1000</c:v>
                </c:pt>
                <c:pt idx="42">
                  <c:v>1025</c:v>
                </c:pt>
                <c:pt idx="43">
                  <c:v>1025</c:v>
                </c:pt>
                <c:pt idx="44">
                  <c:v>1050</c:v>
                </c:pt>
                <c:pt idx="45">
                  <c:v>1050</c:v>
                </c:pt>
                <c:pt idx="46">
                  <c:v>1075</c:v>
                </c:pt>
                <c:pt idx="47">
                  <c:v>1075</c:v>
                </c:pt>
                <c:pt idx="48">
                  <c:v>1100</c:v>
                </c:pt>
                <c:pt idx="49">
                  <c:v>1100</c:v>
                </c:pt>
                <c:pt idx="50">
                  <c:v>1125</c:v>
                </c:pt>
                <c:pt idx="51">
                  <c:v>1125</c:v>
                </c:pt>
                <c:pt idx="52">
                  <c:v>1150</c:v>
                </c:pt>
                <c:pt idx="53">
                  <c:v>1150</c:v>
                </c:pt>
                <c:pt idx="54">
                  <c:v>1175</c:v>
                </c:pt>
                <c:pt idx="55">
                  <c:v>1175</c:v>
                </c:pt>
                <c:pt idx="56">
                  <c:v>1200</c:v>
                </c:pt>
                <c:pt idx="57">
                  <c:v>1200</c:v>
                </c:pt>
                <c:pt idx="58">
                  <c:v>1225</c:v>
                </c:pt>
                <c:pt idx="59">
                  <c:v>1225</c:v>
                </c:pt>
                <c:pt idx="60">
                  <c:v>1250</c:v>
                </c:pt>
                <c:pt idx="61">
                  <c:v>1250</c:v>
                </c:pt>
                <c:pt idx="62">
                  <c:v>1275</c:v>
                </c:pt>
                <c:pt idx="63">
                  <c:v>1275</c:v>
                </c:pt>
                <c:pt idx="64">
                  <c:v>1300</c:v>
                </c:pt>
                <c:pt idx="65">
                  <c:v>1300</c:v>
                </c:pt>
                <c:pt idx="66">
                  <c:v>1325</c:v>
                </c:pt>
                <c:pt idx="67">
                  <c:v>1325</c:v>
                </c:pt>
                <c:pt idx="68">
                  <c:v>1350</c:v>
                </c:pt>
                <c:pt idx="69">
                  <c:v>1350</c:v>
                </c:pt>
                <c:pt idx="70">
                  <c:v>1375</c:v>
                </c:pt>
                <c:pt idx="71">
                  <c:v>1375</c:v>
                </c:pt>
                <c:pt idx="72">
                  <c:v>1400</c:v>
                </c:pt>
                <c:pt idx="73">
                  <c:v>1400</c:v>
                </c:pt>
                <c:pt idx="74">
                  <c:v>1425</c:v>
                </c:pt>
                <c:pt idx="75">
                  <c:v>1425</c:v>
                </c:pt>
                <c:pt idx="76">
                  <c:v>1450</c:v>
                </c:pt>
                <c:pt idx="77">
                  <c:v>1450</c:v>
                </c:pt>
                <c:pt idx="78">
                  <c:v>1475</c:v>
                </c:pt>
                <c:pt idx="79">
                  <c:v>1475</c:v>
                </c:pt>
                <c:pt idx="80">
                  <c:v>1500</c:v>
                </c:pt>
                <c:pt idx="81">
                  <c:v>1500</c:v>
                </c:pt>
                <c:pt idx="82">
                  <c:v>1525</c:v>
                </c:pt>
                <c:pt idx="83">
                  <c:v>1525</c:v>
                </c:pt>
                <c:pt idx="84">
                  <c:v>1550</c:v>
                </c:pt>
                <c:pt idx="85">
                  <c:v>1550</c:v>
                </c:pt>
                <c:pt idx="86">
                  <c:v>1575</c:v>
                </c:pt>
                <c:pt idx="87">
                  <c:v>1575</c:v>
                </c:pt>
                <c:pt idx="88">
                  <c:v>1600</c:v>
                </c:pt>
                <c:pt idx="89">
                  <c:v>1600</c:v>
                </c:pt>
                <c:pt idx="90">
                  <c:v>1625</c:v>
                </c:pt>
                <c:pt idx="91">
                  <c:v>1625</c:v>
                </c:pt>
                <c:pt idx="92">
                  <c:v>1650</c:v>
                </c:pt>
                <c:pt idx="93">
                  <c:v>1650</c:v>
                </c:pt>
                <c:pt idx="94">
                  <c:v>1675</c:v>
                </c:pt>
                <c:pt idx="95">
                  <c:v>1675</c:v>
                </c:pt>
                <c:pt idx="96">
                  <c:v>1700</c:v>
                </c:pt>
                <c:pt idx="97">
                  <c:v>1700</c:v>
                </c:pt>
                <c:pt idx="98">
                  <c:v>1725</c:v>
                </c:pt>
                <c:pt idx="99">
                  <c:v>1725</c:v>
                </c:pt>
                <c:pt idx="100">
                  <c:v>1750</c:v>
                </c:pt>
                <c:pt idx="101">
                  <c:v>1750</c:v>
                </c:pt>
                <c:pt idx="102">
                  <c:v>1775</c:v>
                </c:pt>
                <c:pt idx="103">
                  <c:v>1775</c:v>
                </c:pt>
                <c:pt idx="104">
                  <c:v>1800</c:v>
                </c:pt>
                <c:pt idx="105">
                  <c:v>1800</c:v>
                </c:pt>
                <c:pt idx="106">
                  <c:v>1825</c:v>
                </c:pt>
                <c:pt idx="107">
                  <c:v>1825</c:v>
                </c:pt>
                <c:pt idx="108">
                  <c:v>1850</c:v>
                </c:pt>
                <c:pt idx="109">
                  <c:v>1850</c:v>
                </c:pt>
                <c:pt idx="110">
                  <c:v>1875</c:v>
                </c:pt>
                <c:pt idx="111">
                  <c:v>1875</c:v>
                </c:pt>
                <c:pt idx="112">
                  <c:v>1900</c:v>
                </c:pt>
                <c:pt idx="113">
                  <c:v>1900</c:v>
                </c:pt>
                <c:pt idx="114">
                  <c:v>1925</c:v>
                </c:pt>
                <c:pt idx="115">
                  <c:v>1925</c:v>
                </c:pt>
                <c:pt idx="116">
                  <c:v>1950</c:v>
                </c:pt>
                <c:pt idx="117">
                  <c:v>1950</c:v>
                </c:pt>
                <c:pt idx="118">
                  <c:v>1975</c:v>
                </c:pt>
                <c:pt idx="119">
                  <c:v>1975</c:v>
                </c:pt>
                <c:pt idx="120">
                  <c:v>2000</c:v>
                </c:pt>
                <c:pt idx="121">
                  <c:v>2000</c:v>
                </c:pt>
                <c:pt idx="122">
                  <c:v>2025</c:v>
                </c:pt>
                <c:pt idx="123">
                  <c:v>2025</c:v>
                </c:pt>
                <c:pt idx="124">
                  <c:v>2050</c:v>
                </c:pt>
                <c:pt idx="125">
                  <c:v>2050</c:v>
                </c:pt>
                <c:pt idx="126">
                  <c:v>2075</c:v>
                </c:pt>
                <c:pt idx="127">
                  <c:v>2075</c:v>
                </c:pt>
                <c:pt idx="128">
                  <c:v>2100</c:v>
                </c:pt>
                <c:pt idx="129">
                  <c:v>2100</c:v>
                </c:pt>
              </c:numCache>
            </c:numRef>
          </c:xVal>
          <c:yVal>
            <c:numRef>
              <c:f>'Terrestrial life 50 years'!$AL$2:$AL$131</c:f>
              <c:numCache>
                <c:formatCode>General</c:formatCode>
                <c:ptCount val="1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3</c:v>
                </c:pt>
                <c:pt idx="22">
                  <c:v>3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10</c:v>
                </c:pt>
                <c:pt idx="28">
                  <c:v>10</c:v>
                </c:pt>
                <c:pt idx="29">
                  <c:v>21</c:v>
                </c:pt>
                <c:pt idx="30">
                  <c:v>21</c:v>
                </c:pt>
                <c:pt idx="31">
                  <c:v>28</c:v>
                </c:pt>
                <c:pt idx="32">
                  <c:v>28</c:v>
                </c:pt>
                <c:pt idx="33">
                  <c:v>31</c:v>
                </c:pt>
                <c:pt idx="34">
                  <c:v>31</c:v>
                </c:pt>
                <c:pt idx="35">
                  <c:v>43</c:v>
                </c:pt>
                <c:pt idx="36">
                  <c:v>43</c:v>
                </c:pt>
                <c:pt idx="37">
                  <c:v>67</c:v>
                </c:pt>
                <c:pt idx="38">
                  <c:v>67</c:v>
                </c:pt>
                <c:pt idx="39">
                  <c:v>85</c:v>
                </c:pt>
                <c:pt idx="40">
                  <c:v>85</c:v>
                </c:pt>
                <c:pt idx="41">
                  <c:v>116</c:v>
                </c:pt>
                <c:pt idx="42">
                  <c:v>116</c:v>
                </c:pt>
                <c:pt idx="43">
                  <c:v>158</c:v>
                </c:pt>
                <c:pt idx="44">
                  <c:v>158</c:v>
                </c:pt>
                <c:pt idx="45">
                  <c:v>220</c:v>
                </c:pt>
                <c:pt idx="46">
                  <c:v>220</c:v>
                </c:pt>
                <c:pt idx="47">
                  <c:v>269</c:v>
                </c:pt>
                <c:pt idx="48">
                  <c:v>269</c:v>
                </c:pt>
                <c:pt idx="49">
                  <c:v>322</c:v>
                </c:pt>
                <c:pt idx="50">
                  <c:v>322</c:v>
                </c:pt>
                <c:pt idx="51">
                  <c:v>392</c:v>
                </c:pt>
                <c:pt idx="52">
                  <c:v>392</c:v>
                </c:pt>
                <c:pt idx="53">
                  <c:v>395</c:v>
                </c:pt>
                <c:pt idx="54">
                  <c:v>395</c:v>
                </c:pt>
                <c:pt idx="55">
                  <c:v>424</c:v>
                </c:pt>
                <c:pt idx="56">
                  <c:v>424</c:v>
                </c:pt>
                <c:pt idx="57">
                  <c:v>553</c:v>
                </c:pt>
                <c:pt idx="58">
                  <c:v>553</c:v>
                </c:pt>
                <c:pt idx="59">
                  <c:v>559</c:v>
                </c:pt>
                <c:pt idx="60">
                  <c:v>559</c:v>
                </c:pt>
                <c:pt idx="61">
                  <c:v>578</c:v>
                </c:pt>
                <c:pt idx="62">
                  <c:v>578</c:v>
                </c:pt>
                <c:pt idx="63">
                  <c:v>571</c:v>
                </c:pt>
                <c:pt idx="64">
                  <c:v>571</c:v>
                </c:pt>
                <c:pt idx="65">
                  <c:v>585</c:v>
                </c:pt>
                <c:pt idx="66">
                  <c:v>585</c:v>
                </c:pt>
                <c:pt idx="67">
                  <c:v>569</c:v>
                </c:pt>
                <c:pt idx="68">
                  <c:v>569</c:v>
                </c:pt>
                <c:pt idx="69">
                  <c:v>537</c:v>
                </c:pt>
                <c:pt idx="70">
                  <c:v>537</c:v>
                </c:pt>
                <c:pt idx="71">
                  <c:v>515</c:v>
                </c:pt>
                <c:pt idx="72">
                  <c:v>515</c:v>
                </c:pt>
                <c:pt idx="73">
                  <c:v>435</c:v>
                </c:pt>
                <c:pt idx="74">
                  <c:v>435</c:v>
                </c:pt>
                <c:pt idx="75">
                  <c:v>381</c:v>
                </c:pt>
                <c:pt idx="76">
                  <c:v>381</c:v>
                </c:pt>
                <c:pt idx="77">
                  <c:v>377</c:v>
                </c:pt>
                <c:pt idx="78">
                  <c:v>377</c:v>
                </c:pt>
                <c:pt idx="79">
                  <c:v>334</c:v>
                </c:pt>
                <c:pt idx="80">
                  <c:v>334</c:v>
                </c:pt>
                <c:pt idx="81">
                  <c:v>266</c:v>
                </c:pt>
                <c:pt idx="82">
                  <c:v>266</c:v>
                </c:pt>
                <c:pt idx="83">
                  <c:v>246</c:v>
                </c:pt>
                <c:pt idx="84">
                  <c:v>246</c:v>
                </c:pt>
                <c:pt idx="85">
                  <c:v>206</c:v>
                </c:pt>
                <c:pt idx="86">
                  <c:v>206</c:v>
                </c:pt>
                <c:pt idx="87">
                  <c:v>147</c:v>
                </c:pt>
                <c:pt idx="88">
                  <c:v>147</c:v>
                </c:pt>
                <c:pt idx="89">
                  <c:v>129</c:v>
                </c:pt>
                <c:pt idx="90">
                  <c:v>129</c:v>
                </c:pt>
                <c:pt idx="91">
                  <c:v>112</c:v>
                </c:pt>
                <c:pt idx="92">
                  <c:v>112</c:v>
                </c:pt>
                <c:pt idx="93">
                  <c:v>79</c:v>
                </c:pt>
                <c:pt idx="94">
                  <c:v>79</c:v>
                </c:pt>
                <c:pt idx="95">
                  <c:v>57</c:v>
                </c:pt>
                <c:pt idx="96">
                  <c:v>57</c:v>
                </c:pt>
                <c:pt idx="97">
                  <c:v>48</c:v>
                </c:pt>
                <c:pt idx="98">
                  <c:v>48</c:v>
                </c:pt>
                <c:pt idx="99">
                  <c:v>28</c:v>
                </c:pt>
                <c:pt idx="100">
                  <c:v>28</c:v>
                </c:pt>
                <c:pt idx="101">
                  <c:v>20</c:v>
                </c:pt>
                <c:pt idx="102">
                  <c:v>20</c:v>
                </c:pt>
                <c:pt idx="103">
                  <c:v>21</c:v>
                </c:pt>
                <c:pt idx="104">
                  <c:v>21</c:v>
                </c:pt>
                <c:pt idx="105">
                  <c:v>15</c:v>
                </c:pt>
                <c:pt idx="106">
                  <c:v>15</c:v>
                </c:pt>
                <c:pt idx="107">
                  <c:v>10</c:v>
                </c:pt>
                <c:pt idx="108">
                  <c:v>10</c:v>
                </c:pt>
                <c:pt idx="109">
                  <c:v>9</c:v>
                </c:pt>
                <c:pt idx="110">
                  <c:v>9</c:v>
                </c:pt>
                <c:pt idx="111">
                  <c:v>4</c:v>
                </c:pt>
                <c:pt idx="112">
                  <c:v>4</c:v>
                </c:pt>
                <c:pt idx="113">
                  <c:v>5</c:v>
                </c:pt>
                <c:pt idx="114">
                  <c:v>5</c:v>
                </c:pt>
                <c:pt idx="115">
                  <c:v>2</c:v>
                </c:pt>
                <c:pt idx="116">
                  <c:v>2</c:v>
                </c:pt>
                <c:pt idx="117">
                  <c:v>3</c:v>
                </c:pt>
                <c:pt idx="118">
                  <c:v>3</c:v>
                </c:pt>
                <c:pt idx="119">
                  <c:v>3</c:v>
                </c:pt>
                <c:pt idx="120">
                  <c:v>3</c:v>
                </c:pt>
                <c:pt idx="121">
                  <c:v>2</c:v>
                </c:pt>
                <c:pt idx="122">
                  <c:v>2</c:v>
                </c:pt>
                <c:pt idx="123">
                  <c:v>0</c:v>
                </c:pt>
                <c:pt idx="124">
                  <c:v>0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0E-4F40-959A-8F31BD9CA003}"/>
            </c:ext>
          </c:extLst>
        </c:ser>
        <c:ser>
          <c:idx val="1"/>
          <c:order val="1"/>
          <c:tx>
            <c:strRef>
              <c:f>'Terrestrial life 50 years'!$AM$1</c:f>
              <c:strCache>
                <c:ptCount val="1"/>
                <c:pt idx="0">
                  <c:v>MCMC Madness'!$AY$51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'Terrestrial life 50 years'!$AK$2:$AK$131</c:f>
              <c:numCache>
                <c:formatCode>General</c:formatCode>
                <c:ptCount val="130"/>
                <c:pt idx="0">
                  <c:v>500</c:v>
                </c:pt>
                <c:pt idx="1">
                  <c:v>500</c:v>
                </c:pt>
                <c:pt idx="2">
                  <c:v>525</c:v>
                </c:pt>
                <c:pt idx="3">
                  <c:v>525</c:v>
                </c:pt>
                <c:pt idx="4">
                  <c:v>550</c:v>
                </c:pt>
                <c:pt idx="5">
                  <c:v>550</c:v>
                </c:pt>
                <c:pt idx="6">
                  <c:v>575</c:v>
                </c:pt>
                <c:pt idx="7">
                  <c:v>575</c:v>
                </c:pt>
                <c:pt idx="8">
                  <c:v>600</c:v>
                </c:pt>
                <c:pt idx="9">
                  <c:v>600</c:v>
                </c:pt>
                <c:pt idx="10">
                  <c:v>625</c:v>
                </c:pt>
                <c:pt idx="11">
                  <c:v>625</c:v>
                </c:pt>
                <c:pt idx="12">
                  <c:v>650</c:v>
                </c:pt>
                <c:pt idx="13">
                  <c:v>650</c:v>
                </c:pt>
                <c:pt idx="14">
                  <c:v>675</c:v>
                </c:pt>
                <c:pt idx="15">
                  <c:v>675</c:v>
                </c:pt>
                <c:pt idx="16">
                  <c:v>700</c:v>
                </c:pt>
                <c:pt idx="17">
                  <c:v>700</c:v>
                </c:pt>
                <c:pt idx="18">
                  <c:v>725</c:v>
                </c:pt>
                <c:pt idx="19">
                  <c:v>725</c:v>
                </c:pt>
                <c:pt idx="20">
                  <c:v>750</c:v>
                </c:pt>
                <c:pt idx="21">
                  <c:v>750</c:v>
                </c:pt>
                <c:pt idx="22">
                  <c:v>775</c:v>
                </c:pt>
                <c:pt idx="23">
                  <c:v>775</c:v>
                </c:pt>
                <c:pt idx="24">
                  <c:v>800</c:v>
                </c:pt>
                <c:pt idx="25">
                  <c:v>800</c:v>
                </c:pt>
                <c:pt idx="26">
                  <c:v>825</c:v>
                </c:pt>
                <c:pt idx="27">
                  <c:v>825</c:v>
                </c:pt>
                <c:pt idx="28">
                  <c:v>850</c:v>
                </c:pt>
                <c:pt idx="29">
                  <c:v>850</c:v>
                </c:pt>
                <c:pt idx="30">
                  <c:v>875</c:v>
                </c:pt>
                <c:pt idx="31">
                  <c:v>875</c:v>
                </c:pt>
                <c:pt idx="32">
                  <c:v>900</c:v>
                </c:pt>
                <c:pt idx="33">
                  <c:v>900</c:v>
                </c:pt>
                <c:pt idx="34">
                  <c:v>925</c:v>
                </c:pt>
                <c:pt idx="35">
                  <c:v>925</c:v>
                </c:pt>
                <c:pt idx="36">
                  <c:v>950</c:v>
                </c:pt>
                <c:pt idx="37">
                  <c:v>950</c:v>
                </c:pt>
                <c:pt idx="38">
                  <c:v>975</c:v>
                </c:pt>
                <c:pt idx="39">
                  <c:v>975</c:v>
                </c:pt>
                <c:pt idx="40">
                  <c:v>1000</c:v>
                </c:pt>
                <c:pt idx="41">
                  <c:v>1000</c:v>
                </c:pt>
                <c:pt idx="42">
                  <c:v>1025</c:v>
                </c:pt>
                <c:pt idx="43">
                  <c:v>1025</c:v>
                </c:pt>
                <c:pt idx="44">
                  <c:v>1050</c:v>
                </c:pt>
                <c:pt idx="45">
                  <c:v>1050</c:v>
                </c:pt>
                <c:pt idx="46">
                  <c:v>1075</c:v>
                </c:pt>
                <c:pt idx="47">
                  <c:v>1075</c:v>
                </c:pt>
                <c:pt idx="48">
                  <c:v>1100</c:v>
                </c:pt>
                <c:pt idx="49">
                  <c:v>1100</c:v>
                </c:pt>
                <c:pt idx="50">
                  <c:v>1125</c:v>
                </c:pt>
                <c:pt idx="51">
                  <c:v>1125</c:v>
                </c:pt>
                <c:pt idx="52">
                  <c:v>1150</c:v>
                </c:pt>
                <c:pt idx="53">
                  <c:v>1150</c:v>
                </c:pt>
                <c:pt idx="54">
                  <c:v>1175</c:v>
                </c:pt>
                <c:pt idx="55">
                  <c:v>1175</c:v>
                </c:pt>
                <c:pt idx="56">
                  <c:v>1200</c:v>
                </c:pt>
                <c:pt idx="57">
                  <c:v>1200</c:v>
                </c:pt>
                <c:pt idx="58">
                  <c:v>1225</c:v>
                </c:pt>
                <c:pt idx="59">
                  <c:v>1225</c:v>
                </c:pt>
                <c:pt idx="60">
                  <c:v>1250</c:v>
                </c:pt>
                <c:pt idx="61">
                  <c:v>1250</c:v>
                </c:pt>
                <c:pt idx="62">
                  <c:v>1275</c:v>
                </c:pt>
                <c:pt idx="63">
                  <c:v>1275</c:v>
                </c:pt>
                <c:pt idx="64">
                  <c:v>1300</c:v>
                </c:pt>
                <c:pt idx="65">
                  <c:v>1300</c:v>
                </c:pt>
                <c:pt idx="66">
                  <c:v>1325</c:v>
                </c:pt>
                <c:pt idx="67">
                  <c:v>1325</c:v>
                </c:pt>
                <c:pt idx="68">
                  <c:v>1350</c:v>
                </c:pt>
                <c:pt idx="69">
                  <c:v>1350</c:v>
                </c:pt>
                <c:pt idx="70">
                  <c:v>1375</c:v>
                </c:pt>
                <c:pt idx="71">
                  <c:v>1375</c:v>
                </c:pt>
                <c:pt idx="72">
                  <c:v>1400</c:v>
                </c:pt>
                <c:pt idx="73">
                  <c:v>1400</c:v>
                </c:pt>
                <c:pt idx="74">
                  <c:v>1425</c:v>
                </c:pt>
                <c:pt idx="75">
                  <c:v>1425</c:v>
                </c:pt>
                <c:pt idx="76">
                  <c:v>1450</c:v>
                </c:pt>
                <c:pt idx="77">
                  <c:v>1450</c:v>
                </c:pt>
                <c:pt idx="78">
                  <c:v>1475</c:v>
                </c:pt>
                <c:pt idx="79">
                  <c:v>1475</c:v>
                </c:pt>
                <c:pt idx="80">
                  <c:v>1500</c:v>
                </c:pt>
                <c:pt idx="81">
                  <c:v>1500</c:v>
                </c:pt>
                <c:pt idx="82">
                  <c:v>1525</c:v>
                </c:pt>
                <c:pt idx="83">
                  <c:v>1525</c:v>
                </c:pt>
                <c:pt idx="84">
                  <c:v>1550</c:v>
                </c:pt>
                <c:pt idx="85">
                  <c:v>1550</c:v>
                </c:pt>
                <c:pt idx="86">
                  <c:v>1575</c:v>
                </c:pt>
                <c:pt idx="87">
                  <c:v>1575</c:v>
                </c:pt>
                <c:pt idx="88">
                  <c:v>1600</c:v>
                </c:pt>
                <c:pt idx="89">
                  <c:v>1600</c:v>
                </c:pt>
                <c:pt idx="90">
                  <c:v>1625</c:v>
                </c:pt>
                <c:pt idx="91">
                  <c:v>1625</c:v>
                </c:pt>
                <c:pt idx="92">
                  <c:v>1650</c:v>
                </c:pt>
                <c:pt idx="93">
                  <c:v>1650</c:v>
                </c:pt>
                <c:pt idx="94">
                  <c:v>1675</c:v>
                </c:pt>
                <c:pt idx="95">
                  <c:v>1675</c:v>
                </c:pt>
                <c:pt idx="96">
                  <c:v>1700</c:v>
                </c:pt>
                <c:pt idx="97">
                  <c:v>1700</c:v>
                </c:pt>
                <c:pt idx="98">
                  <c:v>1725</c:v>
                </c:pt>
                <c:pt idx="99">
                  <c:v>1725</c:v>
                </c:pt>
                <c:pt idx="100">
                  <c:v>1750</c:v>
                </c:pt>
                <c:pt idx="101">
                  <c:v>1750</c:v>
                </c:pt>
                <c:pt idx="102">
                  <c:v>1775</c:v>
                </c:pt>
                <c:pt idx="103">
                  <c:v>1775</c:v>
                </c:pt>
                <c:pt idx="104">
                  <c:v>1800</c:v>
                </c:pt>
                <c:pt idx="105">
                  <c:v>1800</c:v>
                </c:pt>
                <c:pt idx="106">
                  <c:v>1825</c:v>
                </c:pt>
                <c:pt idx="107">
                  <c:v>1825</c:v>
                </c:pt>
                <c:pt idx="108">
                  <c:v>1850</c:v>
                </c:pt>
                <c:pt idx="109">
                  <c:v>1850</c:v>
                </c:pt>
                <c:pt idx="110">
                  <c:v>1875</c:v>
                </c:pt>
                <c:pt idx="111">
                  <c:v>1875</c:v>
                </c:pt>
                <c:pt idx="112">
                  <c:v>1900</c:v>
                </c:pt>
                <c:pt idx="113">
                  <c:v>1900</c:v>
                </c:pt>
                <c:pt idx="114">
                  <c:v>1925</c:v>
                </c:pt>
                <c:pt idx="115">
                  <c:v>1925</c:v>
                </c:pt>
                <c:pt idx="116">
                  <c:v>1950</c:v>
                </c:pt>
                <c:pt idx="117">
                  <c:v>1950</c:v>
                </c:pt>
                <c:pt idx="118">
                  <c:v>1975</c:v>
                </c:pt>
                <c:pt idx="119">
                  <c:v>1975</c:v>
                </c:pt>
                <c:pt idx="120">
                  <c:v>2000</c:v>
                </c:pt>
                <c:pt idx="121">
                  <c:v>2000</c:v>
                </c:pt>
                <c:pt idx="122">
                  <c:v>2025</c:v>
                </c:pt>
                <c:pt idx="123">
                  <c:v>2025</c:v>
                </c:pt>
                <c:pt idx="124">
                  <c:v>2050</c:v>
                </c:pt>
                <c:pt idx="125">
                  <c:v>2050</c:v>
                </c:pt>
                <c:pt idx="126">
                  <c:v>2075</c:v>
                </c:pt>
                <c:pt idx="127">
                  <c:v>2075</c:v>
                </c:pt>
                <c:pt idx="128">
                  <c:v>2100</c:v>
                </c:pt>
                <c:pt idx="129">
                  <c:v>2100</c:v>
                </c:pt>
              </c:numCache>
            </c:numRef>
          </c:xVal>
          <c:yVal>
            <c:numRef>
              <c:f>'Terrestrial life 50 years'!$AM$2:$AM$131</c:f>
              <c:numCache>
                <c:formatCode>General</c:formatCode>
                <c:ptCount val="1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</c:v>
                </c:pt>
                <c:pt idx="4">
                  <c:v>4</c:v>
                </c:pt>
                <c:pt idx="5">
                  <c:v>15</c:v>
                </c:pt>
                <c:pt idx="6">
                  <c:v>15</c:v>
                </c:pt>
                <c:pt idx="7">
                  <c:v>23</c:v>
                </c:pt>
                <c:pt idx="8">
                  <c:v>23</c:v>
                </c:pt>
                <c:pt idx="9">
                  <c:v>47</c:v>
                </c:pt>
                <c:pt idx="10">
                  <c:v>47</c:v>
                </c:pt>
                <c:pt idx="11">
                  <c:v>87</c:v>
                </c:pt>
                <c:pt idx="12">
                  <c:v>87</c:v>
                </c:pt>
                <c:pt idx="13">
                  <c:v>178</c:v>
                </c:pt>
                <c:pt idx="14">
                  <c:v>178</c:v>
                </c:pt>
                <c:pt idx="15">
                  <c:v>274</c:v>
                </c:pt>
                <c:pt idx="16">
                  <c:v>274</c:v>
                </c:pt>
                <c:pt idx="17">
                  <c:v>404</c:v>
                </c:pt>
                <c:pt idx="18">
                  <c:v>404</c:v>
                </c:pt>
                <c:pt idx="19">
                  <c:v>510</c:v>
                </c:pt>
                <c:pt idx="20">
                  <c:v>510</c:v>
                </c:pt>
                <c:pt idx="21">
                  <c:v>675</c:v>
                </c:pt>
                <c:pt idx="22">
                  <c:v>675</c:v>
                </c:pt>
                <c:pt idx="23">
                  <c:v>773</c:v>
                </c:pt>
                <c:pt idx="24">
                  <c:v>773</c:v>
                </c:pt>
                <c:pt idx="25">
                  <c:v>819</c:v>
                </c:pt>
                <c:pt idx="26">
                  <c:v>819</c:v>
                </c:pt>
                <c:pt idx="27">
                  <c:v>879</c:v>
                </c:pt>
                <c:pt idx="28">
                  <c:v>879</c:v>
                </c:pt>
                <c:pt idx="29">
                  <c:v>905</c:v>
                </c:pt>
                <c:pt idx="30">
                  <c:v>905</c:v>
                </c:pt>
                <c:pt idx="31">
                  <c:v>870</c:v>
                </c:pt>
                <c:pt idx="32">
                  <c:v>870</c:v>
                </c:pt>
                <c:pt idx="33">
                  <c:v>773</c:v>
                </c:pt>
                <c:pt idx="34">
                  <c:v>773</c:v>
                </c:pt>
                <c:pt idx="35">
                  <c:v>662</c:v>
                </c:pt>
                <c:pt idx="36">
                  <c:v>662</c:v>
                </c:pt>
                <c:pt idx="37">
                  <c:v>524</c:v>
                </c:pt>
                <c:pt idx="38">
                  <c:v>524</c:v>
                </c:pt>
                <c:pt idx="39">
                  <c:v>432</c:v>
                </c:pt>
                <c:pt idx="40">
                  <c:v>432</c:v>
                </c:pt>
                <c:pt idx="41">
                  <c:v>336</c:v>
                </c:pt>
                <c:pt idx="42">
                  <c:v>336</c:v>
                </c:pt>
                <c:pt idx="43">
                  <c:v>240</c:v>
                </c:pt>
                <c:pt idx="44">
                  <c:v>240</c:v>
                </c:pt>
                <c:pt idx="45">
                  <c:v>156</c:v>
                </c:pt>
                <c:pt idx="46">
                  <c:v>156</c:v>
                </c:pt>
                <c:pt idx="47">
                  <c:v>144</c:v>
                </c:pt>
                <c:pt idx="48">
                  <c:v>144</c:v>
                </c:pt>
                <c:pt idx="49">
                  <c:v>96</c:v>
                </c:pt>
                <c:pt idx="50">
                  <c:v>96</c:v>
                </c:pt>
                <c:pt idx="51">
                  <c:v>58</c:v>
                </c:pt>
                <c:pt idx="52">
                  <c:v>58</c:v>
                </c:pt>
                <c:pt idx="53">
                  <c:v>46</c:v>
                </c:pt>
                <c:pt idx="54">
                  <c:v>46</c:v>
                </c:pt>
                <c:pt idx="55">
                  <c:v>35</c:v>
                </c:pt>
                <c:pt idx="56">
                  <c:v>35</c:v>
                </c:pt>
                <c:pt idx="57">
                  <c:v>17</c:v>
                </c:pt>
                <c:pt idx="58">
                  <c:v>17</c:v>
                </c:pt>
                <c:pt idx="59">
                  <c:v>5</c:v>
                </c:pt>
                <c:pt idx="60">
                  <c:v>5</c:v>
                </c:pt>
                <c:pt idx="61">
                  <c:v>6</c:v>
                </c:pt>
                <c:pt idx="62">
                  <c:v>6</c:v>
                </c:pt>
                <c:pt idx="63">
                  <c:v>4</c:v>
                </c:pt>
                <c:pt idx="64">
                  <c:v>4</c:v>
                </c:pt>
                <c:pt idx="65">
                  <c:v>1</c:v>
                </c:pt>
                <c:pt idx="66">
                  <c:v>1</c:v>
                </c:pt>
                <c:pt idx="67">
                  <c:v>0</c:v>
                </c:pt>
                <c:pt idx="68">
                  <c:v>0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90E-4F40-959A-8F31BD9CA0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011600"/>
        <c:axId val="44012160"/>
      </c:scatterChart>
      <c:valAx>
        <c:axId val="44011600"/>
        <c:scaling>
          <c:orientation val="minMax"/>
          <c:max val="2100"/>
          <c:min val="5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Carbon (Gigatons)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4012160"/>
        <c:crosses val="autoZero"/>
        <c:crossBetween val="midCat"/>
      </c:valAx>
      <c:valAx>
        <c:axId val="4401216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one"/>
        <c:spPr>
          <a:ln w="25400">
            <a:noFill/>
          </a:ln>
        </c:spPr>
        <c:crossAx val="440116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Marine Biota, 2066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'Marine Life 50 years'!$AL$1</c:f>
              <c:strCache>
                <c:ptCount val="1"/>
                <c:pt idx="0">
                  <c:v>MCMC Madness'!$AY$22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'Marine Life 50 years'!$AK$2:$AK$131</c:f>
              <c:numCache>
                <c:formatCode>General</c:formatCode>
                <c:ptCount val="130"/>
                <c:pt idx="0">
                  <c:v>225</c:v>
                </c:pt>
                <c:pt idx="1">
                  <c:v>225</c:v>
                </c:pt>
                <c:pt idx="2">
                  <c:v>250</c:v>
                </c:pt>
                <c:pt idx="3">
                  <c:v>250</c:v>
                </c:pt>
                <c:pt idx="4">
                  <c:v>275</c:v>
                </c:pt>
                <c:pt idx="5">
                  <c:v>275</c:v>
                </c:pt>
                <c:pt idx="6">
                  <c:v>300</c:v>
                </c:pt>
                <c:pt idx="7">
                  <c:v>300</c:v>
                </c:pt>
                <c:pt idx="8">
                  <c:v>325</c:v>
                </c:pt>
                <c:pt idx="9">
                  <c:v>325</c:v>
                </c:pt>
                <c:pt idx="10">
                  <c:v>350</c:v>
                </c:pt>
                <c:pt idx="11">
                  <c:v>350</c:v>
                </c:pt>
                <c:pt idx="12">
                  <c:v>375</c:v>
                </c:pt>
                <c:pt idx="13">
                  <c:v>375</c:v>
                </c:pt>
                <c:pt idx="14">
                  <c:v>400</c:v>
                </c:pt>
                <c:pt idx="15">
                  <c:v>400</c:v>
                </c:pt>
                <c:pt idx="16">
                  <c:v>425</c:v>
                </c:pt>
                <c:pt idx="17">
                  <c:v>425</c:v>
                </c:pt>
                <c:pt idx="18">
                  <c:v>450</c:v>
                </c:pt>
                <c:pt idx="19">
                  <c:v>450</c:v>
                </c:pt>
                <c:pt idx="20">
                  <c:v>475</c:v>
                </c:pt>
                <c:pt idx="21">
                  <c:v>475</c:v>
                </c:pt>
                <c:pt idx="22">
                  <c:v>500</c:v>
                </c:pt>
                <c:pt idx="23">
                  <c:v>500</c:v>
                </c:pt>
                <c:pt idx="24">
                  <c:v>525</c:v>
                </c:pt>
                <c:pt idx="25">
                  <c:v>525</c:v>
                </c:pt>
                <c:pt idx="26">
                  <c:v>550</c:v>
                </c:pt>
                <c:pt idx="27">
                  <c:v>550</c:v>
                </c:pt>
                <c:pt idx="28">
                  <c:v>575</c:v>
                </c:pt>
                <c:pt idx="29">
                  <c:v>575</c:v>
                </c:pt>
                <c:pt idx="30">
                  <c:v>600</c:v>
                </c:pt>
                <c:pt idx="31">
                  <c:v>600</c:v>
                </c:pt>
                <c:pt idx="32">
                  <c:v>625</c:v>
                </c:pt>
                <c:pt idx="33">
                  <c:v>625</c:v>
                </c:pt>
                <c:pt idx="34">
                  <c:v>650</c:v>
                </c:pt>
                <c:pt idx="35">
                  <c:v>650</c:v>
                </c:pt>
                <c:pt idx="36">
                  <c:v>675</c:v>
                </c:pt>
                <c:pt idx="37">
                  <c:v>675</c:v>
                </c:pt>
                <c:pt idx="38">
                  <c:v>700</c:v>
                </c:pt>
                <c:pt idx="39">
                  <c:v>700</c:v>
                </c:pt>
                <c:pt idx="40">
                  <c:v>725</c:v>
                </c:pt>
                <c:pt idx="41">
                  <c:v>725</c:v>
                </c:pt>
                <c:pt idx="42">
                  <c:v>750</c:v>
                </c:pt>
                <c:pt idx="43">
                  <c:v>750</c:v>
                </c:pt>
                <c:pt idx="44">
                  <c:v>775</c:v>
                </c:pt>
                <c:pt idx="45">
                  <c:v>775</c:v>
                </c:pt>
                <c:pt idx="46">
                  <c:v>800</c:v>
                </c:pt>
                <c:pt idx="47">
                  <c:v>800</c:v>
                </c:pt>
                <c:pt idx="48">
                  <c:v>825</c:v>
                </c:pt>
                <c:pt idx="49">
                  <c:v>825</c:v>
                </c:pt>
                <c:pt idx="50">
                  <c:v>850</c:v>
                </c:pt>
                <c:pt idx="51">
                  <c:v>850</c:v>
                </c:pt>
                <c:pt idx="52">
                  <c:v>875</c:v>
                </c:pt>
                <c:pt idx="53">
                  <c:v>875</c:v>
                </c:pt>
                <c:pt idx="54">
                  <c:v>900</c:v>
                </c:pt>
                <c:pt idx="55">
                  <c:v>900</c:v>
                </c:pt>
                <c:pt idx="56">
                  <c:v>925</c:v>
                </c:pt>
                <c:pt idx="57">
                  <c:v>925</c:v>
                </c:pt>
                <c:pt idx="58">
                  <c:v>950</c:v>
                </c:pt>
                <c:pt idx="59">
                  <c:v>950</c:v>
                </c:pt>
                <c:pt idx="60">
                  <c:v>975</c:v>
                </c:pt>
                <c:pt idx="61">
                  <c:v>975</c:v>
                </c:pt>
                <c:pt idx="62">
                  <c:v>1000</c:v>
                </c:pt>
                <c:pt idx="63">
                  <c:v>1000</c:v>
                </c:pt>
                <c:pt idx="64">
                  <c:v>1025</c:v>
                </c:pt>
                <c:pt idx="65">
                  <c:v>1025</c:v>
                </c:pt>
                <c:pt idx="66">
                  <c:v>1050</c:v>
                </c:pt>
                <c:pt idx="67">
                  <c:v>1050</c:v>
                </c:pt>
                <c:pt idx="68">
                  <c:v>1075</c:v>
                </c:pt>
                <c:pt idx="69">
                  <c:v>1075</c:v>
                </c:pt>
                <c:pt idx="70">
                  <c:v>1100</c:v>
                </c:pt>
                <c:pt idx="71">
                  <c:v>1100</c:v>
                </c:pt>
                <c:pt idx="72">
                  <c:v>1125</c:v>
                </c:pt>
                <c:pt idx="73">
                  <c:v>1125</c:v>
                </c:pt>
                <c:pt idx="74">
                  <c:v>1150</c:v>
                </c:pt>
                <c:pt idx="75">
                  <c:v>1150</c:v>
                </c:pt>
                <c:pt idx="76">
                  <c:v>1175</c:v>
                </c:pt>
                <c:pt idx="77">
                  <c:v>1175</c:v>
                </c:pt>
                <c:pt idx="78">
                  <c:v>1200</c:v>
                </c:pt>
                <c:pt idx="79">
                  <c:v>1200</c:v>
                </c:pt>
                <c:pt idx="80">
                  <c:v>1225</c:v>
                </c:pt>
                <c:pt idx="81">
                  <c:v>1225</c:v>
                </c:pt>
                <c:pt idx="82">
                  <c:v>1250</c:v>
                </c:pt>
                <c:pt idx="83">
                  <c:v>1250</c:v>
                </c:pt>
                <c:pt idx="84">
                  <c:v>1275</c:v>
                </c:pt>
                <c:pt idx="85">
                  <c:v>1275</c:v>
                </c:pt>
                <c:pt idx="86">
                  <c:v>1300</c:v>
                </c:pt>
                <c:pt idx="87">
                  <c:v>1300</c:v>
                </c:pt>
                <c:pt idx="88">
                  <c:v>1325</c:v>
                </c:pt>
                <c:pt idx="89">
                  <c:v>1325</c:v>
                </c:pt>
                <c:pt idx="90">
                  <c:v>1350</c:v>
                </c:pt>
                <c:pt idx="91">
                  <c:v>1350</c:v>
                </c:pt>
                <c:pt idx="92">
                  <c:v>1375</c:v>
                </c:pt>
                <c:pt idx="93">
                  <c:v>1375</c:v>
                </c:pt>
                <c:pt idx="94">
                  <c:v>1400</c:v>
                </c:pt>
                <c:pt idx="95">
                  <c:v>1400</c:v>
                </c:pt>
                <c:pt idx="96">
                  <c:v>1425</c:v>
                </c:pt>
                <c:pt idx="97">
                  <c:v>1425</c:v>
                </c:pt>
                <c:pt idx="98">
                  <c:v>1450</c:v>
                </c:pt>
                <c:pt idx="99">
                  <c:v>1450</c:v>
                </c:pt>
                <c:pt idx="100">
                  <c:v>1475</c:v>
                </c:pt>
                <c:pt idx="101">
                  <c:v>1475</c:v>
                </c:pt>
                <c:pt idx="102">
                  <c:v>1500</c:v>
                </c:pt>
                <c:pt idx="103">
                  <c:v>1500</c:v>
                </c:pt>
                <c:pt idx="104">
                  <c:v>1525</c:v>
                </c:pt>
                <c:pt idx="105">
                  <c:v>1525</c:v>
                </c:pt>
                <c:pt idx="106">
                  <c:v>1550</c:v>
                </c:pt>
                <c:pt idx="107">
                  <c:v>1550</c:v>
                </c:pt>
                <c:pt idx="108">
                  <c:v>1575</c:v>
                </c:pt>
                <c:pt idx="109">
                  <c:v>1575</c:v>
                </c:pt>
                <c:pt idx="110">
                  <c:v>1600</c:v>
                </c:pt>
                <c:pt idx="111">
                  <c:v>1600</c:v>
                </c:pt>
                <c:pt idx="112">
                  <c:v>1625</c:v>
                </c:pt>
                <c:pt idx="113">
                  <c:v>1625</c:v>
                </c:pt>
                <c:pt idx="114">
                  <c:v>1650</c:v>
                </c:pt>
                <c:pt idx="115">
                  <c:v>1650</c:v>
                </c:pt>
                <c:pt idx="116">
                  <c:v>1675</c:v>
                </c:pt>
                <c:pt idx="117">
                  <c:v>1675</c:v>
                </c:pt>
                <c:pt idx="118">
                  <c:v>1700</c:v>
                </c:pt>
                <c:pt idx="119">
                  <c:v>1700</c:v>
                </c:pt>
                <c:pt idx="120">
                  <c:v>1725</c:v>
                </c:pt>
                <c:pt idx="121">
                  <c:v>1725</c:v>
                </c:pt>
                <c:pt idx="122">
                  <c:v>1750</c:v>
                </c:pt>
                <c:pt idx="123">
                  <c:v>1750</c:v>
                </c:pt>
                <c:pt idx="124">
                  <c:v>1775</c:v>
                </c:pt>
                <c:pt idx="125">
                  <c:v>1775</c:v>
                </c:pt>
                <c:pt idx="126">
                  <c:v>1800</c:v>
                </c:pt>
                <c:pt idx="127">
                  <c:v>1800</c:v>
                </c:pt>
                <c:pt idx="128">
                  <c:v>1825</c:v>
                </c:pt>
                <c:pt idx="129">
                  <c:v>1825</c:v>
                </c:pt>
              </c:numCache>
            </c:numRef>
          </c:xVal>
          <c:yVal>
            <c:numRef>
              <c:f>'Marine Life 50 years'!$AL$2:$AL$131</c:f>
              <c:numCache>
                <c:formatCode>General</c:formatCode>
                <c:ptCount val="1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2</c:v>
                </c:pt>
                <c:pt idx="34">
                  <c:v>2</c:v>
                </c:pt>
                <c:pt idx="35">
                  <c:v>1</c:v>
                </c:pt>
                <c:pt idx="36">
                  <c:v>1</c:v>
                </c:pt>
                <c:pt idx="37">
                  <c:v>2</c:v>
                </c:pt>
                <c:pt idx="38">
                  <c:v>2</c:v>
                </c:pt>
                <c:pt idx="39">
                  <c:v>3</c:v>
                </c:pt>
                <c:pt idx="40">
                  <c:v>3</c:v>
                </c:pt>
                <c:pt idx="41">
                  <c:v>5</c:v>
                </c:pt>
                <c:pt idx="42">
                  <c:v>5</c:v>
                </c:pt>
                <c:pt idx="43">
                  <c:v>8</c:v>
                </c:pt>
                <c:pt idx="44">
                  <c:v>8</c:v>
                </c:pt>
                <c:pt idx="45">
                  <c:v>23</c:v>
                </c:pt>
                <c:pt idx="46">
                  <c:v>23</c:v>
                </c:pt>
                <c:pt idx="47">
                  <c:v>44</c:v>
                </c:pt>
                <c:pt idx="48">
                  <c:v>44</c:v>
                </c:pt>
                <c:pt idx="49">
                  <c:v>56</c:v>
                </c:pt>
                <c:pt idx="50">
                  <c:v>56</c:v>
                </c:pt>
                <c:pt idx="51">
                  <c:v>84</c:v>
                </c:pt>
                <c:pt idx="52">
                  <c:v>84</c:v>
                </c:pt>
                <c:pt idx="53">
                  <c:v>135</c:v>
                </c:pt>
                <c:pt idx="54">
                  <c:v>135</c:v>
                </c:pt>
                <c:pt idx="55">
                  <c:v>189</c:v>
                </c:pt>
                <c:pt idx="56">
                  <c:v>189</c:v>
                </c:pt>
                <c:pt idx="57">
                  <c:v>238</c:v>
                </c:pt>
                <c:pt idx="58">
                  <c:v>238</c:v>
                </c:pt>
                <c:pt idx="59">
                  <c:v>300</c:v>
                </c:pt>
                <c:pt idx="60">
                  <c:v>300</c:v>
                </c:pt>
                <c:pt idx="61">
                  <c:v>361</c:v>
                </c:pt>
                <c:pt idx="62">
                  <c:v>361</c:v>
                </c:pt>
                <c:pt idx="63">
                  <c:v>472</c:v>
                </c:pt>
                <c:pt idx="64">
                  <c:v>472</c:v>
                </c:pt>
                <c:pt idx="65">
                  <c:v>527</c:v>
                </c:pt>
                <c:pt idx="66">
                  <c:v>527</c:v>
                </c:pt>
                <c:pt idx="67">
                  <c:v>561</c:v>
                </c:pt>
                <c:pt idx="68">
                  <c:v>561</c:v>
                </c:pt>
                <c:pt idx="69">
                  <c:v>643</c:v>
                </c:pt>
                <c:pt idx="70">
                  <c:v>643</c:v>
                </c:pt>
                <c:pt idx="71">
                  <c:v>644</c:v>
                </c:pt>
                <c:pt idx="72">
                  <c:v>644</c:v>
                </c:pt>
                <c:pt idx="73">
                  <c:v>652</c:v>
                </c:pt>
                <c:pt idx="74">
                  <c:v>652</c:v>
                </c:pt>
                <c:pt idx="75">
                  <c:v>625</c:v>
                </c:pt>
                <c:pt idx="76">
                  <c:v>625</c:v>
                </c:pt>
                <c:pt idx="77">
                  <c:v>603</c:v>
                </c:pt>
                <c:pt idx="78">
                  <c:v>603</c:v>
                </c:pt>
                <c:pt idx="79">
                  <c:v>624</c:v>
                </c:pt>
                <c:pt idx="80">
                  <c:v>624</c:v>
                </c:pt>
                <c:pt idx="81">
                  <c:v>566</c:v>
                </c:pt>
                <c:pt idx="82">
                  <c:v>566</c:v>
                </c:pt>
                <c:pt idx="83">
                  <c:v>485</c:v>
                </c:pt>
                <c:pt idx="84">
                  <c:v>485</c:v>
                </c:pt>
                <c:pt idx="85">
                  <c:v>425</c:v>
                </c:pt>
                <c:pt idx="86">
                  <c:v>425</c:v>
                </c:pt>
                <c:pt idx="87">
                  <c:v>329</c:v>
                </c:pt>
                <c:pt idx="88">
                  <c:v>329</c:v>
                </c:pt>
                <c:pt idx="89">
                  <c:v>289</c:v>
                </c:pt>
                <c:pt idx="90">
                  <c:v>289</c:v>
                </c:pt>
                <c:pt idx="91">
                  <c:v>244</c:v>
                </c:pt>
                <c:pt idx="92">
                  <c:v>244</c:v>
                </c:pt>
                <c:pt idx="93">
                  <c:v>212</c:v>
                </c:pt>
                <c:pt idx="94">
                  <c:v>212</c:v>
                </c:pt>
                <c:pt idx="95">
                  <c:v>179</c:v>
                </c:pt>
                <c:pt idx="96">
                  <c:v>179</c:v>
                </c:pt>
                <c:pt idx="97">
                  <c:v>125</c:v>
                </c:pt>
                <c:pt idx="98">
                  <c:v>125</c:v>
                </c:pt>
                <c:pt idx="99">
                  <c:v>76</c:v>
                </c:pt>
                <c:pt idx="100">
                  <c:v>76</c:v>
                </c:pt>
                <c:pt idx="101">
                  <c:v>61</c:v>
                </c:pt>
                <c:pt idx="102">
                  <c:v>61</c:v>
                </c:pt>
                <c:pt idx="103">
                  <c:v>51</c:v>
                </c:pt>
                <c:pt idx="104">
                  <c:v>51</c:v>
                </c:pt>
                <c:pt idx="105">
                  <c:v>47</c:v>
                </c:pt>
                <c:pt idx="106">
                  <c:v>47</c:v>
                </c:pt>
                <c:pt idx="107">
                  <c:v>29</c:v>
                </c:pt>
                <c:pt idx="108">
                  <c:v>29</c:v>
                </c:pt>
                <c:pt idx="109">
                  <c:v>24</c:v>
                </c:pt>
                <c:pt idx="110">
                  <c:v>24</c:v>
                </c:pt>
                <c:pt idx="111">
                  <c:v>20</c:v>
                </c:pt>
                <c:pt idx="112">
                  <c:v>20</c:v>
                </c:pt>
                <c:pt idx="113">
                  <c:v>13</c:v>
                </c:pt>
                <c:pt idx="114">
                  <c:v>13</c:v>
                </c:pt>
                <c:pt idx="115">
                  <c:v>9</c:v>
                </c:pt>
                <c:pt idx="116">
                  <c:v>9</c:v>
                </c:pt>
                <c:pt idx="117">
                  <c:v>5</c:v>
                </c:pt>
                <c:pt idx="118">
                  <c:v>5</c:v>
                </c:pt>
                <c:pt idx="119">
                  <c:v>1</c:v>
                </c:pt>
                <c:pt idx="120">
                  <c:v>1</c:v>
                </c:pt>
                <c:pt idx="121">
                  <c:v>3</c:v>
                </c:pt>
                <c:pt idx="122">
                  <c:v>3</c:v>
                </c:pt>
                <c:pt idx="123">
                  <c:v>3</c:v>
                </c:pt>
                <c:pt idx="124">
                  <c:v>3</c:v>
                </c:pt>
                <c:pt idx="125">
                  <c:v>0</c:v>
                </c:pt>
                <c:pt idx="126">
                  <c:v>0</c:v>
                </c:pt>
                <c:pt idx="127">
                  <c:v>2</c:v>
                </c:pt>
                <c:pt idx="128">
                  <c:v>2</c:v>
                </c:pt>
                <c:pt idx="12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4C0-459E-9329-AB6568E649C2}"/>
            </c:ext>
          </c:extLst>
        </c:ser>
        <c:ser>
          <c:idx val="1"/>
          <c:order val="1"/>
          <c:tx>
            <c:strRef>
              <c:f>'Marine Life 50 years'!$AM$1</c:f>
              <c:strCache>
                <c:ptCount val="1"/>
                <c:pt idx="0">
                  <c:v>MCMC Madness'!$AY$49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'Marine Life 50 years'!$AK$2:$AK$131</c:f>
              <c:numCache>
                <c:formatCode>General</c:formatCode>
                <c:ptCount val="130"/>
                <c:pt idx="0">
                  <c:v>225</c:v>
                </c:pt>
                <c:pt idx="1">
                  <c:v>225</c:v>
                </c:pt>
                <c:pt idx="2">
                  <c:v>250</c:v>
                </c:pt>
                <c:pt idx="3">
                  <c:v>250</c:v>
                </c:pt>
                <c:pt idx="4">
                  <c:v>275</c:v>
                </c:pt>
                <c:pt idx="5">
                  <c:v>275</c:v>
                </c:pt>
                <c:pt idx="6">
                  <c:v>300</c:v>
                </c:pt>
                <c:pt idx="7">
                  <c:v>300</c:v>
                </c:pt>
                <c:pt idx="8">
                  <c:v>325</c:v>
                </c:pt>
                <c:pt idx="9">
                  <c:v>325</c:v>
                </c:pt>
                <c:pt idx="10">
                  <c:v>350</c:v>
                </c:pt>
                <c:pt idx="11">
                  <c:v>350</c:v>
                </c:pt>
                <c:pt idx="12">
                  <c:v>375</c:v>
                </c:pt>
                <c:pt idx="13">
                  <c:v>375</c:v>
                </c:pt>
                <c:pt idx="14">
                  <c:v>400</c:v>
                </c:pt>
                <c:pt idx="15">
                  <c:v>400</c:v>
                </c:pt>
                <c:pt idx="16">
                  <c:v>425</c:v>
                </c:pt>
                <c:pt idx="17">
                  <c:v>425</c:v>
                </c:pt>
                <c:pt idx="18">
                  <c:v>450</c:v>
                </c:pt>
                <c:pt idx="19">
                  <c:v>450</c:v>
                </c:pt>
                <c:pt idx="20">
                  <c:v>475</c:v>
                </c:pt>
                <c:pt idx="21">
                  <c:v>475</c:v>
                </c:pt>
                <c:pt idx="22">
                  <c:v>500</c:v>
                </c:pt>
                <c:pt idx="23">
                  <c:v>500</c:v>
                </c:pt>
                <c:pt idx="24">
                  <c:v>525</c:v>
                </c:pt>
                <c:pt idx="25">
                  <c:v>525</c:v>
                </c:pt>
                <c:pt idx="26">
                  <c:v>550</c:v>
                </c:pt>
                <c:pt idx="27">
                  <c:v>550</c:v>
                </c:pt>
                <c:pt idx="28">
                  <c:v>575</c:v>
                </c:pt>
                <c:pt idx="29">
                  <c:v>575</c:v>
                </c:pt>
                <c:pt idx="30">
                  <c:v>600</c:v>
                </c:pt>
                <c:pt idx="31">
                  <c:v>600</c:v>
                </c:pt>
                <c:pt idx="32">
                  <c:v>625</c:v>
                </c:pt>
                <c:pt idx="33">
                  <c:v>625</c:v>
                </c:pt>
                <c:pt idx="34">
                  <c:v>650</c:v>
                </c:pt>
                <c:pt idx="35">
                  <c:v>650</c:v>
                </c:pt>
                <c:pt idx="36">
                  <c:v>675</c:v>
                </c:pt>
                <c:pt idx="37">
                  <c:v>675</c:v>
                </c:pt>
                <c:pt idx="38">
                  <c:v>700</c:v>
                </c:pt>
                <c:pt idx="39">
                  <c:v>700</c:v>
                </c:pt>
                <c:pt idx="40">
                  <c:v>725</c:v>
                </c:pt>
                <c:pt idx="41">
                  <c:v>725</c:v>
                </c:pt>
                <c:pt idx="42">
                  <c:v>750</c:v>
                </c:pt>
                <c:pt idx="43">
                  <c:v>750</c:v>
                </c:pt>
                <c:pt idx="44">
                  <c:v>775</c:v>
                </c:pt>
                <c:pt idx="45">
                  <c:v>775</c:v>
                </c:pt>
                <c:pt idx="46">
                  <c:v>800</c:v>
                </c:pt>
                <c:pt idx="47">
                  <c:v>800</c:v>
                </c:pt>
                <c:pt idx="48">
                  <c:v>825</c:v>
                </c:pt>
                <c:pt idx="49">
                  <c:v>825</c:v>
                </c:pt>
                <c:pt idx="50">
                  <c:v>850</c:v>
                </c:pt>
                <c:pt idx="51">
                  <c:v>850</c:v>
                </c:pt>
                <c:pt idx="52">
                  <c:v>875</c:v>
                </c:pt>
                <c:pt idx="53">
                  <c:v>875</c:v>
                </c:pt>
                <c:pt idx="54">
                  <c:v>900</c:v>
                </c:pt>
                <c:pt idx="55">
                  <c:v>900</c:v>
                </c:pt>
                <c:pt idx="56">
                  <c:v>925</c:v>
                </c:pt>
                <c:pt idx="57">
                  <c:v>925</c:v>
                </c:pt>
                <c:pt idx="58">
                  <c:v>950</c:v>
                </c:pt>
                <c:pt idx="59">
                  <c:v>950</c:v>
                </c:pt>
                <c:pt idx="60">
                  <c:v>975</c:v>
                </c:pt>
                <c:pt idx="61">
                  <c:v>975</c:v>
                </c:pt>
                <c:pt idx="62">
                  <c:v>1000</c:v>
                </c:pt>
                <c:pt idx="63">
                  <c:v>1000</c:v>
                </c:pt>
                <c:pt idx="64">
                  <c:v>1025</c:v>
                </c:pt>
                <c:pt idx="65">
                  <c:v>1025</c:v>
                </c:pt>
                <c:pt idx="66">
                  <c:v>1050</c:v>
                </c:pt>
                <c:pt idx="67">
                  <c:v>1050</c:v>
                </c:pt>
                <c:pt idx="68">
                  <c:v>1075</c:v>
                </c:pt>
                <c:pt idx="69">
                  <c:v>1075</c:v>
                </c:pt>
                <c:pt idx="70">
                  <c:v>1100</c:v>
                </c:pt>
                <c:pt idx="71">
                  <c:v>1100</c:v>
                </c:pt>
                <c:pt idx="72">
                  <c:v>1125</c:v>
                </c:pt>
                <c:pt idx="73">
                  <c:v>1125</c:v>
                </c:pt>
                <c:pt idx="74">
                  <c:v>1150</c:v>
                </c:pt>
                <c:pt idx="75">
                  <c:v>1150</c:v>
                </c:pt>
                <c:pt idx="76">
                  <c:v>1175</c:v>
                </c:pt>
                <c:pt idx="77">
                  <c:v>1175</c:v>
                </c:pt>
                <c:pt idx="78">
                  <c:v>1200</c:v>
                </c:pt>
                <c:pt idx="79">
                  <c:v>1200</c:v>
                </c:pt>
                <c:pt idx="80">
                  <c:v>1225</c:v>
                </c:pt>
                <c:pt idx="81">
                  <c:v>1225</c:v>
                </c:pt>
                <c:pt idx="82">
                  <c:v>1250</c:v>
                </c:pt>
                <c:pt idx="83">
                  <c:v>1250</c:v>
                </c:pt>
                <c:pt idx="84">
                  <c:v>1275</c:v>
                </c:pt>
                <c:pt idx="85">
                  <c:v>1275</c:v>
                </c:pt>
                <c:pt idx="86">
                  <c:v>1300</c:v>
                </c:pt>
                <c:pt idx="87">
                  <c:v>1300</c:v>
                </c:pt>
                <c:pt idx="88">
                  <c:v>1325</c:v>
                </c:pt>
                <c:pt idx="89">
                  <c:v>1325</c:v>
                </c:pt>
                <c:pt idx="90">
                  <c:v>1350</c:v>
                </c:pt>
                <c:pt idx="91">
                  <c:v>1350</c:v>
                </c:pt>
                <c:pt idx="92">
                  <c:v>1375</c:v>
                </c:pt>
                <c:pt idx="93">
                  <c:v>1375</c:v>
                </c:pt>
                <c:pt idx="94">
                  <c:v>1400</c:v>
                </c:pt>
                <c:pt idx="95">
                  <c:v>1400</c:v>
                </c:pt>
                <c:pt idx="96">
                  <c:v>1425</c:v>
                </c:pt>
                <c:pt idx="97">
                  <c:v>1425</c:v>
                </c:pt>
                <c:pt idx="98">
                  <c:v>1450</c:v>
                </c:pt>
                <c:pt idx="99">
                  <c:v>1450</c:v>
                </c:pt>
                <c:pt idx="100">
                  <c:v>1475</c:v>
                </c:pt>
                <c:pt idx="101">
                  <c:v>1475</c:v>
                </c:pt>
                <c:pt idx="102">
                  <c:v>1500</c:v>
                </c:pt>
                <c:pt idx="103">
                  <c:v>1500</c:v>
                </c:pt>
                <c:pt idx="104">
                  <c:v>1525</c:v>
                </c:pt>
                <c:pt idx="105">
                  <c:v>1525</c:v>
                </c:pt>
                <c:pt idx="106">
                  <c:v>1550</c:v>
                </c:pt>
                <c:pt idx="107">
                  <c:v>1550</c:v>
                </c:pt>
                <c:pt idx="108">
                  <c:v>1575</c:v>
                </c:pt>
                <c:pt idx="109">
                  <c:v>1575</c:v>
                </c:pt>
                <c:pt idx="110">
                  <c:v>1600</c:v>
                </c:pt>
                <c:pt idx="111">
                  <c:v>1600</c:v>
                </c:pt>
                <c:pt idx="112">
                  <c:v>1625</c:v>
                </c:pt>
                <c:pt idx="113">
                  <c:v>1625</c:v>
                </c:pt>
                <c:pt idx="114">
                  <c:v>1650</c:v>
                </c:pt>
                <c:pt idx="115">
                  <c:v>1650</c:v>
                </c:pt>
                <c:pt idx="116">
                  <c:v>1675</c:v>
                </c:pt>
                <c:pt idx="117">
                  <c:v>1675</c:v>
                </c:pt>
                <c:pt idx="118">
                  <c:v>1700</c:v>
                </c:pt>
                <c:pt idx="119">
                  <c:v>1700</c:v>
                </c:pt>
                <c:pt idx="120">
                  <c:v>1725</c:v>
                </c:pt>
                <c:pt idx="121">
                  <c:v>1725</c:v>
                </c:pt>
                <c:pt idx="122">
                  <c:v>1750</c:v>
                </c:pt>
                <c:pt idx="123">
                  <c:v>1750</c:v>
                </c:pt>
                <c:pt idx="124">
                  <c:v>1775</c:v>
                </c:pt>
                <c:pt idx="125">
                  <c:v>1775</c:v>
                </c:pt>
                <c:pt idx="126">
                  <c:v>1800</c:v>
                </c:pt>
                <c:pt idx="127">
                  <c:v>1800</c:v>
                </c:pt>
                <c:pt idx="128">
                  <c:v>1825</c:v>
                </c:pt>
                <c:pt idx="129">
                  <c:v>1825</c:v>
                </c:pt>
              </c:numCache>
            </c:numRef>
          </c:xVal>
          <c:yVal>
            <c:numRef>
              <c:f>'Marine Life 50 years'!$AM$2:$AM$131</c:f>
              <c:numCache>
                <c:formatCode>General</c:formatCode>
                <c:ptCount val="1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3</c:v>
                </c:pt>
                <c:pt idx="5">
                  <c:v>6</c:v>
                </c:pt>
                <c:pt idx="6">
                  <c:v>6</c:v>
                </c:pt>
                <c:pt idx="7">
                  <c:v>37</c:v>
                </c:pt>
                <c:pt idx="8">
                  <c:v>37</c:v>
                </c:pt>
                <c:pt idx="9">
                  <c:v>123</c:v>
                </c:pt>
                <c:pt idx="10">
                  <c:v>123</c:v>
                </c:pt>
                <c:pt idx="11">
                  <c:v>226</c:v>
                </c:pt>
                <c:pt idx="12">
                  <c:v>226</c:v>
                </c:pt>
                <c:pt idx="13">
                  <c:v>457</c:v>
                </c:pt>
                <c:pt idx="14">
                  <c:v>457</c:v>
                </c:pt>
                <c:pt idx="15">
                  <c:v>737</c:v>
                </c:pt>
                <c:pt idx="16">
                  <c:v>737</c:v>
                </c:pt>
                <c:pt idx="17">
                  <c:v>932</c:v>
                </c:pt>
                <c:pt idx="18">
                  <c:v>932</c:v>
                </c:pt>
                <c:pt idx="19">
                  <c:v>1121</c:v>
                </c:pt>
                <c:pt idx="20">
                  <c:v>1121</c:v>
                </c:pt>
                <c:pt idx="21">
                  <c:v>1176</c:v>
                </c:pt>
                <c:pt idx="22">
                  <c:v>1176</c:v>
                </c:pt>
                <c:pt idx="23">
                  <c:v>1163</c:v>
                </c:pt>
                <c:pt idx="24">
                  <c:v>1163</c:v>
                </c:pt>
                <c:pt idx="25">
                  <c:v>1009</c:v>
                </c:pt>
                <c:pt idx="26">
                  <c:v>1009</c:v>
                </c:pt>
                <c:pt idx="27">
                  <c:v>872</c:v>
                </c:pt>
                <c:pt idx="28">
                  <c:v>872</c:v>
                </c:pt>
                <c:pt idx="29">
                  <c:v>668</c:v>
                </c:pt>
                <c:pt idx="30">
                  <c:v>668</c:v>
                </c:pt>
                <c:pt idx="31">
                  <c:v>485</c:v>
                </c:pt>
                <c:pt idx="32">
                  <c:v>485</c:v>
                </c:pt>
                <c:pt idx="33">
                  <c:v>357</c:v>
                </c:pt>
                <c:pt idx="34">
                  <c:v>357</c:v>
                </c:pt>
                <c:pt idx="35">
                  <c:v>238</c:v>
                </c:pt>
                <c:pt idx="36">
                  <c:v>238</c:v>
                </c:pt>
                <c:pt idx="37">
                  <c:v>160</c:v>
                </c:pt>
                <c:pt idx="38">
                  <c:v>160</c:v>
                </c:pt>
                <c:pt idx="39">
                  <c:v>96</c:v>
                </c:pt>
                <c:pt idx="40">
                  <c:v>96</c:v>
                </c:pt>
                <c:pt idx="41">
                  <c:v>56</c:v>
                </c:pt>
                <c:pt idx="42">
                  <c:v>56</c:v>
                </c:pt>
                <c:pt idx="43">
                  <c:v>28</c:v>
                </c:pt>
                <c:pt idx="44">
                  <c:v>28</c:v>
                </c:pt>
                <c:pt idx="45">
                  <c:v>28</c:v>
                </c:pt>
                <c:pt idx="46">
                  <c:v>28</c:v>
                </c:pt>
                <c:pt idx="47">
                  <c:v>9</c:v>
                </c:pt>
                <c:pt idx="48">
                  <c:v>9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4</c:v>
                </c:pt>
                <c:pt idx="53">
                  <c:v>3</c:v>
                </c:pt>
                <c:pt idx="54">
                  <c:v>3</c:v>
                </c:pt>
                <c:pt idx="55">
                  <c:v>1</c:v>
                </c:pt>
                <c:pt idx="56">
                  <c:v>1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1</c:v>
                </c:pt>
                <c:pt idx="62">
                  <c:v>1</c:v>
                </c:pt>
                <c:pt idx="6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4C0-459E-9329-AB6568E649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015520"/>
        <c:axId val="44016080"/>
      </c:scatterChart>
      <c:valAx>
        <c:axId val="44015520"/>
        <c:scaling>
          <c:orientation val="minMax"/>
          <c:max val="1825"/>
          <c:min val="225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Carbon (Gigatons)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4016080"/>
        <c:crosses val="autoZero"/>
        <c:crossBetween val="midCat"/>
      </c:valAx>
      <c:valAx>
        <c:axId val="440160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one"/>
        <c:spPr>
          <a:ln w="25400">
            <a:noFill/>
          </a:ln>
        </c:spPr>
        <c:crossAx val="440155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Atmosphere</a:t>
            </a:r>
            <a:r>
              <a:rPr lang="en-US" baseline="0"/>
              <a:t>, 2066</a:t>
            </a:r>
            <a:endParaRPr lang="en-US"/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'Atmosphere 50 Years '!$AL$1</c:f>
              <c:strCache>
                <c:ptCount val="1"/>
                <c:pt idx="0">
                  <c:v>MCMC Madness'!$AY$17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'Atmosphere 50 Years '!$AK$2:$AK$203</c:f>
              <c:numCache>
                <c:formatCode>General</c:formatCode>
                <c:ptCount val="202"/>
                <c:pt idx="0">
                  <c:v>475</c:v>
                </c:pt>
                <c:pt idx="1">
                  <c:v>475</c:v>
                </c:pt>
                <c:pt idx="2">
                  <c:v>500</c:v>
                </c:pt>
                <c:pt idx="3">
                  <c:v>500</c:v>
                </c:pt>
                <c:pt idx="4">
                  <c:v>525</c:v>
                </c:pt>
                <c:pt idx="5">
                  <c:v>525</c:v>
                </c:pt>
                <c:pt idx="6">
                  <c:v>550</c:v>
                </c:pt>
                <c:pt idx="7">
                  <c:v>550</c:v>
                </c:pt>
                <c:pt idx="8">
                  <c:v>575</c:v>
                </c:pt>
                <c:pt idx="9">
                  <c:v>575</c:v>
                </c:pt>
                <c:pt idx="10">
                  <c:v>600</c:v>
                </c:pt>
                <c:pt idx="11">
                  <c:v>600</c:v>
                </c:pt>
                <c:pt idx="12">
                  <c:v>625</c:v>
                </c:pt>
                <c:pt idx="13">
                  <c:v>625</c:v>
                </c:pt>
                <c:pt idx="14">
                  <c:v>650</c:v>
                </c:pt>
                <c:pt idx="15">
                  <c:v>650</c:v>
                </c:pt>
                <c:pt idx="16">
                  <c:v>675</c:v>
                </c:pt>
                <c:pt idx="17">
                  <c:v>675</c:v>
                </c:pt>
                <c:pt idx="18">
                  <c:v>700</c:v>
                </c:pt>
                <c:pt idx="19">
                  <c:v>700</c:v>
                </c:pt>
                <c:pt idx="20">
                  <c:v>725</c:v>
                </c:pt>
                <c:pt idx="21">
                  <c:v>725</c:v>
                </c:pt>
                <c:pt idx="22">
                  <c:v>750</c:v>
                </c:pt>
                <c:pt idx="23">
                  <c:v>750</c:v>
                </c:pt>
                <c:pt idx="24">
                  <c:v>775</c:v>
                </c:pt>
                <c:pt idx="25">
                  <c:v>775</c:v>
                </c:pt>
                <c:pt idx="26">
                  <c:v>800</c:v>
                </c:pt>
                <c:pt idx="27">
                  <c:v>800</c:v>
                </c:pt>
                <c:pt idx="28">
                  <c:v>825</c:v>
                </c:pt>
                <c:pt idx="29">
                  <c:v>825</c:v>
                </c:pt>
                <c:pt idx="30">
                  <c:v>850</c:v>
                </c:pt>
                <c:pt idx="31">
                  <c:v>850</c:v>
                </c:pt>
                <c:pt idx="32">
                  <c:v>875</c:v>
                </c:pt>
                <c:pt idx="33">
                  <c:v>875</c:v>
                </c:pt>
                <c:pt idx="34">
                  <c:v>900</c:v>
                </c:pt>
                <c:pt idx="35">
                  <c:v>900</c:v>
                </c:pt>
                <c:pt idx="36">
                  <c:v>925</c:v>
                </c:pt>
                <c:pt idx="37">
                  <c:v>925</c:v>
                </c:pt>
                <c:pt idx="38">
                  <c:v>950</c:v>
                </c:pt>
                <c:pt idx="39">
                  <c:v>950</c:v>
                </c:pt>
                <c:pt idx="40">
                  <c:v>975</c:v>
                </c:pt>
                <c:pt idx="41">
                  <c:v>975</c:v>
                </c:pt>
                <c:pt idx="42">
                  <c:v>1000</c:v>
                </c:pt>
                <c:pt idx="43">
                  <c:v>1000</c:v>
                </c:pt>
                <c:pt idx="44">
                  <c:v>1025</c:v>
                </c:pt>
                <c:pt idx="45">
                  <c:v>1025</c:v>
                </c:pt>
                <c:pt idx="46">
                  <c:v>1050</c:v>
                </c:pt>
                <c:pt idx="47">
                  <c:v>1050</c:v>
                </c:pt>
                <c:pt idx="48">
                  <c:v>1075</c:v>
                </c:pt>
                <c:pt idx="49">
                  <c:v>1075</c:v>
                </c:pt>
                <c:pt idx="50">
                  <c:v>1100</c:v>
                </c:pt>
                <c:pt idx="51">
                  <c:v>1100</c:v>
                </c:pt>
                <c:pt idx="52">
                  <c:v>1125</c:v>
                </c:pt>
                <c:pt idx="53">
                  <c:v>1125</c:v>
                </c:pt>
                <c:pt idx="54">
                  <c:v>1150</c:v>
                </c:pt>
                <c:pt idx="55">
                  <c:v>1150</c:v>
                </c:pt>
                <c:pt idx="56">
                  <c:v>1175</c:v>
                </c:pt>
                <c:pt idx="57">
                  <c:v>1175</c:v>
                </c:pt>
                <c:pt idx="58">
                  <c:v>1200</c:v>
                </c:pt>
                <c:pt idx="59">
                  <c:v>1200</c:v>
                </c:pt>
                <c:pt idx="60">
                  <c:v>1225</c:v>
                </c:pt>
                <c:pt idx="61">
                  <c:v>1225</c:v>
                </c:pt>
                <c:pt idx="62">
                  <c:v>1250</c:v>
                </c:pt>
                <c:pt idx="63">
                  <c:v>1250</c:v>
                </c:pt>
                <c:pt idx="64">
                  <c:v>1275</c:v>
                </c:pt>
                <c:pt idx="65">
                  <c:v>1275</c:v>
                </c:pt>
                <c:pt idx="66">
                  <c:v>1300</c:v>
                </c:pt>
                <c:pt idx="67">
                  <c:v>1300</c:v>
                </c:pt>
                <c:pt idx="68">
                  <c:v>1325</c:v>
                </c:pt>
                <c:pt idx="69">
                  <c:v>1325</c:v>
                </c:pt>
                <c:pt idx="70">
                  <c:v>1350</c:v>
                </c:pt>
                <c:pt idx="71">
                  <c:v>1350</c:v>
                </c:pt>
                <c:pt idx="72">
                  <c:v>1375</c:v>
                </c:pt>
                <c:pt idx="73">
                  <c:v>1375</c:v>
                </c:pt>
                <c:pt idx="74">
                  <c:v>1400</c:v>
                </c:pt>
                <c:pt idx="75">
                  <c:v>1400</c:v>
                </c:pt>
                <c:pt idx="76">
                  <c:v>1425</c:v>
                </c:pt>
                <c:pt idx="77">
                  <c:v>1425</c:v>
                </c:pt>
                <c:pt idx="78">
                  <c:v>1450</c:v>
                </c:pt>
                <c:pt idx="79">
                  <c:v>1450</c:v>
                </c:pt>
                <c:pt idx="80">
                  <c:v>1475</c:v>
                </c:pt>
                <c:pt idx="81">
                  <c:v>1475</c:v>
                </c:pt>
                <c:pt idx="82">
                  <c:v>1500</c:v>
                </c:pt>
                <c:pt idx="83">
                  <c:v>1500</c:v>
                </c:pt>
                <c:pt idx="84">
                  <c:v>1525</c:v>
                </c:pt>
                <c:pt idx="85">
                  <c:v>1525</c:v>
                </c:pt>
                <c:pt idx="86">
                  <c:v>1550</c:v>
                </c:pt>
                <c:pt idx="87">
                  <c:v>1550</c:v>
                </c:pt>
                <c:pt idx="88">
                  <c:v>1575</c:v>
                </c:pt>
                <c:pt idx="89">
                  <c:v>1575</c:v>
                </c:pt>
                <c:pt idx="90">
                  <c:v>1600</c:v>
                </c:pt>
                <c:pt idx="91">
                  <c:v>1600</c:v>
                </c:pt>
                <c:pt idx="92">
                  <c:v>1625</c:v>
                </c:pt>
                <c:pt idx="93">
                  <c:v>1625</c:v>
                </c:pt>
                <c:pt idx="94">
                  <c:v>1650</c:v>
                </c:pt>
                <c:pt idx="95">
                  <c:v>1650</c:v>
                </c:pt>
                <c:pt idx="96">
                  <c:v>1675</c:v>
                </c:pt>
                <c:pt idx="97">
                  <c:v>1675</c:v>
                </c:pt>
                <c:pt idx="98">
                  <c:v>1700</c:v>
                </c:pt>
                <c:pt idx="99">
                  <c:v>1700</c:v>
                </c:pt>
                <c:pt idx="100">
                  <c:v>1725</c:v>
                </c:pt>
                <c:pt idx="101">
                  <c:v>1725</c:v>
                </c:pt>
                <c:pt idx="102">
                  <c:v>1750</c:v>
                </c:pt>
                <c:pt idx="103">
                  <c:v>1750</c:v>
                </c:pt>
                <c:pt idx="104">
                  <c:v>1775</c:v>
                </c:pt>
                <c:pt idx="105">
                  <c:v>1775</c:v>
                </c:pt>
                <c:pt idx="106">
                  <c:v>1800</c:v>
                </c:pt>
                <c:pt idx="107">
                  <c:v>1800</c:v>
                </c:pt>
                <c:pt idx="108">
                  <c:v>1825</c:v>
                </c:pt>
                <c:pt idx="109">
                  <c:v>1825</c:v>
                </c:pt>
                <c:pt idx="110">
                  <c:v>1850</c:v>
                </c:pt>
                <c:pt idx="111">
                  <c:v>1850</c:v>
                </c:pt>
                <c:pt idx="112">
                  <c:v>1875</c:v>
                </c:pt>
                <c:pt idx="113">
                  <c:v>1875</c:v>
                </c:pt>
                <c:pt idx="114">
                  <c:v>1900</c:v>
                </c:pt>
                <c:pt idx="115">
                  <c:v>1900</c:v>
                </c:pt>
                <c:pt idx="116">
                  <c:v>1925</c:v>
                </c:pt>
                <c:pt idx="117">
                  <c:v>1925</c:v>
                </c:pt>
                <c:pt idx="118">
                  <c:v>1950</c:v>
                </c:pt>
                <c:pt idx="119">
                  <c:v>1950</c:v>
                </c:pt>
                <c:pt idx="120">
                  <c:v>1975</c:v>
                </c:pt>
                <c:pt idx="121">
                  <c:v>1975</c:v>
                </c:pt>
                <c:pt idx="122">
                  <c:v>2000</c:v>
                </c:pt>
                <c:pt idx="123">
                  <c:v>2000</c:v>
                </c:pt>
                <c:pt idx="124">
                  <c:v>2025</c:v>
                </c:pt>
                <c:pt idx="125">
                  <c:v>2025</c:v>
                </c:pt>
                <c:pt idx="126">
                  <c:v>2050</c:v>
                </c:pt>
                <c:pt idx="127">
                  <c:v>2050</c:v>
                </c:pt>
                <c:pt idx="128">
                  <c:v>2075</c:v>
                </c:pt>
                <c:pt idx="129">
                  <c:v>2075</c:v>
                </c:pt>
                <c:pt idx="130">
                  <c:v>2100</c:v>
                </c:pt>
                <c:pt idx="131">
                  <c:v>2100</c:v>
                </c:pt>
                <c:pt idx="132">
                  <c:v>2125</c:v>
                </c:pt>
                <c:pt idx="133">
                  <c:v>2125</c:v>
                </c:pt>
                <c:pt idx="134">
                  <c:v>2150</c:v>
                </c:pt>
                <c:pt idx="135">
                  <c:v>2150</c:v>
                </c:pt>
                <c:pt idx="136">
                  <c:v>2175</c:v>
                </c:pt>
                <c:pt idx="137">
                  <c:v>2175</c:v>
                </c:pt>
                <c:pt idx="138">
                  <c:v>2200</c:v>
                </c:pt>
                <c:pt idx="139">
                  <c:v>2200</c:v>
                </c:pt>
                <c:pt idx="140">
                  <c:v>2225</c:v>
                </c:pt>
                <c:pt idx="141">
                  <c:v>2225</c:v>
                </c:pt>
                <c:pt idx="142">
                  <c:v>2250</c:v>
                </c:pt>
                <c:pt idx="143">
                  <c:v>2250</c:v>
                </c:pt>
                <c:pt idx="144">
                  <c:v>2275</c:v>
                </c:pt>
                <c:pt idx="145">
                  <c:v>2275</c:v>
                </c:pt>
                <c:pt idx="146">
                  <c:v>2300</c:v>
                </c:pt>
                <c:pt idx="147">
                  <c:v>2300</c:v>
                </c:pt>
                <c:pt idx="148">
                  <c:v>2325</c:v>
                </c:pt>
                <c:pt idx="149">
                  <c:v>2325</c:v>
                </c:pt>
                <c:pt idx="150">
                  <c:v>2350</c:v>
                </c:pt>
                <c:pt idx="151">
                  <c:v>2350</c:v>
                </c:pt>
                <c:pt idx="152">
                  <c:v>2375</c:v>
                </c:pt>
                <c:pt idx="153">
                  <c:v>2375</c:v>
                </c:pt>
                <c:pt idx="154">
                  <c:v>2400</c:v>
                </c:pt>
                <c:pt idx="155">
                  <c:v>2400</c:v>
                </c:pt>
                <c:pt idx="156">
                  <c:v>2425</c:v>
                </c:pt>
                <c:pt idx="157">
                  <c:v>2425</c:v>
                </c:pt>
                <c:pt idx="158">
                  <c:v>2450</c:v>
                </c:pt>
                <c:pt idx="159">
                  <c:v>2450</c:v>
                </c:pt>
                <c:pt idx="160">
                  <c:v>2475</c:v>
                </c:pt>
                <c:pt idx="161">
                  <c:v>2475</c:v>
                </c:pt>
                <c:pt idx="162">
                  <c:v>2500</c:v>
                </c:pt>
                <c:pt idx="163">
                  <c:v>2500</c:v>
                </c:pt>
                <c:pt idx="164">
                  <c:v>2525</c:v>
                </c:pt>
                <c:pt idx="165">
                  <c:v>2525</c:v>
                </c:pt>
                <c:pt idx="166">
                  <c:v>2550</c:v>
                </c:pt>
                <c:pt idx="167">
                  <c:v>2550</c:v>
                </c:pt>
                <c:pt idx="168">
                  <c:v>2575</c:v>
                </c:pt>
                <c:pt idx="169">
                  <c:v>2575</c:v>
                </c:pt>
                <c:pt idx="170">
                  <c:v>2600</c:v>
                </c:pt>
                <c:pt idx="171">
                  <c:v>2600</c:v>
                </c:pt>
                <c:pt idx="172">
                  <c:v>2625</c:v>
                </c:pt>
                <c:pt idx="173">
                  <c:v>2625</c:v>
                </c:pt>
                <c:pt idx="174">
                  <c:v>2650</c:v>
                </c:pt>
                <c:pt idx="175">
                  <c:v>2650</c:v>
                </c:pt>
                <c:pt idx="176">
                  <c:v>2675</c:v>
                </c:pt>
                <c:pt idx="177">
                  <c:v>2675</c:v>
                </c:pt>
                <c:pt idx="178">
                  <c:v>2700</c:v>
                </c:pt>
                <c:pt idx="179">
                  <c:v>2700</c:v>
                </c:pt>
                <c:pt idx="180">
                  <c:v>2725</c:v>
                </c:pt>
                <c:pt idx="181">
                  <c:v>2725</c:v>
                </c:pt>
                <c:pt idx="182">
                  <c:v>2750</c:v>
                </c:pt>
                <c:pt idx="183">
                  <c:v>2750</c:v>
                </c:pt>
                <c:pt idx="184">
                  <c:v>2775</c:v>
                </c:pt>
                <c:pt idx="185">
                  <c:v>2775</c:v>
                </c:pt>
                <c:pt idx="186">
                  <c:v>2800</c:v>
                </c:pt>
                <c:pt idx="187">
                  <c:v>2800</c:v>
                </c:pt>
                <c:pt idx="188">
                  <c:v>2825</c:v>
                </c:pt>
                <c:pt idx="189">
                  <c:v>2825</c:v>
                </c:pt>
                <c:pt idx="190">
                  <c:v>2850</c:v>
                </c:pt>
                <c:pt idx="191">
                  <c:v>2850</c:v>
                </c:pt>
                <c:pt idx="192">
                  <c:v>2875</c:v>
                </c:pt>
                <c:pt idx="193">
                  <c:v>2875</c:v>
                </c:pt>
                <c:pt idx="194">
                  <c:v>2900</c:v>
                </c:pt>
                <c:pt idx="195">
                  <c:v>2900</c:v>
                </c:pt>
                <c:pt idx="196">
                  <c:v>2925</c:v>
                </c:pt>
                <c:pt idx="197">
                  <c:v>2925</c:v>
                </c:pt>
                <c:pt idx="198">
                  <c:v>2950</c:v>
                </c:pt>
                <c:pt idx="199">
                  <c:v>2950</c:v>
                </c:pt>
                <c:pt idx="200">
                  <c:v>2975</c:v>
                </c:pt>
                <c:pt idx="201">
                  <c:v>2975</c:v>
                </c:pt>
              </c:numCache>
            </c:numRef>
          </c:xVal>
          <c:yVal>
            <c:numRef>
              <c:f>'Atmosphere 50 Years '!$AL$2:$AL$203</c:f>
              <c:numCache>
                <c:formatCode>General</c:formatCode>
                <c:ptCount val="202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14</c:v>
                </c:pt>
                <c:pt idx="4">
                  <c:v>14</c:v>
                </c:pt>
                <c:pt idx="5">
                  <c:v>38</c:v>
                </c:pt>
                <c:pt idx="6">
                  <c:v>38</c:v>
                </c:pt>
                <c:pt idx="7">
                  <c:v>75</c:v>
                </c:pt>
                <c:pt idx="8">
                  <c:v>75</c:v>
                </c:pt>
                <c:pt idx="9">
                  <c:v>179</c:v>
                </c:pt>
                <c:pt idx="10">
                  <c:v>179</c:v>
                </c:pt>
                <c:pt idx="11">
                  <c:v>324</c:v>
                </c:pt>
                <c:pt idx="12">
                  <c:v>324</c:v>
                </c:pt>
                <c:pt idx="13">
                  <c:v>508</c:v>
                </c:pt>
                <c:pt idx="14">
                  <c:v>508</c:v>
                </c:pt>
                <c:pt idx="15">
                  <c:v>720</c:v>
                </c:pt>
                <c:pt idx="16">
                  <c:v>720</c:v>
                </c:pt>
                <c:pt idx="17">
                  <c:v>1026</c:v>
                </c:pt>
                <c:pt idx="18">
                  <c:v>1026</c:v>
                </c:pt>
                <c:pt idx="19">
                  <c:v>1128</c:v>
                </c:pt>
                <c:pt idx="20">
                  <c:v>1128</c:v>
                </c:pt>
                <c:pt idx="21">
                  <c:v>1114</c:v>
                </c:pt>
                <c:pt idx="22">
                  <c:v>1114</c:v>
                </c:pt>
                <c:pt idx="23">
                  <c:v>1049</c:v>
                </c:pt>
                <c:pt idx="24">
                  <c:v>1049</c:v>
                </c:pt>
                <c:pt idx="25">
                  <c:v>1004</c:v>
                </c:pt>
                <c:pt idx="26">
                  <c:v>1004</c:v>
                </c:pt>
                <c:pt idx="27">
                  <c:v>816</c:v>
                </c:pt>
                <c:pt idx="28">
                  <c:v>816</c:v>
                </c:pt>
                <c:pt idx="29">
                  <c:v>709</c:v>
                </c:pt>
                <c:pt idx="30">
                  <c:v>709</c:v>
                </c:pt>
                <c:pt idx="31">
                  <c:v>458</c:v>
                </c:pt>
                <c:pt idx="32">
                  <c:v>458</c:v>
                </c:pt>
                <c:pt idx="33">
                  <c:v>293</c:v>
                </c:pt>
                <c:pt idx="34">
                  <c:v>293</c:v>
                </c:pt>
                <c:pt idx="35">
                  <c:v>233</c:v>
                </c:pt>
                <c:pt idx="36">
                  <c:v>233</c:v>
                </c:pt>
                <c:pt idx="37">
                  <c:v>140</c:v>
                </c:pt>
                <c:pt idx="38">
                  <c:v>140</c:v>
                </c:pt>
                <c:pt idx="39">
                  <c:v>67</c:v>
                </c:pt>
                <c:pt idx="40">
                  <c:v>67</c:v>
                </c:pt>
                <c:pt idx="41">
                  <c:v>39</c:v>
                </c:pt>
                <c:pt idx="42">
                  <c:v>39</c:v>
                </c:pt>
                <c:pt idx="43">
                  <c:v>37</c:v>
                </c:pt>
                <c:pt idx="44">
                  <c:v>37</c:v>
                </c:pt>
                <c:pt idx="45">
                  <c:v>15</c:v>
                </c:pt>
                <c:pt idx="46">
                  <c:v>15</c:v>
                </c:pt>
                <c:pt idx="47">
                  <c:v>6</c:v>
                </c:pt>
                <c:pt idx="48">
                  <c:v>6</c:v>
                </c:pt>
                <c:pt idx="49">
                  <c:v>4</c:v>
                </c:pt>
                <c:pt idx="50">
                  <c:v>4</c:v>
                </c:pt>
                <c:pt idx="51">
                  <c:v>2</c:v>
                </c:pt>
                <c:pt idx="52">
                  <c:v>2</c:v>
                </c:pt>
                <c:pt idx="5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BE-4FC8-AF79-80FCE9311EC5}"/>
            </c:ext>
          </c:extLst>
        </c:ser>
        <c:ser>
          <c:idx val="1"/>
          <c:order val="1"/>
          <c:tx>
            <c:strRef>
              <c:f>'Atmosphere 50 Years '!$AM$1</c:f>
              <c:strCache>
                <c:ptCount val="1"/>
                <c:pt idx="0">
                  <c:v>MCMC Madness'!$AY$44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'Atmosphere 50 Years '!$AK$2:$AK$203</c:f>
              <c:numCache>
                <c:formatCode>General</c:formatCode>
                <c:ptCount val="202"/>
                <c:pt idx="0">
                  <c:v>475</c:v>
                </c:pt>
                <c:pt idx="1">
                  <c:v>475</c:v>
                </c:pt>
                <c:pt idx="2">
                  <c:v>500</c:v>
                </c:pt>
                <c:pt idx="3">
                  <c:v>500</c:v>
                </c:pt>
                <c:pt idx="4">
                  <c:v>525</c:v>
                </c:pt>
                <c:pt idx="5">
                  <c:v>525</c:v>
                </c:pt>
                <c:pt idx="6">
                  <c:v>550</c:v>
                </c:pt>
                <c:pt idx="7">
                  <c:v>550</c:v>
                </c:pt>
                <c:pt idx="8">
                  <c:v>575</c:v>
                </c:pt>
                <c:pt idx="9">
                  <c:v>575</c:v>
                </c:pt>
                <c:pt idx="10">
                  <c:v>600</c:v>
                </c:pt>
                <c:pt idx="11">
                  <c:v>600</c:v>
                </c:pt>
                <c:pt idx="12">
                  <c:v>625</c:v>
                </c:pt>
                <c:pt idx="13">
                  <c:v>625</c:v>
                </c:pt>
                <c:pt idx="14">
                  <c:v>650</c:v>
                </c:pt>
                <c:pt idx="15">
                  <c:v>650</c:v>
                </c:pt>
                <c:pt idx="16">
                  <c:v>675</c:v>
                </c:pt>
                <c:pt idx="17">
                  <c:v>675</c:v>
                </c:pt>
                <c:pt idx="18">
                  <c:v>700</c:v>
                </c:pt>
                <c:pt idx="19">
                  <c:v>700</c:v>
                </c:pt>
                <c:pt idx="20">
                  <c:v>725</c:v>
                </c:pt>
                <c:pt idx="21">
                  <c:v>725</c:v>
                </c:pt>
                <c:pt idx="22">
                  <c:v>750</c:v>
                </c:pt>
                <c:pt idx="23">
                  <c:v>750</c:v>
                </c:pt>
                <c:pt idx="24">
                  <c:v>775</c:v>
                </c:pt>
                <c:pt idx="25">
                  <c:v>775</c:v>
                </c:pt>
                <c:pt idx="26">
                  <c:v>800</c:v>
                </c:pt>
                <c:pt idx="27">
                  <c:v>800</c:v>
                </c:pt>
                <c:pt idx="28">
                  <c:v>825</c:v>
                </c:pt>
                <c:pt idx="29">
                  <c:v>825</c:v>
                </c:pt>
                <c:pt idx="30">
                  <c:v>850</c:v>
                </c:pt>
                <c:pt idx="31">
                  <c:v>850</c:v>
                </c:pt>
                <c:pt idx="32">
                  <c:v>875</c:v>
                </c:pt>
                <c:pt idx="33">
                  <c:v>875</c:v>
                </c:pt>
                <c:pt idx="34">
                  <c:v>900</c:v>
                </c:pt>
                <c:pt idx="35">
                  <c:v>900</c:v>
                </c:pt>
                <c:pt idx="36">
                  <c:v>925</c:v>
                </c:pt>
                <c:pt idx="37">
                  <c:v>925</c:v>
                </c:pt>
                <c:pt idx="38">
                  <c:v>950</c:v>
                </c:pt>
                <c:pt idx="39">
                  <c:v>950</c:v>
                </c:pt>
                <c:pt idx="40">
                  <c:v>975</c:v>
                </c:pt>
                <c:pt idx="41">
                  <c:v>975</c:v>
                </c:pt>
                <c:pt idx="42">
                  <c:v>1000</c:v>
                </c:pt>
                <c:pt idx="43">
                  <c:v>1000</c:v>
                </c:pt>
                <c:pt idx="44">
                  <c:v>1025</c:v>
                </c:pt>
                <c:pt idx="45">
                  <c:v>1025</c:v>
                </c:pt>
                <c:pt idx="46">
                  <c:v>1050</c:v>
                </c:pt>
                <c:pt idx="47">
                  <c:v>1050</c:v>
                </c:pt>
                <c:pt idx="48">
                  <c:v>1075</c:v>
                </c:pt>
                <c:pt idx="49">
                  <c:v>1075</c:v>
                </c:pt>
                <c:pt idx="50">
                  <c:v>1100</c:v>
                </c:pt>
                <c:pt idx="51">
                  <c:v>1100</c:v>
                </c:pt>
                <c:pt idx="52">
                  <c:v>1125</c:v>
                </c:pt>
                <c:pt idx="53">
                  <c:v>1125</c:v>
                </c:pt>
                <c:pt idx="54">
                  <c:v>1150</c:v>
                </c:pt>
                <c:pt idx="55">
                  <c:v>1150</c:v>
                </c:pt>
                <c:pt idx="56">
                  <c:v>1175</c:v>
                </c:pt>
                <c:pt idx="57">
                  <c:v>1175</c:v>
                </c:pt>
                <c:pt idx="58">
                  <c:v>1200</c:v>
                </c:pt>
                <c:pt idx="59">
                  <c:v>1200</c:v>
                </c:pt>
                <c:pt idx="60">
                  <c:v>1225</c:v>
                </c:pt>
                <c:pt idx="61">
                  <c:v>1225</c:v>
                </c:pt>
                <c:pt idx="62">
                  <c:v>1250</c:v>
                </c:pt>
                <c:pt idx="63">
                  <c:v>1250</c:v>
                </c:pt>
                <c:pt idx="64">
                  <c:v>1275</c:v>
                </c:pt>
                <c:pt idx="65">
                  <c:v>1275</c:v>
                </c:pt>
                <c:pt idx="66">
                  <c:v>1300</c:v>
                </c:pt>
                <c:pt idx="67">
                  <c:v>1300</c:v>
                </c:pt>
                <c:pt idx="68">
                  <c:v>1325</c:v>
                </c:pt>
                <c:pt idx="69">
                  <c:v>1325</c:v>
                </c:pt>
                <c:pt idx="70">
                  <c:v>1350</c:v>
                </c:pt>
                <c:pt idx="71">
                  <c:v>1350</c:v>
                </c:pt>
                <c:pt idx="72">
                  <c:v>1375</c:v>
                </c:pt>
                <c:pt idx="73">
                  <c:v>1375</c:v>
                </c:pt>
                <c:pt idx="74">
                  <c:v>1400</c:v>
                </c:pt>
                <c:pt idx="75">
                  <c:v>1400</c:v>
                </c:pt>
                <c:pt idx="76">
                  <c:v>1425</c:v>
                </c:pt>
                <c:pt idx="77">
                  <c:v>1425</c:v>
                </c:pt>
                <c:pt idx="78">
                  <c:v>1450</c:v>
                </c:pt>
                <c:pt idx="79">
                  <c:v>1450</c:v>
                </c:pt>
                <c:pt idx="80">
                  <c:v>1475</c:v>
                </c:pt>
                <c:pt idx="81">
                  <c:v>1475</c:v>
                </c:pt>
                <c:pt idx="82">
                  <c:v>1500</c:v>
                </c:pt>
                <c:pt idx="83">
                  <c:v>1500</c:v>
                </c:pt>
                <c:pt idx="84">
                  <c:v>1525</c:v>
                </c:pt>
                <c:pt idx="85">
                  <c:v>1525</c:v>
                </c:pt>
                <c:pt idx="86">
                  <c:v>1550</c:v>
                </c:pt>
                <c:pt idx="87">
                  <c:v>1550</c:v>
                </c:pt>
                <c:pt idx="88">
                  <c:v>1575</c:v>
                </c:pt>
                <c:pt idx="89">
                  <c:v>1575</c:v>
                </c:pt>
                <c:pt idx="90">
                  <c:v>1600</c:v>
                </c:pt>
                <c:pt idx="91">
                  <c:v>1600</c:v>
                </c:pt>
                <c:pt idx="92">
                  <c:v>1625</c:v>
                </c:pt>
                <c:pt idx="93">
                  <c:v>1625</c:v>
                </c:pt>
                <c:pt idx="94">
                  <c:v>1650</c:v>
                </c:pt>
                <c:pt idx="95">
                  <c:v>1650</c:v>
                </c:pt>
                <c:pt idx="96">
                  <c:v>1675</c:v>
                </c:pt>
                <c:pt idx="97">
                  <c:v>1675</c:v>
                </c:pt>
                <c:pt idx="98">
                  <c:v>1700</c:v>
                </c:pt>
                <c:pt idx="99">
                  <c:v>1700</c:v>
                </c:pt>
                <c:pt idx="100">
                  <c:v>1725</c:v>
                </c:pt>
                <c:pt idx="101">
                  <c:v>1725</c:v>
                </c:pt>
                <c:pt idx="102">
                  <c:v>1750</c:v>
                </c:pt>
                <c:pt idx="103">
                  <c:v>1750</c:v>
                </c:pt>
                <c:pt idx="104">
                  <c:v>1775</c:v>
                </c:pt>
                <c:pt idx="105">
                  <c:v>1775</c:v>
                </c:pt>
                <c:pt idx="106">
                  <c:v>1800</c:v>
                </c:pt>
                <c:pt idx="107">
                  <c:v>1800</c:v>
                </c:pt>
                <c:pt idx="108">
                  <c:v>1825</c:v>
                </c:pt>
                <c:pt idx="109">
                  <c:v>1825</c:v>
                </c:pt>
                <c:pt idx="110">
                  <c:v>1850</c:v>
                </c:pt>
                <c:pt idx="111">
                  <c:v>1850</c:v>
                </c:pt>
                <c:pt idx="112">
                  <c:v>1875</c:v>
                </c:pt>
                <c:pt idx="113">
                  <c:v>1875</c:v>
                </c:pt>
                <c:pt idx="114">
                  <c:v>1900</c:v>
                </c:pt>
                <c:pt idx="115">
                  <c:v>1900</c:v>
                </c:pt>
                <c:pt idx="116">
                  <c:v>1925</c:v>
                </c:pt>
                <c:pt idx="117">
                  <c:v>1925</c:v>
                </c:pt>
                <c:pt idx="118">
                  <c:v>1950</c:v>
                </c:pt>
                <c:pt idx="119">
                  <c:v>1950</c:v>
                </c:pt>
                <c:pt idx="120">
                  <c:v>1975</c:v>
                </c:pt>
                <c:pt idx="121">
                  <c:v>1975</c:v>
                </c:pt>
                <c:pt idx="122">
                  <c:v>2000</c:v>
                </c:pt>
                <c:pt idx="123">
                  <c:v>2000</c:v>
                </c:pt>
                <c:pt idx="124">
                  <c:v>2025</c:v>
                </c:pt>
                <c:pt idx="125">
                  <c:v>2025</c:v>
                </c:pt>
                <c:pt idx="126">
                  <c:v>2050</c:v>
                </c:pt>
                <c:pt idx="127">
                  <c:v>2050</c:v>
                </c:pt>
                <c:pt idx="128">
                  <c:v>2075</c:v>
                </c:pt>
                <c:pt idx="129">
                  <c:v>2075</c:v>
                </c:pt>
                <c:pt idx="130">
                  <c:v>2100</c:v>
                </c:pt>
                <c:pt idx="131">
                  <c:v>2100</c:v>
                </c:pt>
                <c:pt idx="132">
                  <c:v>2125</c:v>
                </c:pt>
                <c:pt idx="133">
                  <c:v>2125</c:v>
                </c:pt>
                <c:pt idx="134">
                  <c:v>2150</c:v>
                </c:pt>
                <c:pt idx="135">
                  <c:v>2150</c:v>
                </c:pt>
                <c:pt idx="136">
                  <c:v>2175</c:v>
                </c:pt>
                <c:pt idx="137">
                  <c:v>2175</c:v>
                </c:pt>
                <c:pt idx="138">
                  <c:v>2200</c:v>
                </c:pt>
                <c:pt idx="139">
                  <c:v>2200</c:v>
                </c:pt>
                <c:pt idx="140">
                  <c:v>2225</c:v>
                </c:pt>
                <c:pt idx="141">
                  <c:v>2225</c:v>
                </c:pt>
                <c:pt idx="142">
                  <c:v>2250</c:v>
                </c:pt>
                <c:pt idx="143">
                  <c:v>2250</c:v>
                </c:pt>
                <c:pt idx="144">
                  <c:v>2275</c:v>
                </c:pt>
                <c:pt idx="145">
                  <c:v>2275</c:v>
                </c:pt>
                <c:pt idx="146">
                  <c:v>2300</c:v>
                </c:pt>
                <c:pt idx="147">
                  <c:v>2300</c:v>
                </c:pt>
                <c:pt idx="148">
                  <c:v>2325</c:v>
                </c:pt>
                <c:pt idx="149">
                  <c:v>2325</c:v>
                </c:pt>
                <c:pt idx="150">
                  <c:v>2350</c:v>
                </c:pt>
                <c:pt idx="151">
                  <c:v>2350</c:v>
                </c:pt>
                <c:pt idx="152">
                  <c:v>2375</c:v>
                </c:pt>
                <c:pt idx="153">
                  <c:v>2375</c:v>
                </c:pt>
                <c:pt idx="154">
                  <c:v>2400</c:v>
                </c:pt>
                <c:pt idx="155">
                  <c:v>2400</c:v>
                </c:pt>
                <c:pt idx="156">
                  <c:v>2425</c:v>
                </c:pt>
                <c:pt idx="157">
                  <c:v>2425</c:v>
                </c:pt>
                <c:pt idx="158">
                  <c:v>2450</c:v>
                </c:pt>
                <c:pt idx="159">
                  <c:v>2450</c:v>
                </c:pt>
                <c:pt idx="160">
                  <c:v>2475</c:v>
                </c:pt>
                <c:pt idx="161">
                  <c:v>2475</c:v>
                </c:pt>
                <c:pt idx="162">
                  <c:v>2500</c:v>
                </c:pt>
                <c:pt idx="163">
                  <c:v>2500</c:v>
                </c:pt>
                <c:pt idx="164">
                  <c:v>2525</c:v>
                </c:pt>
                <c:pt idx="165">
                  <c:v>2525</c:v>
                </c:pt>
                <c:pt idx="166">
                  <c:v>2550</c:v>
                </c:pt>
                <c:pt idx="167">
                  <c:v>2550</c:v>
                </c:pt>
                <c:pt idx="168">
                  <c:v>2575</c:v>
                </c:pt>
                <c:pt idx="169">
                  <c:v>2575</c:v>
                </c:pt>
                <c:pt idx="170">
                  <c:v>2600</c:v>
                </c:pt>
                <c:pt idx="171">
                  <c:v>2600</c:v>
                </c:pt>
                <c:pt idx="172">
                  <c:v>2625</c:v>
                </c:pt>
                <c:pt idx="173">
                  <c:v>2625</c:v>
                </c:pt>
                <c:pt idx="174">
                  <c:v>2650</c:v>
                </c:pt>
                <c:pt idx="175">
                  <c:v>2650</c:v>
                </c:pt>
                <c:pt idx="176">
                  <c:v>2675</c:v>
                </c:pt>
                <c:pt idx="177">
                  <c:v>2675</c:v>
                </c:pt>
                <c:pt idx="178">
                  <c:v>2700</c:v>
                </c:pt>
                <c:pt idx="179">
                  <c:v>2700</c:v>
                </c:pt>
                <c:pt idx="180">
                  <c:v>2725</c:v>
                </c:pt>
                <c:pt idx="181">
                  <c:v>2725</c:v>
                </c:pt>
                <c:pt idx="182">
                  <c:v>2750</c:v>
                </c:pt>
                <c:pt idx="183">
                  <c:v>2750</c:v>
                </c:pt>
                <c:pt idx="184">
                  <c:v>2775</c:v>
                </c:pt>
                <c:pt idx="185">
                  <c:v>2775</c:v>
                </c:pt>
                <c:pt idx="186">
                  <c:v>2800</c:v>
                </c:pt>
                <c:pt idx="187">
                  <c:v>2800</c:v>
                </c:pt>
                <c:pt idx="188">
                  <c:v>2825</c:v>
                </c:pt>
                <c:pt idx="189">
                  <c:v>2825</c:v>
                </c:pt>
                <c:pt idx="190">
                  <c:v>2850</c:v>
                </c:pt>
                <c:pt idx="191">
                  <c:v>2850</c:v>
                </c:pt>
                <c:pt idx="192">
                  <c:v>2875</c:v>
                </c:pt>
                <c:pt idx="193">
                  <c:v>2875</c:v>
                </c:pt>
                <c:pt idx="194">
                  <c:v>2900</c:v>
                </c:pt>
                <c:pt idx="195">
                  <c:v>2900</c:v>
                </c:pt>
                <c:pt idx="196">
                  <c:v>2925</c:v>
                </c:pt>
                <c:pt idx="197">
                  <c:v>2925</c:v>
                </c:pt>
                <c:pt idx="198">
                  <c:v>2950</c:v>
                </c:pt>
                <c:pt idx="199">
                  <c:v>2950</c:v>
                </c:pt>
                <c:pt idx="200">
                  <c:v>2975</c:v>
                </c:pt>
                <c:pt idx="201">
                  <c:v>2975</c:v>
                </c:pt>
              </c:numCache>
            </c:numRef>
          </c:xVal>
          <c:yVal>
            <c:numRef>
              <c:f>'Atmosphere 50 Years '!$AM$2:$AM$203</c:f>
              <c:numCache>
                <c:formatCode>General</c:formatCode>
                <c:ptCount val="2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1</c:v>
                </c:pt>
                <c:pt idx="68">
                  <c:v>1</c:v>
                </c:pt>
                <c:pt idx="69">
                  <c:v>4</c:v>
                </c:pt>
                <c:pt idx="70">
                  <c:v>4</c:v>
                </c:pt>
                <c:pt idx="71">
                  <c:v>4</c:v>
                </c:pt>
                <c:pt idx="72">
                  <c:v>4</c:v>
                </c:pt>
                <c:pt idx="73">
                  <c:v>8</c:v>
                </c:pt>
                <c:pt idx="74">
                  <c:v>8</c:v>
                </c:pt>
                <c:pt idx="75">
                  <c:v>4</c:v>
                </c:pt>
                <c:pt idx="76">
                  <c:v>4</c:v>
                </c:pt>
                <c:pt idx="77">
                  <c:v>11</c:v>
                </c:pt>
                <c:pt idx="78">
                  <c:v>11</c:v>
                </c:pt>
                <c:pt idx="79">
                  <c:v>18</c:v>
                </c:pt>
                <c:pt idx="80">
                  <c:v>18</c:v>
                </c:pt>
                <c:pt idx="81">
                  <c:v>27</c:v>
                </c:pt>
                <c:pt idx="82">
                  <c:v>27</c:v>
                </c:pt>
                <c:pt idx="83">
                  <c:v>35</c:v>
                </c:pt>
                <c:pt idx="84">
                  <c:v>35</c:v>
                </c:pt>
                <c:pt idx="85">
                  <c:v>65</c:v>
                </c:pt>
                <c:pt idx="86">
                  <c:v>65</c:v>
                </c:pt>
                <c:pt idx="87">
                  <c:v>73</c:v>
                </c:pt>
                <c:pt idx="88">
                  <c:v>73</c:v>
                </c:pt>
                <c:pt idx="89">
                  <c:v>89</c:v>
                </c:pt>
                <c:pt idx="90">
                  <c:v>89</c:v>
                </c:pt>
                <c:pt idx="91">
                  <c:v>116</c:v>
                </c:pt>
                <c:pt idx="92">
                  <c:v>116</c:v>
                </c:pt>
                <c:pt idx="93">
                  <c:v>144</c:v>
                </c:pt>
                <c:pt idx="94">
                  <c:v>144</c:v>
                </c:pt>
                <c:pt idx="95">
                  <c:v>173</c:v>
                </c:pt>
                <c:pt idx="96">
                  <c:v>173</c:v>
                </c:pt>
                <c:pt idx="97">
                  <c:v>192</c:v>
                </c:pt>
                <c:pt idx="98">
                  <c:v>192</c:v>
                </c:pt>
                <c:pt idx="99">
                  <c:v>234</c:v>
                </c:pt>
                <c:pt idx="100">
                  <c:v>234</c:v>
                </c:pt>
                <c:pt idx="101">
                  <c:v>275</c:v>
                </c:pt>
                <c:pt idx="102">
                  <c:v>275</c:v>
                </c:pt>
                <c:pt idx="103">
                  <c:v>313</c:v>
                </c:pt>
                <c:pt idx="104">
                  <c:v>313</c:v>
                </c:pt>
                <c:pt idx="105">
                  <c:v>375</c:v>
                </c:pt>
                <c:pt idx="106">
                  <c:v>375</c:v>
                </c:pt>
                <c:pt idx="107">
                  <c:v>329</c:v>
                </c:pt>
                <c:pt idx="108">
                  <c:v>329</c:v>
                </c:pt>
                <c:pt idx="109">
                  <c:v>404</c:v>
                </c:pt>
                <c:pt idx="110">
                  <c:v>404</c:v>
                </c:pt>
                <c:pt idx="111">
                  <c:v>383</c:v>
                </c:pt>
                <c:pt idx="112">
                  <c:v>383</c:v>
                </c:pt>
                <c:pt idx="113">
                  <c:v>391</c:v>
                </c:pt>
                <c:pt idx="114">
                  <c:v>391</c:v>
                </c:pt>
                <c:pt idx="115">
                  <c:v>450</c:v>
                </c:pt>
                <c:pt idx="116">
                  <c:v>450</c:v>
                </c:pt>
                <c:pt idx="117">
                  <c:v>433</c:v>
                </c:pt>
                <c:pt idx="118">
                  <c:v>433</c:v>
                </c:pt>
                <c:pt idx="119">
                  <c:v>432</c:v>
                </c:pt>
                <c:pt idx="120">
                  <c:v>432</c:v>
                </c:pt>
                <c:pt idx="121">
                  <c:v>492</c:v>
                </c:pt>
                <c:pt idx="122">
                  <c:v>492</c:v>
                </c:pt>
                <c:pt idx="123">
                  <c:v>440</c:v>
                </c:pt>
                <c:pt idx="124">
                  <c:v>440</c:v>
                </c:pt>
                <c:pt idx="125">
                  <c:v>436</c:v>
                </c:pt>
                <c:pt idx="126">
                  <c:v>436</c:v>
                </c:pt>
                <c:pt idx="127">
                  <c:v>404</c:v>
                </c:pt>
                <c:pt idx="128">
                  <c:v>404</c:v>
                </c:pt>
                <c:pt idx="129">
                  <c:v>362</c:v>
                </c:pt>
                <c:pt idx="130">
                  <c:v>362</c:v>
                </c:pt>
                <c:pt idx="131">
                  <c:v>366</c:v>
                </c:pt>
                <c:pt idx="132">
                  <c:v>366</c:v>
                </c:pt>
                <c:pt idx="133">
                  <c:v>307</c:v>
                </c:pt>
                <c:pt idx="134">
                  <c:v>307</c:v>
                </c:pt>
                <c:pt idx="135">
                  <c:v>288</c:v>
                </c:pt>
                <c:pt idx="136">
                  <c:v>288</c:v>
                </c:pt>
                <c:pt idx="137">
                  <c:v>265</c:v>
                </c:pt>
                <c:pt idx="138">
                  <c:v>265</c:v>
                </c:pt>
                <c:pt idx="139">
                  <c:v>237</c:v>
                </c:pt>
                <c:pt idx="140">
                  <c:v>237</c:v>
                </c:pt>
                <c:pt idx="141">
                  <c:v>210</c:v>
                </c:pt>
                <c:pt idx="142">
                  <c:v>210</c:v>
                </c:pt>
                <c:pt idx="143">
                  <c:v>177</c:v>
                </c:pt>
                <c:pt idx="144">
                  <c:v>177</c:v>
                </c:pt>
                <c:pt idx="145">
                  <c:v>153</c:v>
                </c:pt>
                <c:pt idx="146">
                  <c:v>153</c:v>
                </c:pt>
                <c:pt idx="147">
                  <c:v>142</c:v>
                </c:pt>
                <c:pt idx="148">
                  <c:v>142</c:v>
                </c:pt>
                <c:pt idx="149">
                  <c:v>131</c:v>
                </c:pt>
                <c:pt idx="150">
                  <c:v>131</c:v>
                </c:pt>
                <c:pt idx="151">
                  <c:v>108</c:v>
                </c:pt>
                <c:pt idx="152">
                  <c:v>108</c:v>
                </c:pt>
                <c:pt idx="153">
                  <c:v>89</c:v>
                </c:pt>
                <c:pt idx="154">
                  <c:v>89</c:v>
                </c:pt>
                <c:pt idx="155">
                  <c:v>69</c:v>
                </c:pt>
                <c:pt idx="156">
                  <c:v>69</c:v>
                </c:pt>
                <c:pt idx="157">
                  <c:v>61</c:v>
                </c:pt>
                <c:pt idx="158">
                  <c:v>61</c:v>
                </c:pt>
                <c:pt idx="159">
                  <c:v>61</c:v>
                </c:pt>
                <c:pt idx="160">
                  <c:v>61</c:v>
                </c:pt>
                <c:pt idx="161">
                  <c:v>38</c:v>
                </c:pt>
                <c:pt idx="162">
                  <c:v>38</c:v>
                </c:pt>
                <c:pt idx="163">
                  <c:v>27</c:v>
                </c:pt>
                <c:pt idx="164">
                  <c:v>27</c:v>
                </c:pt>
                <c:pt idx="165">
                  <c:v>39</c:v>
                </c:pt>
                <c:pt idx="166">
                  <c:v>39</c:v>
                </c:pt>
                <c:pt idx="167">
                  <c:v>24</c:v>
                </c:pt>
                <c:pt idx="168">
                  <c:v>24</c:v>
                </c:pt>
                <c:pt idx="169">
                  <c:v>24</c:v>
                </c:pt>
                <c:pt idx="170">
                  <c:v>24</c:v>
                </c:pt>
                <c:pt idx="171">
                  <c:v>16</c:v>
                </c:pt>
                <c:pt idx="172">
                  <c:v>16</c:v>
                </c:pt>
                <c:pt idx="173">
                  <c:v>8</c:v>
                </c:pt>
                <c:pt idx="174">
                  <c:v>8</c:v>
                </c:pt>
                <c:pt idx="175">
                  <c:v>11</c:v>
                </c:pt>
                <c:pt idx="176">
                  <c:v>11</c:v>
                </c:pt>
                <c:pt idx="177">
                  <c:v>9</c:v>
                </c:pt>
                <c:pt idx="178">
                  <c:v>9</c:v>
                </c:pt>
                <c:pt idx="179">
                  <c:v>5</c:v>
                </c:pt>
                <c:pt idx="180">
                  <c:v>5</c:v>
                </c:pt>
                <c:pt idx="181">
                  <c:v>2</c:v>
                </c:pt>
                <c:pt idx="182">
                  <c:v>2</c:v>
                </c:pt>
                <c:pt idx="183">
                  <c:v>5</c:v>
                </c:pt>
                <c:pt idx="184">
                  <c:v>5</c:v>
                </c:pt>
                <c:pt idx="185">
                  <c:v>3</c:v>
                </c:pt>
                <c:pt idx="186">
                  <c:v>3</c:v>
                </c:pt>
                <c:pt idx="187">
                  <c:v>1</c:v>
                </c:pt>
                <c:pt idx="188">
                  <c:v>1</c:v>
                </c:pt>
                <c:pt idx="189">
                  <c:v>2</c:v>
                </c:pt>
                <c:pt idx="190">
                  <c:v>2</c:v>
                </c:pt>
                <c:pt idx="191">
                  <c:v>3</c:v>
                </c:pt>
                <c:pt idx="192">
                  <c:v>3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2</c:v>
                </c:pt>
                <c:pt idx="200">
                  <c:v>2</c:v>
                </c:pt>
                <c:pt idx="20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FBE-4FC8-AF79-80FCE9311E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019440"/>
        <c:axId val="44020000"/>
      </c:scatterChart>
      <c:valAx>
        <c:axId val="44019440"/>
        <c:scaling>
          <c:orientation val="minMax"/>
          <c:max val="2975"/>
          <c:min val="475"/>
        </c:scaling>
        <c:delete val="0"/>
        <c:axPos val="b"/>
        <c:title>
          <c:overlay val="0"/>
        </c:title>
        <c:numFmt formatCode="General" sourceLinked="1"/>
        <c:majorTickMark val="out"/>
        <c:minorTickMark val="none"/>
        <c:tickLblPos val="nextTo"/>
        <c:crossAx val="44020000"/>
        <c:crosses val="autoZero"/>
        <c:crossBetween val="midCat"/>
      </c:valAx>
      <c:valAx>
        <c:axId val="44020000"/>
        <c:scaling>
          <c:orientation val="minMax"/>
        </c:scaling>
        <c:delete val="0"/>
        <c:axPos val="l"/>
        <c:title>
          <c:overlay val="0"/>
        </c:title>
        <c:numFmt formatCode="General" sourceLinked="1"/>
        <c:majorTickMark val="none"/>
        <c:minorTickMark val="none"/>
        <c:tickLblPos val="none"/>
        <c:spPr>
          <a:ln w="25400">
            <a:noFill/>
          </a:ln>
        </c:spPr>
        <c:crossAx val="440194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Detritus, 2066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'Detritus 50 Years'!$AL$1</c:f>
              <c:strCache>
                <c:ptCount val="1"/>
                <c:pt idx="0">
                  <c:v>MCMC Madness'!$AY$25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'Detritus 50 Years'!$AK$2:$AK$143</c:f>
              <c:numCache>
                <c:formatCode>General</c:formatCode>
                <c:ptCount val="142"/>
                <c:pt idx="0">
                  <c:v>150</c:v>
                </c:pt>
                <c:pt idx="1">
                  <c:v>150</c:v>
                </c:pt>
                <c:pt idx="2">
                  <c:v>200</c:v>
                </c:pt>
                <c:pt idx="3">
                  <c:v>200</c:v>
                </c:pt>
                <c:pt idx="4">
                  <c:v>250</c:v>
                </c:pt>
                <c:pt idx="5">
                  <c:v>250</c:v>
                </c:pt>
                <c:pt idx="6">
                  <c:v>300</c:v>
                </c:pt>
                <c:pt idx="7">
                  <c:v>300</c:v>
                </c:pt>
                <c:pt idx="8">
                  <c:v>350</c:v>
                </c:pt>
                <c:pt idx="9">
                  <c:v>350</c:v>
                </c:pt>
                <c:pt idx="10">
                  <c:v>400</c:v>
                </c:pt>
                <c:pt idx="11">
                  <c:v>400</c:v>
                </c:pt>
                <c:pt idx="12">
                  <c:v>450</c:v>
                </c:pt>
                <c:pt idx="13">
                  <c:v>450</c:v>
                </c:pt>
                <c:pt idx="14">
                  <c:v>500</c:v>
                </c:pt>
                <c:pt idx="15">
                  <c:v>500</c:v>
                </c:pt>
                <c:pt idx="16">
                  <c:v>550</c:v>
                </c:pt>
                <c:pt idx="17">
                  <c:v>550</c:v>
                </c:pt>
                <c:pt idx="18">
                  <c:v>600</c:v>
                </c:pt>
                <c:pt idx="19">
                  <c:v>600</c:v>
                </c:pt>
                <c:pt idx="20">
                  <c:v>650</c:v>
                </c:pt>
                <c:pt idx="21">
                  <c:v>650</c:v>
                </c:pt>
                <c:pt idx="22">
                  <c:v>700</c:v>
                </c:pt>
                <c:pt idx="23">
                  <c:v>700</c:v>
                </c:pt>
                <c:pt idx="24">
                  <c:v>750</c:v>
                </c:pt>
                <c:pt idx="25">
                  <c:v>750</c:v>
                </c:pt>
                <c:pt idx="26">
                  <c:v>800</c:v>
                </c:pt>
                <c:pt idx="27">
                  <c:v>800</c:v>
                </c:pt>
                <c:pt idx="28">
                  <c:v>850</c:v>
                </c:pt>
                <c:pt idx="29">
                  <c:v>850</c:v>
                </c:pt>
                <c:pt idx="30">
                  <c:v>900</c:v>
                </c:pt>
                <c:pt idx="31">
                  <c:v>900</c:v>
                </c:pt>
                <c:pt idx="32">
                  <c:v>950</c:v>
                </c:pt>
                <c:pt idx="33">
                  <c:v>950</c:v>
                </c:pt>
                <c:pt idx="34">
                  <c:v>1000</c:v>
                </c:pt>
                <c:pt idx="35">
                  <c:v>1000</c:v>
                </c:pt>
                <c:pt idx="36">
                  <c:v>1050</c:v>
                </c:pt>
                <c:pt idx="37">
                  <c:v>1050</c:v>
                </c:pt>
                <c:pt idx="38">
                  <c:v>1100</c:v>
                </c:pt>
                <c:pt idx="39">
                  <c:v>1100</c:v>
                </c:pt>
                <c:pt idx="40">
                  <c:v>1150</c:v>
                </c:pt>
                <c:pt idx="41">
                  <c:v>1150</c:v>
                </c:pt>
                <c:pt idx="42">
                  <c:v>1200</c:v>
                </c:pt>
                <c:pt idx="43">
                  <c:v>1200</c:v>
                </c:pt>
                <c:pt idx="44">
                  <c:v>1250</c:v>
                </c:pt>
                <c:pt idx="45">
                  <c:v>1250</c:v>
                </c:pt>
                <c:pt idx="46">
                  <c:v>1300</c:v>
                </c:pt>
                <c:pt idx="47">
                  <c:v>1300</c:v>
                </c:pt>
                <c:pt idx="48">
                  <c:v>1350</c:v>
                </c:pt>
                <c:pt idx="49">
                  <c:v>1350</c:v>
                </c:pt>
                <c:pt idx="50">
                  <c:v>1400</c:v>
                </c:pt>
                <c:pt idx="51">
                  <c:v>1400</c:v>
                </c:pt>
                <c:pt idx="52">
                  <c:v>1450</c:v>
                </c:pt>
                <c:pt idx="53">
                  <c:v>1450</c:v>
                </c:pt>
                <c:pt idx="54">
                  <c:v>1500</c:v>
                </c:pt>
                <c:pt idx="55">
                  <c:v>1500</c:v>
                </c:pt>
                <c:pt idx="56">
                  <c:v>1550</c:v>
                </c:pt>
                <c:pt idx="57">
                  <c:v>1550</c:v>
                </c:pt>
                <c:pt idx="58">
                  <c:v>1600</c:v>
                </c:pt>
                <c:pt idx="59">
                  <c:v>1600</c:v>
                </c:pt>
                <c:pt idx="60">
                  <c:v>1650</c:v>
                </c:pt>
                <c:pt idx="61">
                  <c:v>1650</c:v>
                </c:pt>
                <c:pt idx="62">
                  <c:v>1700</c:v>
                </c:pt>
                <c:pt idx="63">
                  <c:v>1700</c:v>
                </c:pt>
                <c:pt idx="64">
                  <c:v>1750</c:v>
                </c:pt>
                <c:pt idx="65">
                  <c:v>1750</c:v>
                </c:pt>
                <c:pt idx="66">
                  <c:v>1800</c:v>
                </c:pt>
                <c:pt idx="67">
                  <c:v>1800</c:v>
                </c:pt>
                <c:pt idx="68">
                  <c:v>1850</c:v>
                </c:pt>
                <c:pt idx="69">
                  <c:v>1850</c:v>
                </c:pt>
                <c:pt idx="70">
                  <c:v>1900</c:v>
                </c:pt>
                <c:pt idx="71">
                  <c:v>1900</c:v>
                </c:pt>
                <c:pt idx="72">
                  <c:v>1950</c:v>
                </c:pt>
                <c:pt idx="73">
                  <c:v>1950</c:v>
                </c:pt>
                <c:pt idx="74">
                  <c:v>2000</c:v>
                </c:pt>
                <c:pt idx="75">
                  <c:v>2000</c:v>
                </c:pt>
                <c:pt idx="76">
                  <c:v>2050</c:v>
                </c:pt>
                <c:pt idx="77">
                  <c:v>2050</c:v>
                </c:pt>
                <c:pt idx="78">
                  <c:v>2100</c:v>
                </c:pt>
                <c:pt idx="79">
                  <c:v>2100</c:v>
                </c:pt>
                <c:pt idx="80">
                  <c:v>2150</c:v>
                </c:pt>
                <c:pt idx="81">
                  <c:v>2150</c:v>
                </c:pt>
                <c:pt idx="82">
                  <c:v>2200</c:v>
                </c:pt>
                <c:pt idx="83">
                  <c:v>2200</c:v>
                </c:pt>
                <c:pt idx="84">
                  <c:v>2250</c:v>
                </c:pt>
                <c:pt idx="85">
                  <c:v>2250</c:v>
                </c:pt>
                <c:pt idx="86">
                  <c:v>2300</c:v>
                </c:pt>
                <c:pt idx="87">
                  <c:v>2300</c:v>
                </c:pt>
                <c:pt idx="88">
                  <c:v>2350</c:v>
                </c:pt>
                <c:pt idx="89">
                  <c:v>2350</c:v>
                </c:pt>
                <c:pt idx="90">
                  <c:v>2400</c:v>
                </c:pt>
                <c:pt idx="91">
                  <c:v>2400</c:v>
                </c:pt>
                <c:pt idx="92">
                  <c:v>2450</c:v>
                </c:pt>
                <c:pt idx="93">
                  <c:v>2450</c:v>
                </c:pt>
                <c:pt idx="94">
                  <c:v>2500</c:v>
                </c:pt>
                <c:pt idx="95">
                  <c:v>2500</c:v>
                </c:pt>
                <c:pt idx="96">
                  <c:v>2550</c:v>
                </c:pt>
                <c:pt idx="97">
                  <c:v>2550</c:v>
                </c:pt>
                <c:pt idx="98">
                  <c:v>2600</c:v>
                </c:pt>
                <c:pt idx="99">
                  <c:v>2600</c:v>
                </c:pt>
                <c:pt idx="100">
                  <c:v>2650</c:v>
                </c:pt>
                <c:pt idx="101">
                  <c:v>2650</c:v>
                </c:pt>
                <c:pt idx="102">
                  <c:v>2700</c:v>
                </c:pt>
                <c:pt idx="103">
                  <c:v>2700</c:v>
                </c:pt>
                <c:pt idx="104">
                  <c:v>2750</c:v>
                </c:pt>
                <c:pt idx="105">
                  <c:v>2750</c:v>
                </c:pt>
                <c:pt idx="106">
                  <c:v>2800</c:v>
                </c:pt>
                <c:pt idx="107">
                  <c:v>2800</c:v>
                </c:pt>
                <c:pt idx="108">
                  <c:v>2850</c:v>
                </c:pt>
                <c:pt idx="109">
                  <c:v>2850</c:v>
                </c:pt>
                <c:pt idx="110">
                  <c:v>2900</c:v>
                </c:pt>
                <c:pt idx="111">
                  <c:v>2900</c:v>
                </c:pt>
                <c:pt idx="112">
                  <c:v>2950</c:v>
                </c:pt>
                <c:pt idx="113">
                  <c:v>2950</c:v>
                </c:pt>
                <c:pt idx="114">
                  <c:v>3000</c:v>
                </c:pt>
                <c:pt idx="115">
                  <c:v>3000</c:v>
                </c:pt>
                <c:pt idx="116">
                  <c:v>3050</c:v>
                </c:pt>
                <c:pt idx="117">
                  <c:v>3050</c:v>
                </c:pt>
                <c:pt idx="118">
                  <c:v>3100</c:v>
                </c:pt>
                <c:pt idx="119">
                  <c:v>3100</c:v>
                </c:pt>
                <c:pt idx="120">
                  <c:v>3150</c:v>
                </c:pt>
                <c:pt idx="121">
                  <c:v>3150</c:v>
                </c:pt>
                <c:pt idx="122">
                  <c:v>3200</c:v>
                </c:pt>
                <c:pt idx="123">
                  <c:v>3200</c:v>
                </c:pt>
                <c:pt idx="124">
                  <c:v>3250</c:v>
                </c:pt>
                <c:pt idx="125">
                  <c:v>3250</c:v>
                </c:pt>
                <c:pt idx="126">
                  <c:v>3300</c:v>
                </c:pt>
                <c:pt idx="127">
                  <c:v>3300</c:v>
                </c:pt>
                <c:pt idx="128">
                  <c:v>3350</c:v>
                </c:pt>
                <c:pt idx="129">
                  <c:v>3350</c:v>
                </c:pt>
                <c:pt idx="130">
                  <c:v>3400</c:v>
                </c:pt>
                <c:pt idx="131">
                  <c:v>3400</c:v>
                </c:pt>
                <c:pt idx="132">
                  <c:v>3450</c:v>
                </c:pt>
                <c:pt idx="133">
                  <c:v>3450</c:v>
                </c:pt>
                <c:pt idx="134">
                  <c:v>3500</c:v>
                </c:pt>
                <c:pt idx="135">
                  <c:v>3500</c:v>
                </c:pt>
                <c:pt idx="136">
                  <c:v>3550</c:v>
                </c:pt>
                <c:pt idx="137">
                  <c:v>3550</c:v>
                </c:pt>
                <c:pt idx="138">
                  <c:v>3600</c:v>
                </c:pt>
                <c:pt idx="139">
                  <c:v>3600</c:v>
                </c:pt>
                <c:pt idx="140">
                  <c:v>3650</c:v>
                </c:pt>
                <c:pt idx="141">
                  <c:v>3650</c:v>
                </c:pt>
              </c:numCache>
            </c:numRef>
          </c:xVal>
          <c:yVal>
            <c:numRef>
              <c:f>'Detritus 50 Years'!$AL$2:$AL$143</c:f>
              <c:numCache>
                <c:formatCode>General</c:formatCode>
                <c:ptCount val="142"/>
                <c:pt idx="0">
                  <c:v>0</c:v>
                </c:pt>
                <c:pt idx="1">
                  <c:v>17</c:v>
                </c:pt>
                <c:pt idx="2">
                  <c:v>17</c:v>
                </c:pt>
                <c:pt idx="3">
                  <c:v>416</c:v>
                </c:pt>
                <c:pt idx="4">
                  <c:v>416</c:v>
                </c:pt>
                <c:pt idx="5">
                  <c:v>1873</c:v>
                </c:pt>
                <c:pt idx="6">
                  <c:v>1873</c:v>
                </c:pt>
                <c:pt idx="7">
                  <c:v>3046</c:v>
                </c:pt>
                <c:pt idx="8">
                  <c:v>3046</c:v>
                </c:pt>
                <c:pt idx="9">
                  <c:v>2605</c:v>
                </c:pt>
                <c:pt idx="10">
                  <c:v>2605</c:v>
                </c:pt>
                <c:pt idx="11">
                  <c:v>1346</c:v>
                </c:pt>
                <c:pt idx="12">
                  <c:v>1346</c:v>
                </c:pt>
                <c:pt idx="13">
                  <c:v>500</c:v>
                </c:pt>
                <c:pt idx="14">
                  <c:v>500</c:v>
                </c:pt>
                <c:pt idx="15">
                  <c:v>146</c:v>
                </c:pt>
                <c:pt idx="16">
                  <c:v>146</c:v>
                </c:pt>
                <c:pt idx="17">
                  <c:v>39</c:v>
                </c:pt>
                <c:pt idx="18">
                  <c:v>39</c:v>
                </c:pt>
                <c:pt idx="19">
                  <c:v>11</c:v>
                </c:pt>
                <c:pt idx="20">
                  <c:v>11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1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7E8-4F64-B058-D278E43170E8}"/>
            </c:ext>
          </c:extLst>
        </c:ser>
        <c:ser>
          <c:idx val="1"/>
          <c:order val="1"/>
          <c:tx>
            <c:strRef>
              <c:f>'Detritus 50 Years'!$AM$1</c:f>
              <c:strCache>
                <c:ptCount val="1"/>
                <c:pt idx="0">
                  <c:v>MCMC Madness'!$AY$52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'Detritus 50 Years'!$AK$2:$AK$143</c:f>
              <c:numCache>
                <c:formatCode>General</c:formatCode>
                <c:ptCount val="142"/>
                <c:pt idx="0">
                  <c:v>150</c:v>
                </c:pt>
                <c:pt idx="1">
                  <c:v>150</c:v>
                </c:pt>
                <c:pt idx="2">
                  <c:v>200</c:v>
                </c:pt>
                <c:pt idx="3">
                  <c:v>200</c:v>
                </c:pt>
                <c:pt idx="4">
                  <c:v>250</c:v>
                </c:pt>
                <c:pt idx="5">
                  <c:v>250</c:v>
                </c:pt>
                <c:pt idx="6">
                  <c:v>300</c:v>
                </c:pt>
                <c:pt idx="7">
                  <c:v>300</c:v>
                </c:pt>
                <c:pt idx="8">
                  <c:v>350</c:v>
                </c:pt>
                <c:pt idx="9">
                  <c:v>350</c:v>
                </c:pt>
                <c:pt idx="10">
                  <c:v>400</c:v>
                </c:pt>
                <c:pt idx="11">
                  <c:v>400</c:v>
                </c:pt>
                <c:pt idx="12">
                  <c:v>450</c:v>
                </c:pt>
                <c:pt idx="13">
                  <c:v>450</c:v>
                </c:pt>
                <c:pt idx="14">
                  <c:v>500</c:v>
                </c:pt>
                <c:pt idx="15">
                  <c:v>500</c:v>
                </c:pt>
                <c:pt idx="16">
                  <c:v>550</c:v>
                </c:pt>
                <c:pt idx="17">
                  <c:v>550</c:v>
                </c:pt>
                <c:pt idx="18">
                  <c:v>600</c:v>
                </c:pt>
                <c:pt idx="19">
                  <c:v>600</c:v>
                </c:pt>
                <c:pt idx="20">
                  <c:v>650</c:v>
                </c:pt>
                <c:pt idx="21">
                  <c:v>650</c:v>
                </c:pt>
                <c:pt idx="22">
                  <c:v>700</c:v>
                </c:pt>
                <c:pt idx="23">
                  <c:v>700</c:v>
                </c:pt>
                <c:pt idx="24">
                  <c:v>750</c:v>
                </c:pt>
                <c:pt idx="25">
                  <c:v>750</c:v>
                </c:pt>
                <c:pt idx="26">
                  <c:v>800</c:v>
                </c:pt>
                <c:pt idx="27">
                  <c:v>800</c:v>
                </c:pt>
                <c:pt idx="28">
                  <c:v>850</c:v>
                </c:pt>
                <c:pt idx="29">
                  <c:v>850</c:v>
                </c:pt>
                <c:pt idx="30">
                  <c:v>900</c:v>
                </c:pt>
                <c:pt idx="31">
                  <c:v>900</c:v>
                </c:pt>
                <c:pt idx="32">
                  <c:v>950</c:v>
                </c:pt>
                <c:pt idx="33">
                  <c:v>950</c:v>
                </c:pt>
                <c:pt idx="34">
                  <c:v>1000</c:v>
                </c:pt>
                <c:pt idx="35">
                  <c:v>1000</c:v>
                </c:pt>
                <c:pt idx="36">
                  <c:v>1050</c:v>
                </c:pt>
                <c:pt idx="37">
                  <c:v>1050</c:v>
                </c:pt>
                <c:pt idx="38">
                  <c:v>1100</c:v>
                </c:pt>
                <c:pt idx="39">
                  <c:v>1100</c:v>
                </c:pt>
                <c:pt idx="40">
                  <c:v>1150</c:v>
                </c:pt>
                <c:pt idx="41">
                  <c:v>1150</c:v>
                </c:pt>
                <c:pt idx="42">
                  <c:v>1200</c:v>
                </c:pt>
                <c:pt idx="43">
                  <c:v>1200</c:v>
                </c:pt>
                <c:pt idx="44">
                  <c:v>1250</c:v>
                </c:pt>
                <c:pt idx="45">
                  <c:v>1250</c:v>
                </c:pt>
                <c:pt idx="46">
                  <c:v>1300</c:v>
                </c:pt>
                <c:pt idx="47">
                  <c:v>1300</c:v>
                </c:pt>
                <c:pt idx="48">
                  <c:v>1350</c:v>
                </c:pt>
                <c:pt idx="49">
                  <c:v>1350</c:v>
                </c:pt>
                <c:pt idx="50">
                  <c:v>1400</c:v>
                </c:pt>
                <c:pt idx="51">
                  <c:v>1400</c:v>
                </c:pt>
                <c:pt idx="52">
                  <c:v>1450</c:v>
                </c:pt>
                <c:pt idx="53">
                  <c:v>1450</c:v>
                </c:pt>
                <c:pt idx="54">
                  <c:v>1500</c:v>
                </c:pt>
                <c:pt idx="55">
                  <c:v>1500</c:v>
                </c:pt>
                <c:pt idx="56">
                  <c:v>1550</c:v>
                </c:pt>
                <c:pt idx="57">
                  <c:v>1550</c:v>
                </c:pt>
                <c:pt idx="58">
                  <c:v>1600</c:v>
                </c:pt>
                <c:pt idx="59">
                  <c:v>1600</c:v>
                </c:pt>
                <c:pt idx="60">
                  <c:v>1650</c:v>
                </c:pt>
                <c:pt idx="61">
                  <c:v>1650</c:v>
                </c:pt>
                <c:pt idx="62">
                  <c:v>1700</c:v>
                </c:pt>
                <c:pt idx="63">
                  <c:v>1700</c:v>
                </c:pt>
                <c:pt idx="64">
                  <c:v>1750</c:v>
                </c:pt>
                <c:pt idx="65">
                  <c:v>1750</c:v>
                </c:pt>
                <c:pt idx="66">
                  <c:v>1800</c:v>
                </c:pt>
                <c:pt idx="67">
                  <c:v>1800</c:v>
                </c:pt>
                <c:pt idx="68">
                  <c:v>1850</c:v>
                </c:pt>
                <c:pt idx="69">
                  <c:v>1850</c:v>
                </c:pt>
                <c:pt idx="70">
                  <c:v>1900</c:v>
                </c:pt>
                <c:pt idx="71">
                  <c:v>1900</c:v>
                </c:pt>
                <c:pt idx="72">
                  <c:v>1950</c:v>
                </c:pt>
                <c:pt idx="73">
                  <c:v>1950</c:v>
                </c:pt>
                <c:pt idx="74">
                  <c:v>2000</c:v>
                </c:pt>
                <c:pt idx="75">
                  <c:v>2000</c:v>
                </c:pt>
                <c:pt idx="76">
                  <c:v>2050</c:v>
                </c:pt>
                <c:pt idx="77">
                  <c:v>2050</c:v>
                </c:pt>
                <c:pt idx="78">
                  <c:v>2100</c:v>
                </c:pt>
                <c:pt idx="79">
                  <c:v>2100</c:v>
                </c:pt>
                <c:pt idx="80">
                  <c:v>2150</c:v>
                </c:pt>
                <c:pt idx="81">
                  <c:v>2150</c:v>
                </c:pt>
                <c:pt idx="82">
                  <c:v>2200</c:v>
                </c:pt>
                <c:pt idx="83">
                  <c:v>2200</c:v>
                </c:pt>
                <c:pt idx="84">
                  <c:v>2250</c:v>
                </c:pt>
                <c:pt idx="85">
                  <c:v>2250</c:v>
                </c:pt>
                <c:pt idx="86">
                  <c:v>2300</c:v>
                </c:pt>
                <c:pt idx="87">
                  <c:v>2300</c:v>
                </c:pt>
                <c:pt idx="88">
                  <c:v>2350</c:v>
                </c:pt>
                <c:pt idx="89">
                  <c:v>2350</c:v>
                </c:pt>
                <c:pt idx="90">
                  <c:v>2400</c:v>
                </c:pt>
                <c:pt idx="91">
                  <c:v>2400</c:v>
                </c:pt>
                <c:pt idx="92">
                  <c:v>2450</c:v>
                </c:pt>
                <c:pt idx="93">
                  <c:v>2450</c:v>
                </c:pt>
                <c:pt idx="94">
                  <c:v>2500</c:v>
                </c:pt>
                <c:pt idx="95">
                  <c:v>2500</c:v>
                </c:pt>
                <c:pt idx="96">
                  <c:v>2550</c:v>
                </c:pt>
                <c:pt idx="97">
                  <c:v>2550</c:v>
                </c:pt>
                <c:pt idx="98">
                  <c:v>2600</c:v>
                </c:pt>
                <c:pt idx="99">
                  <c:v>2600</c:v>
                </c:pt>
                <c:pt idx="100">
                  <c:v>2650</c:v>
                </c:pt>
                <c:pt idx="101">
                  <c:v>2650</c:v>
                </c:pt>
                <c:pt idx="102">
                  <c:v>2700</c:v>
                </c:pt>
                <c:pt idx="103">
                  <c:v>2700</c:v>
                </c:pt>
                <c:pt idx="104">
                  <c:v>2750</c:v>
                </c:pt>
                <c:pt idx="105">
                  <c:v>2750</c:v>
                </c:pt>
                <c:pt idx="106">
                  <c:v>2800</c:v>
                </c:pt>
                <c:pt idx="107">
                  <c:v>2800</c:v>
                </c:pt>
                <c:pt idx="108">
                  <c:v>2850</c:v>
                </c:pt>
                <c:pt idx="109">
                  <c:v>2850</c:v>
                </c:pt>
                <c:pt idx="110">
                  <c:v>2900</c:v>
                </c:pt>
                <c:pt idx="111">
                  <c:v>2900</c:v>
                </c:pt>
                <c:pt idx="112">
                  <c:v>2950</c:v>
                </c:pt>
                <c:pt idx="113">
                  <c:v>2950</c:v>
                </c:pt>
                <c:pt idx="114">
                  <c:v>3000</c:v>
                </c:pt>
                <c:pt idx="115">
                  <c:v>3000</c:v>
                </c:pt>
                <c:pt idx="116">
                  <c:v>3050</c:v>
                </c:pt>
                <c:pt idx="117">
                  <c:v>3050</c:v>
                </c:pt>
                <c:pt idx="118">
                  <c:v>3100</c:v>
                </c:pt>
                <c:pt idx="119">
                  <c:v>3100</c:v>
                </c:pt>
                <c:pt idx="120">
                  <c:v>3150</c:v>
                </c:pt>
                <c:pt idx="121">
                  <c:v>3150</c:v>
                </c:pt>
                <c:pt idx="122">
                  <c:v>3200</c:v>
                </c:pt>
                <c:pt idx="123">
                  <c:v>3200</c:v>
                </c:pt>
                <c:pt idx="124">
                  <c:v>3250</c:v>
                </c:pt>
                <c:pt idx="125">
                  <c:v>3250</c:v>
                </c:pt>
                <c:pt idx="126">
                  <c:v>3300</c:v>
                </c:pt>
                <c:pt idx="127">
                  <c:v>3300</c:v>
                </c:pt>
                <c:pt idx="128">
                  <c:v>3350</c:v>
                </c:pt>
                <c:pt idx="129">
                  <c:v>3350</c:v>
                </c:pt>
                <c:pt idx="130">
                  <c:v>3400</c:v>
                </c:pt>
                <c:pt idx="131">
                  <c:v>3400</c:v>
                </c:pt>
                <c:pt idx="132">
                  <c:v>3450</c:v>
                </c:pt>
                <c:pt idx="133">
                  <c:v>3450</c:v>
                </c:pt>
                <c:pt idx="134">
                  <c:v>3500</c:v>
                </c:pt>
                <c:pt idx="135">
                  <c:v>3500</c:v>
                </c:pt>
                <c:pt idx="136">
                  <c:v>3550</c:v>
                </c:pt>
                <c:pt idx="137">
                  <c:v>3550</c:v>
                </c:pt>
                <c:pt idx="138">
                  <c:v>3600</c:v>
                </c:pt>
                <c:pt idx="139">
                  <c:v>3600</c:v>
                </c:pt>
                <c:pt idx="140">
                  <c:v>3650</c:v>
                </c:pt>
                <c:pt idx="141">
                  <c:v>3650</c:v>
                </c:pt>
              </c:numCache>
            </c:numRef>
          </c:xVal>
          <c:yVal>
            <c:numRef>
              <c:f>'Detritus 50 Years'!$AM$2:$AM$143</c:f>
              <c:numCache>
                <c:formatCode>General</c:formatCode>
                <c:ptCount val="14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2</c:v>
                </c:pt>
                <c:pt idx="46">
                  <c:v>2</c:v>
                </c:pt>
                <c:pt idx="47">
                  <c:v>1</c:v>
                </c:pt>
                <c:pt idx="48">
                  <c:v>1</c:v>
                </c:pt>
                <c:pt idx="49">
                  <c:v>2</c:v>
                </c:pt>
                <c:pt idx="50">
                  <c:v>2</c:v>
                </c:pt>
                <c:pt idx="51">
                  <c:v>0</c:v>
                </c:pt>
                <c:pt idx="52">
                  <c:v>0</c:v>
                </c:pt>
                <c:pt idx="53">
                  <c:v>9</c:v>
                </c:pt>
                <c:pt idx="54">
                  <c:v>9</c:v>
                </c:pt>
                <c:pt idx="55">
                  <c:v>13</c:v>
                </c:pt>
                <c:pt idx="56">
                  <c:v>13</c:v>
                </c:pt>
                <c:pt idx="57">
                  <c:v>26</c:v>
                </c:pt>
                <c:pt idx="58">
                  <c:v>26</c:v>
                </c:pt>
                <c:pt idx="59">
                  <c:v>53</c:v>
                </c:pt>
                <c:pt idx="60">
                  <c:v>53</c:v>
                </c:pt>
                <c:pt idx="61">
                  <c:v>74</c:v>
                </c:pt>
                <c:pt idx="62">
                  <c:v>74</c:v>
                </c:pt>
                <c:pt idx="63">
                  <c:v>93</c:v>
                </c:pt>
                <c:pt idx="64">
                  <c:v>93</c:v>
                </c:pt>
                <c:pt idx="65">
                  <c:v>145</c:v>
                </c:pt>
                <c:pt idx="66">
                  <c:v>145</c:v>
                </c:pt>
                <c:pt idx="67">
                  <c:v>215</c:v>
                </c:pt>
                <c:pt idx="68">
                  <c:v>215</c:v>
                </c:pt>
                <c:pt idx="69">
                  <c:v>227</c:v>
                </c:pt>
                <c:pt idx="70">
                  <c:v>227</c:v>
                </c:pt>
                <c:pt idx="71">
                  <c:v>324</c:v>
                </c:pt>
                <c:pt idx="72">
                  <c:v>324</c:v>
                </c:pt>
                <c:pt idx="73">
                  <c:v>414</c:v>
                </c:pt>
                <c:pt idx="74">
                  <c:v>414</c:v>
                </c:pt>
                <c:pt idx="75">
                  <c:v>513</c:v>
                </c:pt>
                <c:pt idx="76">
                  <c:v>513</c:v>
                </c:pt>
                <c:pt idx="77">
                  <c:v>559</c:v>
                </c:pt>
                <c:pt idx="78">
                  <c:v>559</c:v>
                </c:pt>
                <c:pt idx="79">
                  <c:v>570</c:v>
                </c:pt>
                <c:pt idx="80">
                  <c:v>570</c:v>
                </c:pt>
                <c:pt idx="81">
                  <c:v>586</c:v>
                </c:pt>
                <c:pt idx="82">
                  <c:v>586</c:v>
                </c:pt>
                <c:pt idx="83">
                  <c:v>619</c:v>
                </c:pt>
                <c:pt idx="84">
                  <c:v>619</c:v>
                </c:pt>
                <c:pt idx="85">
                  <c:v>619</c:v>
                </c:pt>
                <c:pt idx="86">
                  <c:v>619</c:v>
                </c:pt>
                <c:pt idx="87">
                  <c:v>613</c:v>
                </c:pt>
                <c:pt idx="88">
                  <c:v>613</c:v>
                </c:pt>
                <c:pt idx="89">
                  <c:v>598</c:v>
                </c:pt>
                <c:pt idx="90">
                  <c:v>598</c:v>
                </c:pt>
                <c:pt idx="91">
                  <c:v>568</c:v>
                </c:pt>
                <c:pt idx="92">
                  <c:v>568</c:v>
                </c:pt>
                <c:pt idx="93">
                  <c:v>530</c:v>
                </c:pt>
                <c:pt idx="94">
                  <c:v>530</c:v>
                </c:pt>
                <c:pt idx="95">
                  <c:v>494</c:v>
                </c:pt>
                <c:pt idx="96">
                  <c:v>494</c:v>
                </c:pt>
                <c:pt idx="97">
                  <c:v>421</c:v>
                </c:pt>
                <c:pt idx="98">
                  <c:v>421</c:v>
                </c:pt>
                <c:pt idx="99">
                  <c:v>348</c:v>
                </c:pt>
                <c:pt idx="100">
                  <c:v>348</c:v>
                </c:pt>
                <c:pt idx="101">
                  <c:v>267</c:v>
                </c:pt>
                <c:pt idx="102">
                  <c:v>267</c:v>
                </c:pt>
                <c:pt idx="103">
                  <c:v>262</c:v>
                </c:pt>
                <c:pt idx="104">
                  <c:v>262</c:v>
                </c:pt>
                <c:pt idx="105">
                  <c:v>200</c:v>
                </c:pt>
                <c:pt idx="106">
                  <c:v>200</c:v>
                </c:pt>
                <c:pt idx="107">
                  <c:v>153</c:v>
                </c:pt>
                <c:pt idx="108">
                  <c:v>153</c:v>
                </c:pt>
                <c:pt idx="109">
                  <c:v>110</c:v>
                </c:pt>
                <c:pt idx="110">
                  <c:v>110</c:v>
                </c:pt>
                <c:pt idx="111">
                  <c:v>101</c:v>
                </c:pt>
                <c:pt idx="112">
                  <c:v>101</c:v>
                </c:pt>
                <c:pt idx="113">
                  <c:v>71</c:v>
                </c:pt>
                <c:pt idx="114">
                  <c:v>71</c:v>
                </c:pt>
                <c:pt idx="115">
                  <c:v>56</c:v>
                </c:pt>
                <c:pt idx="116">
                  <c:v>56</c:v>
                </c:pt>
                <c:pt idx="117">
                  <c:v>43</c:v>
                </c:pt>
                <c:pt idx="118">
                  <c:v>43</c:v>
                </c:pt>
                <c:pt idx="119">
                  <c:v>27</c:v>
                </c:pt>
                <c:pt idx="120">
                  <c:v>27</c:v>
                </c:pt>
                <c:pt idx="121">
                  <c:v>23</c:v>
                </c:pt>
                <c:pt idx="122">
                  <c:v>23</c:v>
                </c:pt>
                <c:pt idx="123">
                  <c:v>14</c:v>
                </c:pt>
                <c:pt idx="124">
                  <c:v>14</c:v>
                </c:pt>
                <c:pt idx="125">
                  <c:v>14</c:v>
                </c:pt>
                <c:pt idx="126">
                  <c:v>14</c:v>
                </c:pt>
                <c:pt idx="127">
                  <c:v>7</c:v>
                </c:pt>
                <c:pt idx="128">
                  <c:v>7</c:v>
                </c:pt>
                <c:pt idx="129">
                  <c:v>9</c:v>
                </c:pt>
                <c:pt idx="130">
                  <c:v>9</c:v>
                </c:pt>
                <c:pt idx="131">
                  <c:v>2</c:v>
                </c:pt>
                <c:pt idx="132">
                  <c:v>2</c:v>
                </c:pt>
                <c:pt idx="133">
                  <c:v>2</c:v>
                </c:pt>
                <c:pt idx="134">
                  <c:v>2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7E8-4F64-B058-D278E43170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6048064"/>
        <c:axId val="706048624"/>
      </c:scatterChart>
      <c:valAx>
        <c:axId val="706048064"/>
        <c:scaling>
          <c:orientation val="minMax"/>
          <c:max val="3650"/>
          <c:min val="15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Carbon (Gigatons)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06048624"/>
        <c:crosses val="autoZero"/>
        <c:crossBetween val="midCat"/>
      </c:valAx>
      <c:valAx>
        <c:axId val="7060486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one"/>
        <c:spPr>
          <a:ln w="25400">
            <a:noFill/>
          </a:ln>
        </c:spPr>
        <c:crossAx val="706048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Detritus Concentration,</a:t>
            </a:r>
            <a:r>
              <a:rPr lang="en-US" baseline="0"/>
              <a:t> 210</a:t>
            </a:r>
            <a:r>
              <a:rPr lang="en-US"/>
              <a:t> 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'Detritus  100 yrs'!$AL$1</c:f>
              <c:strCache>
                <c:ptCount val="1"/>
                <c:pt idx="0">
                  <c:v>MCMC Madness'!$CW$25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'Detritus  100 yrs'!$AK$2:$AK$99</c:f>
              <c:numCache>
                <c:formatCode>General</c:formatCode>
                <c:ptCount val="98"/>
                <c:pt idx="0">
                  <c:v>100</c:v>
                </c:pt>
                <c:pt idx="1">
                  <c:v>100</c:v>
                </c:pt>
                <c:pt idx="2">
                  <c:v>200</c:v>
                </c:pt>
                <c:pt idx="3">
                  <c:v>200</c:v>
                </c:pt>
                <c:pt idx="4">
                  <c:v>300</c:v>
                </c:pt>
                <c:pt idx="5">
                  <c:v>300</c:v>
                </c:pt>
                <c:pt idx="6">
                  <c:v>400</c:v>
                </c:pt>
                <c:pt idx="7">
                  <c:v>400</c:v>
                </c:pt>
                <c:pt idx="8">
                  <c:v>500</c:v>
                </c:pt>
                <c:pt idx="9">
                  <c:v>500</c:v>
                </c:pt>
                <c:pt idx="10">
                  <c:v>600</c:v>
                </c:pt>
                <c:pt idx="11">
                  <c:v>600</c:v>
                </c:pt>
                <c:pt idx="12">
                  <c:v>700</c:v>
                </c:pt>
                <c:pt idx="13">
                  <c:v>700</c:v>
                </c:pt>
                <c:pt idx="14">
                  <c:v>800</c:v>
                </c:pt>
                <c:pt idx="15">
                  <c:v>800</c:v>
                </c:pt>
                <c:pt idx="16">
                  <c:v>900</c:v>
                </c:pt>
                <c:pt idx="17">
                  <c:v>900</c:v>
                </c:pt>
                <c:pt idx="18">
                  <c:v>1000</c:v>
                </c:pt>
                <c:pt idx="19">
                  <c:v>1000</c:v>
                </c:pt>
                <c:pt idx="20">
                  <c:v>1100</c:v>
                </c:pt>
                <c:pt idx="21">
                  <c:v>1100</c:v>
                </c:pt>
                <c:pt idx="22">
                  <c:v>1200</c:v>
                </c:pt>
                <c:pt idx="23">
                  <c:v>1200</c:v>
                </c:pt>
                <c:pt idx="24">
                  <c:v>1300</c:v>
                </c:pt>
                <c:pt idx="25">
                  <c:v>1300</c:v>
                </c:pt>
                <c:pt idx="26">
                  <c:v>1400</c:v>
                </c:pt>
                <c:pt idx="27">
                  <c:v>1400</c:v>
                </c:pt>
                <c:pt idx="28">
                  <c:v>1500</c:v>
                </c:pt>
                <c:pt idx="29">
                  <c:v>1500</c:v>
                </c:pt>
                <c:pt idx="30">
                  <c:v>1600</c:v>
                </c:pt>
                <c:pt idx="31">
                  <c:v>1600</c:v>
                </c:pt>
                <c:pt idx="32">
                  <c:v>1700</c:v>
                </c:pt>
                <c:pt idx="33">
                  <c:v>1700</c:v>
                </c:pt>
                <c:pt idx="34">
                  <c:v>1800</c:v>
                </c:pt>
                <c:pt idx="35">
                  <c:v>1800</c:v>
                </c:pt>
                <c:pt idx="36">
                  <c:v>1900</c:v>
                </c:pt>
                <c:pt idx="37">
                  <c:v>1900</c:v>
                </c:pt>
                <c:pt idx="38">
                  <c:v>2000</c:v>
                </c:pt>
                <c:pt idx="39">
                  <c:v>2000</c:v>
                </c:pt>
                <c:pt idx="40">
                  <c:v>2100</c:v>
                </c:pt>
                <c:pt idx="41">
                  <c:v>2100</c:v>
                </c:pt>
                <c:pt idx="42">
                  <c:v>2200</c:v>
                </c:pt>
                <c:pt idx="43">
                  <c:v>2200</c:v>
                </c:pt>
                <c:pt idx="44">
                  <c:v>2300</c:v>
                </c:pt>
                <c:pt idx="45">
                  <c:v>2300</c:v>
                </c:pt>
                <c:pt idx="46">
                  <c:v>2400</c:v>
                </c:pt>
                <c:pt idx="47">
                  <c:v>2400</c:v>
                </c:pt>
                <c:pt idx="48">
                  <c:v>2500</c:v>
                </c:pt>
                <c:pt idx="49">
                  <c:v>2500</c:v>
                </c:pt>
                <c:pt idx="50">
                  <c:v>2600</c:v>
                </c:pt>
                <c:pt idx="51">
                  <c:v>2600</c:v>
                </c:pt>
                <c:pt idx="52">
                  <c:v>2700</c:v>
                </c:pt>
                <c:pt idx="53">
                  <c:v>2700</c:v>
                </c:pt>
                <c:pt idx="54">
                  <c:v>2800</c:v>
                </c:pt>
                <c:pt idx="55">
                  <c:v>2800</c:v>
                </c:pt>
                <c:pt idx="56">
                  <c:v>2900</c:v>
                </c:pt>
                <c:pt idx="57">
                  <c:v>2900</c:v>
                </c:pt>
                <c:pt idx="58">
                  <c:v>3000</c:v>
                </c:pt>
                <c:pt idx="59">
                  <c:v>3000</c:v>
                </c:pt>
                <c:pt idx="60">
                  <c:v>3100</c:v>
                </c:pt>
                <c:pt idx="61">
                  <c:v>3100</c:v>
                </c:pt>
                <c:pt idx="62">
                  <c:v>3200</c:v>
                </c:pt>
                <c:pt idx="63">
                  <c:v>3200</c:v>
                </c:pt>
                <c:pt idx="64">
                  <c:v>3300</c:v>
                </c:pt>
                <c:pt idx="65">
                  <c:v>3300</c:v>
                </c:pt>
                <c:pt idx="66">
                  <c:v>3400</c:v>
                </c:pt>
                <c:pt idx="67">
                  <c:v>3400</c:v>
                </c:pt>
                <c:pt idx="68">
                  <c:v>3500</c:v>
                </c:pt>
                <c:pt idx="69">
                  <c:v>3500</c:v>
                </c:pt>
                <c:pt idx="70">
                  <c:v>3600</c:v>
                </c:pt>
                <c:pt idx="71">
                  <c:v>3600</c:v>
                </c:pt>
                <c:pt idx="72">
                  <c:v>3700</c:v>
                </c:pt>
                <c:pt idx="73">
                  <c:v>3700</c:v>
                </c:pt>
                <c:pt idx="74">
                  <c:v>3800</c:v>
                </c:pt>
                <c:pt idx="75">
                  <c:v>3800</c:v>
                </c:pt>
                <c:pt idx="76">
                  <c:v>3900</c:v>
                </c:pt>
                <c:pt idx="77">
                  <c:v>3900</c:v>
                </c:pt>
                <c:pt idx="78">
                  <c:v>4000</c:v>
                </c:pt>
                <c:pt idx="79">
                  <c:v>4000</c:v>
                </c:pt>
                <c:pt idx="80">
                  <c:v>4100</c:v>
                </c:pt>
                <c:pt idx="81">
                  <c:v>4100</c:v>
                </c:pt>
                <c:pt idx="82">
                  <c:v>4200</c:v>
                </c:pt>
                <c:pt idx="83">
                  <c:v>4200</c:v>
                </c:pt>
                <c:pt idx="84">
                  <c:v>4300</c:v>
                </c:pt>
                <c:pt idx="85">
                  <c:v>4300</c:v>
                </c:pt>
                <c:pt idx="86">
                  <c:v>4400</c:v>
                </c:pt>
                <c:pt idx="87">
                  <c:v>4400</c:v>
                </c:pt>
                <c:pt idx="88">
                  <c:v>4500</c:v>
                </c:pt>
                <c:pt idx="89">
                  <c:v>4500</c:v>
                </c:pt>
                <c:pt idx="90">
                  <c:v>4600</c:v>
                </c:pt>
                <c:pt idx="91">
                  <c:v>4600</c:v>
                </c:pt>
                <c:pt idx="92">
                  <c:v>4700</c:v>
                </c:pt>
                <c:pt idx="93">
                  <c:v>4700</c:v>
                </c:pt>
                <c:pt idx="94">
                  <c:v>4800</c:v>
                </c:pt>
                <c:pt idx="95">
                  <c:v>4800</c:v>
                </c:pt>
                <c:pt idx="96">
                  <c:v>4900</c:v>
                </c:pt>
                <c:pt idx="97">
                  <c:v>4900</c:v>
                </c:pt>
              </c:numCache>
            </c:numRef>
          </c:xVal>
          <c:yVal>
            <c:numRef>
              <c:f>'Detritus  100 yrs'!$AL$2:$AL$99</c:f>
              <c:numCache>
                <c:formatCode>General</c:formatCode>
                <c:ptCount val="98"/>
                <c:pt idx="0">
                  <c:v>0</c:v>
                </c:pt>
                <c:pt idx="1">
                  <c:v>230</c:v>
                </c:pt>
                <c:pt idx="2">
                  <c:v>230</c:v>
                </c:pt>
                <c:pt idx="3">
                  <c:v>3737</c:v>
                </c:pt>
                <c:pt idx="4">
                  <c:v>3737</c:v>
                </c:pt>
                <c:pt idx="5">
                  <c:v>4425</c:v>
                </c:pt>
                <c:pt idx="6">
                  <c:v>4425</c:v>
                </c:pt>
                <c:pt idx="7">
                  <c:v>1398</c:v>
                </c:pt>
                <c:pt idx="8">
                  <c:v>1398</c:v>
                </c:pt>
                <c:pt idx="9">
                  <c:v>193</c:v>
                </c:pt>
                <c:pt idx="10">
                  <c:v>193</c:v>
                </c:pt>
                <c:pt idx="11">
                  <c:v>15</c:v>
                </c:pt>
                <c:pt idx="12">
                  <c:v>15</c:v>
                </c:pt>
                <c:pt idx="13">
                  <c:v>2</c:v>
                </c:pt>
                <c:pt idx="14">
                  <c:v>2</c:v>
                </c:pt>
                <c:pt idx="1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72-4523-84D8-F8579FA1A368}"/>
            </c:ext>
          </c:extLst>
        </c:ser>
        <c:ser>
          <c:idx val="1"/>
          <c:order val="1"/>
          <c:tx>
            <c:strRef>
              <c:f>'Detritus  100 yrs'!$AM$1</c:f>
              <c:strCache>
                <c:ptCount val="1"/>
                <c:pt idx="0">
                  <c:v>MCMC Madness'!$CW$52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'Detritus  100 yrs'!$AK$2:$AK$99</c:f>
              <c:numCache>
                <c:formatCode>General</c:formatCode>
                <c:ptCount val="98"/>
                <c:pt idx="0">
                  <c:v>100</c:v>
                </c:pt>
                <c:pt idx="1">
                  <c:v>100</c:v>
                </c:pt>
                <c:pt idx="2">
                  <c:v>200</c:v>
                </c:pt>
                <c:pt idx="3">
                  <c:v>200</c:v>
                </c:pt>
                <c:pt idx="4">
                  <c:v>300</c:v>
                </c:pt>
                <c:pt idx="5">
                  <c:v>300</c:v>
                </c:pt>
                <c:pt idx="6">
                  <c:v>400</c:v>
                </c:pt>
                <c:pt idx="7">
                  <c:v>400</c:v>
                </c:pt>
                <c:pt idx="8">
                  <c:v>500</c:v>
                </c:pt>
                <c:pt idx="9">
                  <c:v>500</c:v>
                </c:pt>
                <c:pt idx="10">
                  <c:v>600</c:v>
                </c:pt>
                <c:pt idx="11">
                  <c:v>600</c:v>
                </c:pt>
                <c:pt idx="12">
                  <c:v>700</c:v>
                </c:pt>
                <c:pt idx="13">
                  <c:v>700</c:v>
                </c:pt>
                <c:pt idx="14">
                  <c:v>800</c:v>
                </c:pt>
                <c:pt idx="15">
                  <c:v>800</c:v>
                </c:pt>
                <c:pt idx="16">
                  <c:v>900</c:v>
                </c:pt>
                <c:pt idx="17">
                  <c:v>900</c:v>
                </c:pt>
                <c:pt idx="18">
                  <c:v>1000</c:v>
                </c:pt>
                <c:pt idx="19">
                  <c:v>1000</c:v>
                </c:pt>
                <c:pt idx="20">
                  <c:v>1100</c:v>
                </c:pt>
                <c:pt idx="21">
                  <c:v>1100</c:v>
                </c:pt>
                <c:pt idx="22">
                  <c:v>1200</c:v>
                </c:pt>
                <c:pt idx="23">
                  <c:v>1200</c:v>
                </c:pt>
                <c:pt idx="24">
                  <c:v>1300</c:v>
                </c:pt>
                <c:pt idx="25">
                  <c:v>1300</c:v>
                </c:pt>
                <c:pt idx="26">
                  <c:v>1400</c:v>
                </c:pt>
                <c:pt idx="27">
                  <c:v>1400</c:v>
                </c:pt>
                <c:pt idx="28">
                  <c:v>1500</c:v>
                </c:pt>
                <c:pt idx="29">
                  <c:v>1500</c:v>
                </c:pt>
                <c:pt idx="30">
                  <c:v>1600</c:v>
                </c:pt>
                <c:pt idx="31">
                  <c:v>1600</c:v>
                </c:pt>
                <c:pt idx="32">
                  <c:v>1700</c:v>
                </c:pt>
                <c:pt idx="33">
                  <c:v>1700</c:v>
                </c:pt>
                <c:pt idx="34">
                  <c:v>1800</c:v>
                </c:pt>
                <c:pt idx="35">
                  <c:v>1800</c:v>
                </c:pt>
                <c:pt idx="36">
                  <c:v>1900</c:v>
                </c:pt>
                <c:pt idx="37">
                  <c:v>1900</c:v>
                </c:pt>
                <c:pt idx="38">
                  <c:v>2000</c:v>
                </c:pt>
                <c:pt idx="39">
                  <c:v>2000</c:v>
                </c:pt>
                <c:pt idx="40">
                  <c:v>2100</c:v>
                </c:pt>
                <c:pt idx="41">
                  <c:v>2100</c:v>
                </c:pt>
                <c:pt idx="42">
                  <c:v>2200</c:v>
                </c:pt>
                <c:pt idx="43">
                  <c:v>2200</c:v>
                </c:pt>
                <c:pt idx="44">
                  <c:v>2300</c:v>
                </c:pt>
                <c:pt idx="45">
                  <c:v>2300</c:v>
                </c:pt>
                <c:pt idx="46">
                  <c:v>2400</c:v>
                </c:pt>
                <c:pt idx="47">
                  <c:v>2400</c:v>
                </c:pt>
                <c:pt idx="48">
                  <c:v>2500</c:v>
                </c:pt>
                <c:pt idx="49">
                  <c:v>2500</c:v>
                </c:pt>
                <c:pt idx="50">
                  <c:v>2600</c:v>
                </c:pt>
                <c:pt idx="51">
                  <c:v>2600</c:v>
                </c:pt>
                <c:pt idx="52">
                  <c:v>2700</c:v>
                </c:pt>
                <c:pt idx="53">
                  <c:v>2700</c:v>
                </c:pt>
                <c:pt idx="54">
                  <c:v>2800</c:v>
                </c:pt>
                <c:pt idx="55">
                  <c:v>2800</c:v>
                </c:pt>
                <c:pt idx="56">
                  <c:v>2900</c:v>
                </c:pt>
                <c:pt idx="57">
                  <c:v>2900</c:v>
                </c:pt>
                <c:pt idx="58">
                  <c:v>3000</c:v>
                </c:pt>
                <c:pt idx="59">
                  <c:v>3000</c:v>
                </c:pt>
                <c:pt idx="60">
                  <c:v>3100</c:v>
                </c:pt>
                <c:pt idx="61">
                  <c:v>3100</c:v>
                </c:pt>
                <c:pt idx="62">
                  <c:v>3200</c:v>
                </c:pt>
                <c:pt idx="63">
                  <c:v>3200</c:v>
                </c:pt>
                <c:pt idx="64">
                  <c:v>3300</c:v>
                </c:pt>
                <c:pt idx="65">
                  <c:v>3300</c:v>
                </c:pt>
                <c:pt idx="66">
                  <c:v>3400</c:v>
                </c:pt>
                <c:pt idx="67">
                  <c:v>3400</c:v>
                </c:pt>
                <c:pt idx="68">
                  <c:v>3500</c:v>
                </c:pt>
                <c:pt idx="69">
                  <c:v>3500</c:v>
                </c:pt>
                <c:pt idx="70">
                  <c:v>3600</c:v>
                </c:pt>
                <c:pt idx="71">
                  <c:v>3600</c:v>
                </c:pt>
                <c:pt idx="72">
                  <c:v>3700</c:v>
                </c:pt>
                <c:pt idx="73">
                  <c:v>3700</c:v>
                </c:pt>
                <c:pt idx="74">
                  <c:v>3800</c:v>
                </c:pt>
                <c:pt idx="75">
                  <c:v>3800</c:v>
                </c:pt>
                <c:pt idx="76">
                  <c:v>3900</c:v>
                </c:pt>
                <c:pt idx="77">
                  <c:v>3900</c:v>
                </c:pt>
                <c:pt idx="78">
                  <c:v>4000</c:v>
                </c:pt>
                <c:pt idx="79">
                  <c:v>4000</c:v>
                </c:pt>
                <c:pt idx="80">
                  <c:v>4100</c:v>
                </c:pt>
                <c:pt idx="81">
                  <c:v>4100</c:v>
                </c:pt>
                <c:pt idx="82">
                  <c:v>4200</c:v>
                </c:pt>
                <c:pt idx="83">
                  <c:v>4200</c:v>
                </c:pt>
                <c:pt idx="84">
                  <c:v>4300</c:v>
                </c:pt>
                <c:pt idx="85">
                  <c:v>4300</c:v>
                </c:pt>
                <c:pt idx="86">
                  <c:v>4400</c:v>
                </c:pt>
                <c:pt idx="87">
                  <c:v>4400</c:v>
                </c:pt>
                <c:pt idx="88">
                  <c:v>4500</c:v>
                </c:pt>
                <c:pt idx="89">
                  <c:v>4500</c:v>
                </c:pt>
                <c:pt idx="90">
                  <c:v>4600</c:v>
                </c:pt>
                <c:pt idx="91">
                  <c:v>4600</c:v>
                </c:pt>
                <c:pt idx="92">
                  <c:v>4700</c:v>
                </c:pt>
                <c:pt idx="93">
                  <c:v>4700</c:v>
                </c:pt>
                <c:pt idx="94">
                  <c:v>4800</c:v>
                </c:pt>
                <c:pt idx="95">
                  <c:v>4800</c:v>
                </c:pt>
                <c:pt idx="96">
                  <c:v>4900</c:v>
                </c:pt>
                <c:pt idx="97">
                  <c:v>4900</c:v>
                </c:pt>
              </c:numCache>
            </c:numRef>
          </c:xVal>
          <c:yVal>
            <c:numRef>
              <c:f>'Detritus  100 yrs'!$AM$2:$AM$99</c:f>
              <c:numCache>
                <c:formatCode>General</c:formatCode>
                <c:ptCount val="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2</c:v>
                </c:pt>
                <c:pt idx="22">
                  <c:v>2</c:v>
                </c:pt>
                <c:pt idx="23">
                  <c:v>9</c:v>
                </c:pt>
                <c:pt idx="24">
                  <c:v>9</c:v>
                </c:pt>
                <c:pt idx="25">
                  <c:v>38</c:v>
                </c:pt>
                <c:pt idx="26">
                  <c:v>38</c:v>
                </c:pt>
                <c:pt idx="27">
                  <c:v>90</c:v>
                </c:pt>
                <c:pt idx="28">
                  <c:v>90</c:v>
                </c:pt>
                <c:pt idx="29">
                  <c:v>193</c:v>
                </c:pt>
                <c:pt idx="30">
                  <c:v>193</c:v>
                </c:pt>
                <c:pt idx="31">
                  <c:v>344</c:v>
                </c:pt>
                <c:pt idx="32">
                  <c:v>344</c:v>
                </c:pt>
                <c:pt idx="33">
                  <c:v>437</c:v>
                </c:pt>
                <c:pt idx="34">
                  <c:v>437</c:v>
                </c:pt>
                <c:pt idx="35">
                  <c:v>577</c:v>
                </c:pt>
                <c:pt idx="36">
                  <c:v>577</c:v>
                </c:pt>
                <c:pt idx="37">
                  <c:v>761</c:v>
                </c:pt>
                <c:pt idx="38">
                  <c:v>761</c:v>
                </c:pt>
                <c:pt idx="39">
                  <c:v>862</c:v>
                </c:pt>
                <c:pt idx="40">
                  <c:v>862</c:v>
                </c:pt>
                <c:pt idx="41">
                  <c:v>971</c:v>
                </c:pt>
                <c:pt idx="42">
                  <c:v>971</c:v>
                </c:pt>
                <c:pt idx="43">
                  <c:v>938</c:v>
                </c:pt>
                <c:pt idx="44">
                  <c:v>938</c:v>
                </c:pt>
                <c:pt idx="45">
                  <c:v>895</c:v>
                </c:pt>
                <c:pt idx="46">
                  <c:v>895</c:v>
                </c:pt>
                <c:pt idx="47">
                  <c:v>827</c:v>
                </c:pt>
                <c:pt idx="48">
                  <c:v>827</c:v>
                </c:pt>
                <c:pt idx="49">
                  <c:v>735</c:v>
                </c:pt>
                <c:pt idx="50">
                  <c:v>735</c:v>
                </c:pt>
                <c:pt idx="51">
                  <c:v>601</c:v>
                </c:pt>
                <c:pt idx="52">
                  <c:v>601</c:v>
                </c:pt>
                <c:pt idx="53">
                  <c:v>467</c:v>
                </c:pt>
                <c:pt idx="54">
                  <c:v>467</c:v>
                </c:pt>
                <c:pt idx="55">
                  <c:v>372</c:v>
                </c:pt>
                <c:pt idx="56">
                  <c:v>372</c:v>
                </c:pt>
                <c:pt idx="57">
                  <c:v>256</c:v>
                </c:pt>
                <c:pt idx="58">
                  <c:v>256</c:v>
                </c:pt>
                <c:pt idx="59">
                  <c:v>212</c:v>
                </c:pt>
                <c:pt idx="60">
                  <c:v>212</c:v>
                </c:pt>
                <c:pt idx="61">
                  <c:v>166</c:v>
                </c:pt>
                <c:pt idx="62">
                  <c:v>166</c:v>
                </c:pt>
                <c:pt idx="63">
                  <c:v>93</c:v>
                </c:pt>
                <c:pt idx="64">
                  <c:v>93</c:v>
                </c:pt>
                <c:pt idx="65">
                  <c:v>57</c:v>
                </c:pt>
                <c:pt idx="66">
                  <c:v>57</c:v>
                </c:pt>
                <c:pt idx="67">
                  <c:v>35</c:v>
                </c:pt>
                <c:pt idx="68">
                  <c:v>35</c:v>
                </c:pt>
                <c:pt idx="69">
                  <c:v>24</c:v>
                </c:pt>
                <c:pt idx="70">
                  <c:v>24</c:v>
                </c:pt>
                <c:pt idx="71">
                  <c:v>13</c:v>
                </c:pt>
                <c:pt idx="72">
                  <c:v>13</c:v>
                </c:pt>
                <c:pt idx="73">
                  <c:v>8</c:v>
                </c:pt>
                <c:pt idx="74">
                  <c:v>8</c:v>
                </c:pt>
                <c:pt idx="75">
                  <c:v>7</c:v>
                </c:pt>
                <c:pt idx="76">
                  <c:v>7</c:v>
                </c:pt>
                <c:pt idx="77">
                  <c:v>5</c:v>
                </c:pt>
                <c:pt idx="78">
                  <c:v>5</c:v>
                </c:pt>
                <c:pt idx="79">
                  <c:v>2</c:v>
                </c:pt>
                <c:pt idx="80">
                  <c:v>2</c:v>
                </c:pt>
                <c:pt idx="81">
                  <c:v>1</c:v>
                </c:pt>
                <c:pt idx="82">
                  <c:v>1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1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1</c:v>
                </c:pt>
                <c:pt idx="9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C72-4523-84D8-F8579FA1A3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6051984"/>
        <c:axId val="706052544"/>
      </c:scatterChart>
      <c:valAx>
        <c:axId val="706051984"/>
        <c:scaling>
          <c:orientation val="minMax"/>
          <c:max val="4900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Carbon Concetration</a:t>
                </a:r>
                <a:r>
                  <a:rPr lang="en-US" baseline="0"/>
                  <a:t> (Gigatons)</a:t>
                </a:r>
                <a:endParaRPr 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06052544"/>
        <c:crosses val="autoZero"/>
        <c:crossBetween val="midCat"/>
      </c:valAx>
      <c:valAx>
        <c:axId val="7060525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one"/>
        <c:spPr>
          <a:ln w="25400">
            <a:noFill/>
          </a:ln>
        </c:spPr>
        <c:crossAx val="706051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'Terrestrial 100 yrs'!$AL$1</c:f>
              <c:strCache>
                <c:ptCount val="1"/>
                <c:pt idx="0">
                  <c:v>MCMC Madness'!$CW$24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'Terrestrial 100 yrs'!$AK$2:$AK$159</c:f>
              <c:numCache>
                <c:formatCode>General</c:formatCode>
                <c:ptCount val="158"/>
                <c:pt idx="0">
                  <c:v>450</c:v>
                </c:pt>
                <c:pt idx="1">
                  <c:v>450</c:v>
                </c:pt>
                <c:pt idx="2">
                  <c:v>475</c:v>
                </c:pt>
                <c:pt idx="3">
                  <c:v>475</c:v>
                </c:pt>
                <c:pt idx="4">
                  <c:v>500</c:v>
                </c:pt>
                <c:pt idx="5">
                  <c:v>500</c:v>
                </c:pt>
                <c:pt idx="6">
                  <c:v>525</c:v>
                </c:pt>
                <c:pt idx="7">
                  <c:v>525</c:v>
                </c:pt>
                <c:pt idx="8">
                  <c:v>550</c:v>
                </c:pt>
                <c:pt idx="9">
                  <c:v>550</c:v>
                </c:pt>
                <c:pt idx="10">
                  <c:v>575</c:v>
                </c:pt>
                <c:pt idx="11">
                  <c:v>575</c:v>
                </c:pt>
                <c:pt idx="12">
                  <c:v>600</c:v>
                </c:pt>
                <c:pt idx="13">
                  <c:v>600</c:v>
                </c:pt>
                <c:pt idx="14">
                  <c:v>625</c:v>
                </c:pt>
                <c:pt idx="15">
                  <c:v>625</c:v>
                </c:pt>
                <c:pt idx="16">
                  <c:v>650</c:v>
                </c:pt>
                <c:pt idx="17">
                  <c:v>650</c:v>
                </c:pt>
                <c:pt idx="18">
                  <c:v>675</c:v>
                </c:pt>
                <c:pt idx="19">
                  <c:v>675</c:v>
                </c:pt>
                <c:pt idx="20">
                  <c:v>700</c:v>
                </c:pt>
                <c:pt idx="21">
                  <c:v>700</c:v>
                </c:pt>
                <c:pt idx="22">
                  <c:v>725</c:v>
                </c:pt>
                <c:pt idx="23">
                  <c:v>725</c:v>
                </c:pt>
                <c:pt idx="24">
                  <c:v>750</c:v>
                </c:pt>
                <c:pt idx="25">
                  <c:v>750</c:v>
                </c:pt>
                <c:pt idx="26">
                  <c:v>775</c:v>
                </c:pt>
                <c:pt idx="27">
                  <c:v>775</c:v>
                </c:pt>
                <c:pt idx="28">
                  <c:v>800</c:v>
                </c:pt>
                <c:pt idx="29">
                  <c:v>800</c:v>
                </c:pt>
                <c:pt idx="30">
                  <c:v>825</c:v>
                </c:pt>
                <c:pt idx="31">
                  <c:v>825</c:v>
                </c:pt>
                <c:pt idx="32">
                  <c:v>850</c:v>
                </c:pt>
                <c:pt idx="33">
                  <c:v>850</c:v>
                </c:pt>
                <c:pt idx="34">
                  <c:v>875</c:v>
                </c:pt>
                <c:pt idx="35">
                  <c:v>875</c:v>
                </c:pt>
                <c:pt idx="36">
                  <c:v>900</c:v>
                </c:pt>
                <c:pt idx="37">
                  <c:v>900</c:v>
                </c:pt>
                <c:pt idx="38">
                  <c:v>925</c:v>
                </c:pt>
                <c:pt idx="39">
                  <c:v>925</c:v>
                </c:pt>
                <c:pt idx="40">
                  <c:v>950</c:v>
                </c:pt>
                <c:pt idx="41">
                  <c:v>950</c:v>
                </c:pt>
                <c:pt idx="42">
                  <c:v>975</c:v>
                </c:pt>
                <c:pt idx="43">
                  <c:v>975</c:v>
                </c:pt>
                <c:pt idx="44">
                  <c:v>1000</c:v>
                </c:pt>
                <c:pt idx="45">
                  <c:v>1000</c:v>
                </c:pt>
                <c:pt idx="46">
                  <c:v>1025</c:v>
                </c:pt>
                <c:pt idx="47">
                  <c:v>1025</c:v>
                </c:pt>
                <c:pt idx="48">
                  <c:v>1050</c:v>
                </c:pt>
                <c:pt idx="49">
                  <c:v>1050</c:v>
                </c:pt>
                <c:pt idx="50">
                  <c:v>1075</c:v>
                </c:pt>
                <c:pt idx="51">
                  <c:v>1075</c:v>
                </c:pt>
                <c:pt idx="52">
                  <c:v>1100</c:v>
                </c:pt>
                <c:pt idx="53">
                  <c:v>1100</c:v>
                </c:pt>
                <c:pt idx="54">
                  <c:v>1125</c:v>
                </c:pt>
                <c:pt idx="55">
                  <c:v>1125</c:v>
                </c:pt>
                <c:pt idx="56">
                  <c:v>1150</c:v>
                </c:pt>
                <c:pt idx="57">
                  <c:v>1150</c:v>
                </c:pt>
                <c:pt idx="58">
                  <c:v>1175</c:v>
                </c:pt>
                <c:pt idx="59">
                  <c:v>1175</c:v>
                </c:pt>
                <c:pt idx="60">
                  <c:v>1200</c:v>
                </c:pt>
                <c:pt idx="61">
                  <c:v>1200</c:v>
                </c:pt>
                <c:pt idx="62">
                  <c:v>1225</c:v>
                </c:pt>
                <c:pt idx="63">
                  <c:v>1225</c:v>
                </c:pt>
                <c:pt idx="64">
                  <c:v>1250</c:v>
                </c:pt>
                <c:pt idx="65">
                  <c:v>1250</c:v>
                </c:pt>
                <c:pt idx="66">
                  <c:v>1275</c:v>
                </c:pt>
                <c:pt idx="67">
                  <c:v>1275</c:v>
                </c:pt>
                <c:pt idx="68">
                  <c:v>1300</c:v>
                </c:pt>
                <c:pt idx="69">
                  <c:v>1300</c:v>
                </c:pt>
                <c:pt idx="70">
                  <c:v>1325</c:v>
                </c:pt>
                <c:pt idx="71">
                  <c:v>1325</c:v>
                </c:pt>
                <c:pt idx="72">
                  <c:v>1350</c:v>
                </c:pt>
                <c:pt idx="73">
                  <c:v>1350</c:v>
                </c:pt>
                <c:pt idx="74">
                  <c:v>1375</c:v>
                </c:pt>
                <c:pt idx="75">
                  <c:v>1375</c:v>
                </c:pt>
                <c:pt idx="76">
                  <c:v>1400</c:v>
                </c:pt>
                <c:pt idx="77">
                  <c:v>1400</c:v>
                </c:pt>
                <c:pt idx="78">
                  <c:v>1425</c:v>
                </c:pt>
                <c:pt idx="79">
                  <c:v>1425</c:v>
                </c:pt>
                <c:pt idx="80">
                  <c:v>1450</c:v>
                </c:pt>
                <c:pt idx="81">
                  <c:v>1450</c:v>
                </c:pt>
                <c:pt idx="82">
                  <c:v>1475</c:v>
                </c:pt>
                <c:pt idx="83">
                  <c:v>1475</c:v>
                </c:pt>
                <c:pt idx="84">
                  <c:v>1500</c:v>
                </c:pt>
                <c:pt idx="85">
                  <c:v>1500</c:v>
                </c:pt>
                <c:pt idx="86">
                  <c:v>1525</c:v>
                </c:pt>
                <c:pt idx="87">
                  <c:v>1525</c:v>
                </c:pt>
                <c:pt idx="88">
                  <c:v>1550</c:v>
                </c:pt>
                <c:pt idx="89">
                  <c:v>1550</c:v>
                </c:pt>
                <c:pt idx="90">
                  <c:v>1575</c:v>
                </c:pt>
                <c:pt idx="91">
                  <c:v>1575</c:v>
                </c:pt>
                <c:pt idx="92">
                  <c:v>1600</c:v>
                </c:pt>
                <c:pt idx="93">
                  <c:v>1600</c:v>
                </c:pt>
                <c:pt idx="94">
                  <c:v>1625</c:v>
                </c:pt>
                <c:pt idx="95">
                  <c:v>1625</c:v>
                </c:pt>
                <c:pt idx="96">
                  <c:v>1650</c:v>
                </c:pt>
                <c:pt idx="97">
                  <c:v>1650</c:v>
                </c:pt>
                <c:pt idx="98">
                  <c:v>1675</c:v>
                </c:pt>
                <c:pt idx="99">
                  <c:v>1675</c:v>
                </c:pt>
                <c:pt idx="100">
                  <c:v>1700</c:v>
                </c:pt>
                <c:pt idx="101">
                  <c:v>1700</c:v>
                </c:pt>
                <c:pt idx="102">
                  <c:v>1725</c:v>
                </c:pt>
                <c:pt idx="103">
                  <c:v>1725</c:v>
                </c:pt>
                <c:pt idx="104">
                  <c:v>1750</c:v>
                </c:pt>
                <c:pt idx="105">
                  <c:v>1750</c:v>
                </c:pt>
                <c:pt idx="106">
                  <c:v>1775</c:v>
                </c:pt>
                <c:pt idx="107">
                  <c:v>1775</c:v>
                </c:pt>
                <c:pt idx="108">
                  <c:v>1800</c:v>
                </c:pt>
                <c:pt idx="109">
                  <c:v>1800</c:v>
                </c:pt>
                <c:pt idx="110">
                  <c:v>1825</c:v>
                </c:pt>
                <c:pt idx="111">
                  <c:v>1825</c:v>
                </c:pt>
                <c:pt idx="112">
                  <c:v>1850</c:v>
                </c:pt>
                <c:pt idx="113">
                  <c:v>1850</c:v>
                </c:pt>
                <c:pt idx="114">
                  <c:v>1875</c:v>
                </c:pt>
                <c:pt idx="115">
                  <c:v>1875</c:v>
                </c:pt>
                <c:pt idx="116">
                  <c:v>1900</c:v>
                </c:pt>
                <c:pt idx="117">
                  <c:v>1900</c:v>
                </c:pt>
                <c:pt idx="118">
                  <c:v>1925</c:v>
                </c:pt>
                <c:pt idx="119">
                  <c:v>1925</c:v>
                </c:pt>
                <c:pt idx="120">
                  <c:v>1950</c:v>
                </c:pt>
                <c:pt idx="121">
                  <c:v>1950</c:v>
                </c:pt>
                <c:pt idx="122">
                  <c:v>1975</c:v>
                </c:pt>
                <c:pt idx="123">
                  <c:v>1975</c:v>
                </c:pt>
                <c:pt idx="124">
                  <c:v>2000</c:v>
                </c:pt>
                <c:pt idx="125">
                  <c:v>2000</c:v>
                </c:pt>
                <c:pt idx="126">
                  <c:v>2025</c:v>
                </c:pt>
                <c:pt idx="127">
                  <c:v>2025</c:v>
                </c:pt>
                <c:pt idx="128">
                  <c:v>2050</c:v>
                </c:pt>
                <c:pt idx="129">
                  <c:v>2050</c:v>
                </c:pt>
                <c:pt idx="130">
                  <c:v>2075</c:v>
                </c:pt>
                <c:pt idx="131">
                  <c:v>2075</c:v>
                </c:pt>
                <c:pt idx="132">
                  <c:v>2100</c:v>
                </c:pt>
                <c:pt idx="133">
                  <c:v>2100</c:v>
                </c:pt>
                <c:pt idx="134">
                  <c:v>2125</c:v>
                </c:pt>
                <c:pt idx="135">
                  <c:v>2125</c:v>
                </c:pt>
                <c:pt idx="136">
                  <c:v>2150</c:v>
                </c:pt>
                <c:pt idx="137">
                  <c:v>2150</c:v>
                </c:pt>
                <c:pt idx="138">
                  <c:v>2175</c:v>
                </c:pt>
                <c:pt idx="139">
                  <c:v>2175</c:v>
                </c:pt>
                <c:pt idx="140">
                  <c:v>2200</c:v>
                </c:pt>
                <c:pt idx="141">
                  <c:v>2200</c:v>
                </c:pt>
                <c:pt idx="142">
                  <c:v>2225</c:v>
                </c:pt>
                <c:pt idx="143">
                  <c:v>2225</c:v>
                </c:pt>
                <c:pt idx="144">
                  <c:v>2250</c:v>
                </c:pt>
                <c:pt idx="145">
                  <c:v>2250</c:v>
                </c:pt>
                <c:pt idx="146">
                  <c:v>2275</c:v>
                </c:pt>
                <c:pt idx="147">
                  <c:v>2275</c:v>
                </c:pt>
                <c:pt idx="148">
                  <c:v>2300</c:v>
                </c:pt>
                <c:pt idx="149">
                  <c:v>2300</c:v>
                </c:pt>
                <c:pt idx="150">
                  <c:v>2325</c:v>
                </c:pt>
                <c:pt idx="151">
                  <c:v>2325</c:v>
                </c:pt>
                <c:pt idx="152">
                  <c:v>2350</c:v>
                </c:pt>
                <c:pt idx="153">
                  <c:v>2350</c:v>
                </c:pt>
                <c:pt idx="154">
                  <c:v>2375</c:v>
                </c:pt>
                <c:pt idx="155">
                  <c:v>2375</c:v>
                </c:pt>
                <c:pt idx="156">
                  <c:v>2400</c:v>
                </c:pt>
                <c:pt idx="157">
                  <c:v>2400</c:v>
                </c:pt>
              </c:numCache>
            </c:numRef>
          </c:xVal>
          <c:yVal>
            <c:numRef>
              <c:f>'Terrestrial 100 yrs'!$AL$2:$AL$159</c:f>
              <c:numCache>
                <c:formatCode>General</c:formatCode>
                <c:ptCount val="15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</c:v>
                </c:pt>
                <c:pt idx="12">
                  <c:v>2</c:v>
                </c:pt>
                <c:pt idx="13">
                  <c:v>4</c:v>
                </c:pt>
                <c:pt idx="14">
                  <c:v>4</c:v>
                </c:pt>
                <c:pt idx="15">
                  <c:v>6</c:v>
                </c:pt>
                <c:pt idx="16">
                  <c:v>6</c:v>
                </c:pt>
                <c:pt idx="17">
                  <c:v>9</c:v>
                </c:pt>
                <c:pt idx="18">
                  <c:v>9</c:v>
                </c:pt>
                <c:pt idx="19">
                  <c:v>13</c:v>
                </c:pt>
                <c:pt idx="20">
                  <c:v>13</c:v>
                </c:pt>
                <c:pt idx="21">
                  <c:v>19</c:v>
                </c:pt>
                <c:pt idx="22">
                  <c:v>19</c:v>
                </c:pt>
                <c:pt idx="23">
                  <c:v>25</c:v>
                </c:pt>
                <c:pt idx="24">
                  <c:v>25</c:v>
                </c:pt>
                <c:pt idx="25">
                  <c:v>54</c:v>
                </c:pt>
                <c:pt idx="26">
                  <c:v>54</c:v>
                </c:pt>
                <c:pt idx="27">
                  <c:v>57</c:v>
                </c:pt>
                <c:pt idx="28">
                  <c:v>57</c:v>
                </c:pt>
                <c:pt idx="29">
                  <c:v>69</c:v>
                </c:pt>
                <c:pt idx="30">
                  <c:v>69</c:v>
                </c:pt>
                <c:pt idx="31">
                  <c:v>75</c:v>
                </c:pt>
                <c:pt idx="32">
                  <c:v>75</c:v>
                </c:pt>
                <c:pt idx="33">
                  <c:v>119</c:v>
                </c:pt>
                <c:pt idx="34">
                  <c:v>119</c:v>
                </c:pt>
                <c:pt idx="35">
                  <c:v>140</c:v>
                </c:pt>
                <c:pt idx="36">
                  <c:v>140</c:v>
                </c:pt>
                <c:pt idx="37">
                  <c:v>150</c:v>
                </c:pt>
                <c:pt idx="38">
                  <c:v>150</c:v>
                </c:pt>
                <c:pt idx="39">
                  <c:v>199</c:v>
                </c:pt>
                <c:pt idx="40">
                  <c:v>199</c:v>
                </c:pt>
                <c:pt idx="41">
                  <c:v>213</c:v>
                </c:pt>
                <c:pt idx="42">
                  <c:v>213</c:v>
                </c:pt>
                <c:pt idx="43">
                  <c:v>277</c:v>
                </c:pt>
                <c:pt idx="44">
                  <c:v>277</c:v>
                </c:pt>
                <c:pt idx="45">
                  <c:v>305</c:v>
                </c:pt>
                <c:pt idx="46">
                  <c:v>305</c:v>
                </c:pt>
                <c:pt idx="47">
                  <c:v>358</c:v>
                </c:pt>
                <c:pt idx="48">
                  <c:v>358</c:v>
                </c:pt>
                <c:pt idx="49">
                  <c:v>382</c:v>
                </c:pt>
                <c:pt idx="50">
                  <c:v>382</c:v>
                </c:pt>
                <c:pt idx="51">
                  <c:v>363</c:v>
                </c:pt>
                <c:pt idx="52">
                  <c:v>363</c:v>
                </c:pt>
                <c:pt idx="53">
                  <c:v>432</c:v>
                </c:pt>
                <c:pt idx="54">
                  <c:v>432</c:v>
                </c:pt>
                <c:pt idx="55">
                  <c:v>437</c:v>
                </c:pt>
                <c:pt idx="56">
                  <c:v>437</c:v>
                </c:pt>
                <c:pt idx="57">
                  <c:v>426</c:v>
                </c:pt>
                <c:pt idx="58">
                  <c:v>426</c:v>
                </c:pt>
                <c:pt idx="59">
                  <c:v>423</c:v>
                </c:pt>
                <c:pt idx="60">
                  <c:v>423</c:v>
                </c:pt>
                <c:pt idx="61">
                  <c:v>441</c:v>
                </c:pt>
                <c:pt idx="62">
                  <c:v>441</c:v>
                </c:pt>
                <c:pt idx="63">
                  <c:v>384</c:v>
                </c:pt>
                <c:pt idx="64">
                  <c:v>384</c:v>
                </c:pt>
                <c:pt idx="65">
                  <c:v>406</c:v>
                </c:pt>
                <c:pt idx="66">
                  <c:v>406</c:v>
                </c:pt>
                <c:pt idx="67">
                  <c:v>437</c:v>
                </c:pt>
                <c:pt idx="68">
                  <c:v>437</c:v>
                </c:pt>
                <c:pt idx="69">
                  <c:v>369</c:v>
                </c:pt>
                <c:pt idx="70">
                  <c:v>369</c:v>
                </c:pt>
                <c:pt idx="71">
                  <c:v>395</c:v>
                </c:pt>
                <c:pt idx="72">
                  <c:v>395</c:v>
                </c:pt>
                <c:pt idx="73">
                  <c:v>350</c:v>
                </c:pt>
                <c:pt idx="74">
                  <c:v>350</c:v>
                </c:pt>
                <c:pt idx="75">
                  <c:v>311</c:v>
                </c:pt>
                <c:pt idx="76">
                  <c:v>311</c:v>
                </c:pt>
                <c:pt idx="77">
                  <c:v>306</c:v>
                </c:pt>
                <c:pt idx="78">
                  <c:v>306</c:v>
                </c:pt>
                <c:pt idx="79">
                  <c:v>255</c:v>
                </c:pt>
                <c:pt idx="80">
                  <c:v>255</c:v>
                </c:pt>
                <c:pt idx="81">
                  <c:v>247</c:v>
                </c:pt>
                <c:pt idx="82">
                  <c:v>247</c:v>
                </c:pt>
                <c:pt idx="83">
                  <c:v>197</c:v>
                </c:pt>
                <c:pt idx="84">
                  <c:v>197</c:v>
                </c:pt>
                <c:pt idx="85">
                  <c:v>195</c:v>
                </c:pt>
                <c:pt idx="86">
                  <c:v>195</c:v>
                </c:pt>
                <c:pt idx="87">
                  <c:v>162</c:v>
                </c:pt>
                <c:pt idx="88">
                  <c:v>162</c:v>
                </c:pt>
                <c:pt idx="89">
                  <c:v>139</c:v>
                </c:pt>
                <c:pt idx="90">
                  <c:v>139</c:v>
                </c:pt>
                <c:pt idx="91">
                  <c:v>120</c:v>
                </c:pt>
                <c:pt idx="92">
                  <c:v>120</c:v>
                </c:pt>
                <c:pt idx="93">
                  <c:v>123</c:v>
                </c:pt>
                <c:pt idx="94">
                  <c:v>123</c:v>
                </c:pt>
                <c:pt idx="95">
                  <c:v>85</c:v>
                </c:pt>
                <c:pt idx="96">
                  <c:v>85</c:v>
                </c:pt>
                <c:pt idx="97">
                  <c:v>89</c:v>
                </c:pt>
                <c:pt idx="98">
                  <c:v>89</c:v>
                </c:pt>
                <c:pt idx="99">
                  <c:v>72</c:v>
                </c:pt>
                <c:pt idx="100">
                  <c:v>72</c:v>
                </c:pt>
                <c:pt idx="101">
                  <c:v>58</c:v>
                </c:pt>
                <c:pt idx="102">
                  <c:v>58</c:v>
                </c:pt>
                <c:pt idx="103">
                  <c:v>57</c:v>
                </c:pt>
                <c:pt idx="104">
                  <c:v>57</c:v>
                </c:pt>
                <c:pt idx="105">
                  <c:v>40</c:v>
                </c:pt>
                <c:pt idx="106">
                  <c:v>40</c:v>
                </c:pt>
                <c:pt idx="107">
                  <c:v>36</c:v>
                </c:pt>
                <c:pt idx="108">
                  <c:v>36</c:v>
                </c:pt>
                <c:pt idx="109">
                  <c:v>33</c:v>
                </c:pt>
                <c:pt idx="110">
                  <c:v>33</c:v>
                </c:pt>
                <c:pt idx="111">
                  <c:v>29</c:v>
                </c:pt>
                <c:pt idx="112">
                  <c:v>29</c:v>
                </c:pt>
                <c:pt idx="113">
                  <c:v>23</c:v>
                </c:pt>
                <c:pt idx="114">
                  <c:v>23</c:v>
                </c:pt>
                <c:pt idx="115">
                  <c:v>18</c:v>
                </c:pt>
                <c:pt idx="116">
                  <c:v>18</c:v>
                </c:pt>
                <c:pt idx="117">
                  <c:v>18</c:v>
                </c:pt>
                <c:pt idx="118">
                  <c:v>18</c:v>
                </c:pt>
                <c:pt idx="119">
                  <c:v>9</c:v>
                </c:pt>
                <c:pt idx="120">
                  <c:v>9</c:v>
                </c:pt>
                <c:pt idx="121">
                  <c:v>12</c:v>
                </c:pt>
                <c:pt idx="122">
                  <c:v>12</c:v>
                </c:pt>
                <c:pt idx="123">
                  <c:v>5</c:v>
                </c:pt>
                <c:pt idx="124">
                  <c:v>5</c:v>
                </c:pt>
                <c:pt idx="125">
                  <c:v>5</c:v>
                </c:pt>
                <c:pt idx="126">
                  <c:v>5</c:v>
                </c:pt>
                <c:pt idx="127">
                  <c:v>7</c:v>
                </c:pt>
                <c:pt idx="128">
                  <c:v>7</c:v>
                </c:pt>
                <c:pt idx="129">
                  <c:v>2</c:v>
                </c:pt>
                <c:pt idx="130">
                  <c:v>2</c:v>
                </c:pt>
                <c:pt idx="131">
                  <c:v>3</c:v>
                </c:pt>
                <c:pt idx="132">
                  <c:v>3</c:v>
                </c:pt>
                <c:pt idx="133">
                  <c:v>1</c:v>
                </c:pt>
                <c:pt idx="134">
                  <c:v>1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1</c:v>
                </c:pt>
                <c:pt idx="152">
                  <c:v>1</c:v>
                </c:pt>
                <c:pt idx="153">
                  <c:v>0</c:v>
                </c:pt>
                <c:pt idx="154">
                  <c:v>0</c:v>
                </c:pt>
                <c:pt idx="155">
                  <c:v>1</c:v>
                </c:pt>
                <c:pt idx="156">
                  <c:v>1</c:v>
                </c:pt>
                <c:pt idx="15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33-47F0-AF69-721A3D2BFD92}"/>
            </c:ext>
          </c:extLst>
        </c:ser>
        <c:ser>
          <c:idx val="1"/>
          <c:order val="1"/>
          <c:tx>
            <c:strRef>
              <c:f>'Terrestrial 100 yrs'!$AM$1</c:f>
              <c:strCache>
                <c:ptCount val="1"/>
                <c:pt idx="0">
                  <c:v>MCMC Madness'!$CW$51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'Terrestrial 100 yrs'!$AK$2:$AK$159</c:f>
              <c:numCache>
                <c:formatCode>General</c:formatCode>
                <c:ptCount val="158"/>
                <c:pt idx="0">
                  <c:v>450</c:v>
                </c:pt>
                <c:pt idx="1">
                  <c:v>450</c:v>
                </c:pt>
                <c:pt idx="2">
                  <c:v>475</c:v>
                </c:pt>
                <c:pt idx="3">
                  <c:v>475</c:v>
                </c:pt>
                <c:pt idx="4">
                  <c:v>500</c:v>
                </c:pt>
                <c:pt idx="5">
                  <c:v>500</c:v>
                </c:pt>
                <c:pt idx="6">
                  <c:v>525</c:v>
                </c:pt>
                <c:pt idx="7">
                  <c:v>525</c:v>
                </c:pt>
                <c:pt idx="8">
                  <c:v>550</c:v>
                </c:pt>
                <c:pt idx="9">
                  <c:v>550</c:v>
                </c:pt>
                <c:pt idx="10">
                  <c:v>575</c:v>
                </c:pt>
                <c:pt idx="11">
                  <c:v>575</c:v>
                </c:pt>
                <c:pt idx="12">
                  <c:v>600</c:v>
                </c:pt>
                <c:pt idx="13">
                  <c:v>600</c:v>
                </c:pt>
                <c:pt idx="14">
                  <c:v>625</c:v>
                </c:pt>
                <c:pt idx="15">
                  <c:v>625</c:v>
                </c:pt>
                <c:pt idx="16">
                  <c:v>650</c:v>
                </c:pt>
                <c:pt idx="17">
                  <c:v>650</c:v>
                </c:pt>
                <c:pt idx="18">
                  <c:v>675</c:v>
                </c:pt>
                <c:pt idx="19">
                  <c:v>675</c:v>
                </c:pt>
                <c:pt idx="20">
                  <c:v>700</c:v>
                </c:pt>
                <c:pt idx="21">
                  <c:v>700</c:v>
                </c:pt>
                <c:pt idx="22">
                  <c:v>725</c:v>
                </c:pt>
                <c:pt idx="23">
                  <c:v>725</c:v>
                </c:pt>
                <c:pt idx="24">
                  <c:v>750</c:v>
                </c:pt>
                <c:pt idx="25">
                  <c:v>750</c:v>
                </c:pt>
                <c:pt idx="26">
                  <c:v>775</c:v>
                </c:pt>
                <c:pt idx="27">
                  <c:v>775</c:v>
                </c:pt>
                <c:pt idx="28">
                  <c:v>800</c:v>
                </c:pt>
                <c:pt idx="29">
                  <c:v>800</c:v>
                </c:pt>
                <c:pt idx="30">
                  <c:v>825</c:v>
                </c:pt>
                <c:pt idx="31">
                  <c:v>825</c:v>
                </c:pt>
                <c:pt idx="32">
                  <c:v>850</c:v>
                </c:pt>
                <c:pt idx="33">
                  <c:v>850</c:v>
                </c:pt>
                <c:pt idx="34">
                  <c:v>875</c:v>
                </c:pt>
                <c:pt idx="35">
                  <c:v>875</c:v>
                </c:pt>
                <c:pt idx="36">
                  <c:v>900</c:v>
                </c:pt>
                <c:pt idx="37">
                  <c:v>900</c:v>
                </c:pt>
                <c:pt idx="38">
                  <c:v>925</c:v>
                </c:pt>
                <c:pt idx="39">
                  <c:v>925</c:v>
                </c:pt>
                <c:pt idx="40">
                  <c:v>950</c:v>
                </c:pt>
                <c:pt idx="41">
                  <c:v>950</c:v>
                </c:pt>
                <c:pt idx="42">
                  <c:v>975</c:v>
                </c:pt>
                <c:pt idx="43">
                  <c:v>975</c:v>
                </c:pt>
                <c:pt idx="44">
                  <c:v>1000</c:v>
                </c:pt>
                <c:pt idx="45">
                  <c:v>1000</c:v>
                </c:pt>
                <c:pt idx="46">
                  <c:v>1025</c:v>
                </c:pt>
                <c:pt idx="47">
                  <c:v>1025</c:v>
                </c:pt>
                <c:pt idx="48">
                  <c:v>1050</c:v>
                </c:pt>
                <c:pt idx="49">
                  <c:v>1050</c:v>
                </c:pt>
                <c:pt idx="50">
                  <c:v>1075</c:v>
                </c:pt>
                <c:pt idx="51">
                  <c:v>1075</c:v>
                </c:pt>
                <c:pt idx="52">
                  <c:v>1100</c:v>
                </c:pt>
                <c:pt idx="53">
                  <c:v>1100</c:v>
                </c:pt>
                <c:pt idx="54">
                  <c:v>1125</c:v>
                </c:pt>
                <c:pt idx="55">
                  <c:v>1125</c:v>
                </c:pt>
                <c:pt idx="56">
                  <c:v>1150</c:v>
                </c:pt>
                <c:pt idx="57">
                  <c:v>1150</c:v>
                </c:pt>
                <c:pt idx="58">
                  <c:v>1175</c:v>
                </c:pt>
                <c:pt idx="59">
                  <c:v>1175</c:v>
                </c:pt>
                <c:pt idx="60">
                  <c:v>1200</c:v>
                </c:pt>
                <c:pt idx="61">
                  <c:v>1200</c:v>
                </c:pt>
                <c:pt idx="62">
                  <c:v>1225</c:v>
                </c:pt>
                <c:pt idx="63">
                  <c:v>1225</c:v>
                </c:pt>
                <c:pt idx="64">
                  <c:v>1250</c:v>
                </c:pt>
                <c:pt idx="65">
                  <c:v>1250</c:v>
                </c:pt>
                <c:pt idx="66">
                  <c:v>1275</c:v>
                </c:pt>
                <c:pt idx="67">
                  <c:v>1275</c:v>
                </c:pt>
                <c:pt idx="68">
                  <c:v>1300</c:v>
                </c:pt>
                <c:pt idx="69">
                  <c:v>1300</c:v>
                </c:pt>
                <c:pt idx="70">
                  <c:v>1325</c:v>
                </c:pt>
                <c:pt idx="71">
                  <c:v>1325</c:v>
                </c:pt>
                <c:pt idx="72">
                  <c:v>1350</c:v>
                </c:pt>
                <c:pt idx="73">
                  <c:v>1350</c:v>
                </c:pt>
                <c:pt idx="74">
                  <c:v>1375</c:v>
                </c:pt>
                <c:pt idx="75">
                  <c:v>1375</c:v>
                </c:pt>
                <c:pt idx="76">
                  <c:v>1400</c:v>
                </c:pt>
                <c:pt idx="77">
                  <c:v>1400</c:v>
                </c:pt>
                <c:pt idx="78">
                  <c:v>1425</c:v>
                </c:pt>
                <c:pt idx="79">
                  <c:v>1425</c:v>
                </c:pt>
                <c:pt idx="80">
                  <c:v>1450</c:v>
                </c:pt>
                <c:pt idx="81">
                  <c:v>1450</c:v>
                </c:pt>
                <c:pt idx="82">
                  <c:v>1475</c:v>
                </c:pt>
                <c:pt idx="83">
                  <c:v>1475</c:v>
                </c:pt>
                <c:pt idx="84">
                  <c:v>1500</c:v>
                </c:pt>
                <c:pt idx="85">
                  <c:v>1500</c:v>
                </c:pt>
                <c:pt idx="86">
                  <c:v>1525</c:v>
                </c:pt>
                <c:pt idx="87">
                  <c:v>1525</c:v>
                </c:pt>
                <c:pt idx="88">
                  <c:v>1550</c:v>
                </c:pt>
                <c:pt idx="89">
                  <c:v>1550</c:v>
                </c:pt>
                <c:pt idx="90">
                  <c:v>1575</c:v>
                </c:pt>
                <c:pt idx="91">
                  <c:v>1575</c:v>
                </c:pt>
                <c:pt idx="92">
                  <c:v>1600</c:v>
                </c:pt>
                <c:pt idx="93">
                  <c:v>1600</c:v>
                </c:pt>
                <c:pt idx="94">
                  <c:v>1625</c:v>
                </c:pt>
                <c:pt idx="95">
                  <c:v>1625</c:v>
                </c:pt>
                <c:pt idx="96">
                  <c:v>1650</c:v>
                </c:pt>
                <c:pt idx="97">
                  <c:v>1650</c:v>
                </c:pt>
                <c:pt idx="98">
                  <c:v>1675</c:v>
                </c:pt>
                <c:pt idx="99">
                  <c:v>1675</c:v>
                </c:pt>
                <c:pt idx="100">
                  <c:v>1700</c:v>
                </c:pt>
                <c:pt idx="101">
                  <c:v>1700</c:v>
                </c:pt>
                <c:pt idx="102">
                  <c:v>1725</c:v>
                </c:pt>
                <c:pt idx="103">
                  <c:v>1725</c:v>
                </c:pt>
                <c:pt idx="104">
                  <c:v>1750</c:v>
                </c:pt>
                <c:pt idx="105">
                  <c:v>1750</c:v>
                </c:pt>
                <c:pt idx="106">
                  <c:v>1775</c:v>
                </c:pt>
                <c:pt idx="107">
                  <c:v>1775</c:v>
                </c:pt>
                <c:pt idx="108">
                  <c:v>1800</c:v>
                </c:pt>
                <c:pt idx="109">
                  <c:v>1800</c:v>
                </c:pt>
                <c:pt idx="110">
                  <c:v>1825</c:v>
                </c:pt>
                <c:pt idx="111">
                  <c:v>1825</c:v>
                </c:pt>
                <c:pt idx="112">
                  <c:v>1850</c:v>
                </c:pt>
                <c:pt idx="113">
                  <c:v>1850</c:v>
                </c:pt>
                <c:pt idx="114">
                  <c:v>1875</c:v>
                </c:pt>
                <c:pt idx="115">
                  <c:v>1875</c:v>
                </c:pt>
                <c:pt idx="116">
                  <c:v>1900</c:v>
                </c:pt>
                <c:pt idx="117">
                  <c:v>1900</c:v>
                </c:pt>
                <c:pt idx="118">
                  <c:v>1925</c:v>
                </c:pt>
                <c:pt idx="119">
                  <c:v>1925</c:v>
                </c:pt>
                <c:pt idx="120">
                  <c:v>1950</c:v>
                </c:pt>
                <c:pt idx="121">
                  <c:v>1950</c:v>
                </c:pt>
                <c:pt idx="122">
                  <c:v>1975</c:v>
                </c:pt>
                <c:pt idx="123">
                  <c:v>1975</c:v>
                </c:pt>
                <c:pt idx="124">
                  <c:v>2000</c:v>
                </c:pt>
                <c:pt idx="125">
                  <c:v>2000</c:v>
                </c:pt>
                <c:pt idx="126">
                  <c:v>2025</c:v>
                </c:pt>
                <c:pt idx="127">
                  <c:v>2025</c:v>
                </c:pt>
                <c:pt idx="128">
                  <c:v>2050</c:v>
                </c:pt>
                <c:pt idx="129">
                  <c:v>2050</c:v>
                </c:pt>
                <c:pt idx="130">
                  <c:v>2075</c:v>
                </c:pt>
                <c:pt idx="131">
                  <c:v>2075</c:v>
                </c:pt>
                <c:pt idx="132">
                  <c:v>2100</c:v>
                </c:pt>
                <c:pt idx="133">
                  <c:v>2100</c:v>
                </c:pt>
                <c:pt idx="134">
                  <c:v>2125</c:v>
                </c:pt>
                <c:pt idx="135">
                  <c:v>2125</c:v>
                </c:pt>
                <c:pt idx="136">
                  <c:v>2150</c:v>
                </c:pt>
                <c:pt idx="137">
                  <c:v>2150</c:v>
                </c:pt>
                <c:pt idx="138">
                  <c:v>2175</c:v>
                </c:pt>
                <c:pt idx="139">
                  <c:v>2175</c:v>
                </c:pt>
                <c:pt idx="140">
                  <c:v>2200</c:v>
                </c:pt>
                <c:pt idx="141">
                  <c:v>2200</c:v>
                </c:pt>
                <c:pt idx="142">
                  <c:v>2225</c:v>
                </c:pt>
                <c:pt idx="143">
                  <c:v>2225</c:v>
                </c:pt>
                <c:pt idx="144">
                  <c:v>2250</c:v>
                </c:pt>
                <c:pt idx="145">
                  <c:v>2250</c:v>
                </c:pt>
                <c:pt idx="146">
                  <c:v>2275</c:v>
                </c:pt>
                <c:pt idx="147">
                  <c:v>2275</c:v>
                </c:pt>
                <c:pt idx="148">
                  <c:v>2300</c:v>
                </c:pt>
                <c:pt idx="149">
                  <c:v>2300</c:v>
                </c:pt>
                <c:pt idx="150">
                  <c:v>2325</c:v>
                </c:pt>
                <c:pt idx="151">
                  <c:v>2325</c:v>
                </c:pt>
                <c:pt idx="152">
                  <c:v>2350</c:v>
                </c:pt>
                <c:pt idx="153">
                  <c:v>2350</c:v>
                </c:pt>
                <c:pt idx="154">
                  <c:v>2375</c:v>
                </c:pt>
                <c:pt idx="155">
                  <c:v>2375</c:v>
                </c:pt>
                <c:pt idx="156">
                  <c:v>2400</c:v>
                </c:pt>
                <c:pt idx="157">
                  <c:v>2400</c:v>
                </c:pt>
              </c:numCache>
            </c:numRef>
          </c:xVal>
          <c:yVal>
            <c:numRef>
              <c:f>'Terrestrial 100 yrs'!$AM$2:$AM$159</c:f>
              <c:numCache>
                <c:formatCode>General</c:formatCode>
                <c:ptCount val="158"/>
                <c:pt idx="0">
                  <c:v>0</c:v>
                </c:pt>
                <c:pt idx="1">
                  <c:v>4</c:v>
                </c:pt>
                <c:pt idx="2">
                  <c:v>4</c:v>
                </c:pt>
                <c:pt idx="3">
                  <c:v>9</c:v>
                </c:pt>
                <c:pt idx="4">
                  <c:v>9</c:v>
                </c:pt>
                <c:pt idx="5">
                  <c:v>16</c:v>
                </c:pt>
                <c:pt idx="6">
                  <c:v>16</c:v>
                </c:pt>
                <c:pt idx="7">
                  <c:v>27</c:v>
                </c:pt>
                <c:pt idx="8">
                  <c:v>27</c:v>
                </c:pt>
                <c:pt idx="9">
                  <c:v>75</c:v>
                </c:pt>
                <c:pt idx="10">
                  <c:v>75</c:v>
                </c:pt>
                <c:pt idx="11">
                  <c:v>115</c:v>
                </c:pt>
                <c:pt idx="12">
                  <c:v>115</c:v>
                </c:pt>
                <c:pt idx="13">
                  <c:v>194</c:v>
                </c:pt>
                <c:pt idx="14">
                  <c:v>194</c:v>
                </c:pt>
                <c:pt idx="15">
                  <c:v>280</c:v>
                </c:pt>
                <c:pt idx="16">
                  <c:v>280</c:v>
                </c:pt>
                <c:pt idx="17">
                  <c:v>364</c:v>
                </c:pt>
                <c:pt idx="18">
                  <c:v>364</c:v>
                </c:pt>
                <c:pt idx="19">
                  <c:v>478</c:v>
                </c:pt>
                <c:pt idx="20">
                  <c:v>478</c:v>
                </c:pt>
                <c:pt idx="21">
                  <c:v>519</c:v>
                </c:pt>
                <c:pt idx="22">
                  <c:v>519</c:v>
                </c:pt>
                <c:pt idx="23">
                  <c:v>621</c:v>
                </c:pt>
                <c:pt idx="24">
                  <c:v>621</c:v>
                </c:pt>
                <c:pt idx="25">
                  <c:v>666</c:v>
                </c:pt>
                <c:pt idx="26">
                  <c:v>666</c:v>
                </c:pt>
                <c:pt idx="27">
                  <c:v>714</c:v>
                </c:pt>
                <c:pt idx="28">
                  <c:v>714</c:v>
                </c:pt>
                <c:pt idx="29">
                  <c:v>755</c:v>
                </c:pt>
                <c:pt idx="30">
                  <c:v>755</c:v>
                </c:pt>
                <c:pt idx="31">
                  <c:v>711</c:v>
                </c:pt>
                <c:pt idx="32">
                  <c:v>711</c:v>
                </c:pt>
                <c:pt idx="33">
                  <c:v>702</c:v>
                </c:pt>
                <c:pt idx="34">
                  <c:v>702</c:v>
                </c:pt>
                <c:pt idx="35">
                  <c:v>631</c:v>
                </c:pt>
                <c:pt idx="36">
                  <c:v>631</c:v>
                </c:pt>
                <c:pt idx="37">
                  <c:v>566</c:v>
                </c:pt>
                <c:pt idx="38">
                  <c:v>566</c:v>
                </c:pt>
                <c:pt idx="39">
                  <c:v>497</c:v>
                </c:pt>
                <c:pt idx="40">
                  <c:v>497</c:v>
                </c:pt>
                <c:pt idx="41">
                  <c:v>412</c:v>
                </c:pt>
                <c:pt idx="42">
                  <c:v>412</c:v>
                </c:pt>
                <c:pt idx="43">
                  <c:v>348</c:v>
                </c:pt>
                <c:pt idx="44">
                  <c:v>348</c:v>
                </c:pt>
                <c:pt idx="45">
                  <c:v>289</c:v>
                </c:pt>
                <c:pt idx="46">
                  <c:v>289</c:v>
                </c:pt>
                <c:pt idx="47">
                  <c:v>243</c:v>
                </c:pt>
                <c:pt idx="48">
                  <c:v>243</c:v>
                </c:pt>
                <c:pt idx="49">
                  <c:v>192</c:v>
                </c:pt>
                <c:pt idx="50">
                  <c:v>192</c:v>
                </c:pt>
                <c:pt idx="51">
                  <c:v>146</c:v>
                </c:pt>
                <c:pt idx="52">
                  <c:v>146</c:v>
                </c:pt>
                <c:pt idx="53">
                  <c:v>120</c:v>
                </c:pt>
                <c:pt idx="54">
                  <c:v>120</c:v>
                </c:pt>
                <c:pt idx="55">
                  <c:v>74</c:v>
                </c:pt>
                <c:pt idx="56">
                  <c:v>74</c:v>
                </c:pt>
                <c:pt idx="57">
                  <c:v>61</c:v>
                </c:pt>
                <c:pt idx="58">
                  <c:v>61</c:v>
                </c:pt>
                <c:pt idx="59">
                  <c:v>50</c:v>
                </c:pt>
                <c:pt idx="60">
                  <c:v>50</c:v>
                </c:pt>
                <c:pt idx="61">
                  <c:v>39</c:v>
                </c:pt>
                <c:pt idx="62">
                  <c:v>39</c:v>
                </c:pt>
                <c:pt idx="63">
                  <c:v>26</c:v>
                </c:pt>
                <c:pt idx="64">
                  <c:v>26</c:v>
                </c:pt>
                <c:pt idx="65">
                  <c:v>18</c:v>
                </c:pt>
                <c:pt idx="66">
                  <c:v>18</c:v>
                </c:pt>
                <c:pt idx="67">
                  <c:v>9</c:v>
                </c:pt>
                <c:pt idx="68">
                  <c:v>9</c:v>
                </c:pt>
                <c:pt idx="69">
                  <c:v>11</c:v>
                </c:pt>
                <c:pt idx="70">
                  <c:v>11</c:v>
                </c:pt>
                <c:pt idx="71">
                  <c:v>8</c:v>
                </c:pt>
                <c:pt idx="72">
                  <c:v>8</c:v>
                </c:pt>
                <c:pt idx="73">
                  <c:v>6</c:v>
                </c:pt>
                <c:pt idx="74">
                  <c:v>6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233-47F0-AF69-721A3D2BFD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6055904"/>
        <c:axId val="706056464"/>
      </c:scatterChart>
      <c:valAx>
        <c:axId val="706055904"/>
        <c:scaling>
          <c:orientation val="minMax"/>
          <c:max val="2400"/>
          <c:min val="450"/>
        </c:scaling>
        <c:delete val="0"/>
        <c:axPos val="b"/>
        <c:numFmt formatCode="General" sourceLinked="1"/>
        <c:majorTickMark val="out"/>
        <c:minorTickMark val="none"/>
        <c:tickLblPos val="nextTo"/>
        <c:crossAx val="706056464"/>
        <c:crosses val="autoZero"/>
        <c:crossBetween val="midCat"/>
      </c:valAx>
      <c:valAx>
        <c:axId val="7060564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one"/>
        <c:spPr>
          <a:ln w="25400">
            <a:noFill/>
          </a:ln>
        </c:spPr>
        <c:crossAx val="706055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'Fossil 100 yrs'!$AL$1</c:f>
              <c:strCache>
                <c:ptCount val="1"/>
                <c:pt idx="0">
                  <c:v>$CW$23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'Fossil 100 yrs'!$AK$2:$AK$819</c:f>
              <c:numCache>
                <c:formatCode>General</c:formatCode>
                <c:ptCount val="818"/>
                <c:pt idx="0">
                  <c:v>130</c:v>
                </c:pt>
                <c:pt idx="1">
                  <c:v>130</c:v>
                </c:pt>
                <c:pt idx="2">
                  <c:v>140</c:v>
                </c:pt>
                <c:pt idx="3">
                  <c:v>140</c:v>
                </c:pt>
                <c:pt idx="4">
                  <c:v>150</c:v>
                </c:pt>
                <c:pt idx="5">
                  <c:v>150</c:v>
                </c:pt>
                <c:pt idx="6">
                  <c:v>160</c:v>
                </c:pt>
                <c:pt idx="7">
                  <c:v>160</c:v>
                </c:pt>
                <c:pt idx="8">
                  <c:v>170</c:v>
                </c:pt>
                <c:pt idx="9">
                  <c:v>170</c:v>
                </c:pt>
                <c:pt idx="10">
                  <c:v>180</c:v>
                </c:pt>
                <c:pt idx="11">
                  <c:v>180</c:v>
                </c:pt>
                <c:pt idx="12">
                  <c:v>190</c:v>
                </c:pt>
                <c:pt idx="13">
                  <c:v>190</c:v>
                </c:pt>
                <c:pt idx="14">
                  <c:v>200</c:v>
                </c:pt>
                <c:pt idx="15">
                  <c:v>200</c:v>
                </c:pt>
                <c:pt idx="16">
                  <c:v>210</c:v>
                </c:pt>
                <c:pt idx="17">
                  <c:v>210</c:v>
                </c:pt>
                <c:pt idx="18">
                  <c:v>220</c:v>
                </c:pt>
                <c:pt idx="19">
                  <c:v>220</c:v>
                </c:pt>
                <c:pt idx="20">
                  <c:v>230</c:v>
                </c:pt>
                <c:pt idx="21">
                  <c:v>230</c:v>
                </c:pt>
                <c:pt idx="22">
                  <c:v>240</c:v>
                </c:pt>
                <c:pt idx="23">
                  <c:v>240</c:v>
                </c:pt>
                <c:pt idx="24">
                  <c:v>250</c:v>
                </c:pt>
                <c:pt idx="25">
                  <c:v>250</c:v>
                </c:pt>
                <c:pt idx="26">
                  <c:v>260</c:v>
                </c:pt>
                <c:pt idx="27">
                  <c:v>260</c:v>
                </c:pt>
                <c:pt idx="28">
                  <c:v>270</c:v>
                </c:pt>
                <c:pt idx="29">
                  <c:v>270</c:v>
                </c:pt>
                <c:pt idx="30">
                  <c:v>280</c:v>
                </c:pt>
                <c:pt idx="31">
                  <c:v>280</c:v>
                </c:pt>
                <c:pt idx="32">
                  <c:v>290</c:v>
                </c:pt>
                <c:pt idx="33">
                  <c:v>290</c:v>
                </c:pt>
                <c:pt idx="34">
                  <c:v>300</c:v>
                </c:pt>
                <c:pt idx="35">
                  <c:v>300</c:v>
                </c:pt>
                <c:pt idx="36">
                  <c:v>310</c:v>
                </c:pt>
                <c:pt idx="37">
                  <c:v>310</c:v>
                </c:pt>
                <c:pt idx="38">
                  <c:v>320</c:v>
                </c:pt>
                <c:pt idx="39">
                  <c:v>320</c:v>
                </c:pt>
                <c:pt idx="40">
                  <c:v>330</c:v>
                </c:pt>
                <c:pt idx="41">
                  <c:v>330</c:v>
                </c:pt>
                <c:pt idx="42">
                  <c:v>340</c:v>
                </c:pt>
                <c:pt idx="43">
                  <c:v>340</c:v>
                </c:pt>
                <c:pt idx="44">
                  <c:v>350</c:v>
                </c:pt>
                <c:pt idx="45">
                  <c:v>350</c:v>
                </c:pt>
                <c:pt idx="46">
                  <c:v>360</c:v>
                </c:pt>
                <c:pt idx="47">
                  <c:v>360</c:v>
                </c:pt>
                <c:pt idx="48">
                  <c:v>370</c:v>
                </c:pt>
                <c:pt idx="49">
                  <c:v>370</c:v>
                </c:pt>
                <c:pt idx="50">
                  <c:v>380</c:v>
                </c:pt>
                <c:pt idx="51">
                  <c:v>380</c:v>
                </c:pt>
                <c:pt idx="52">
                  <c:v>390</c:v>
                </c:pt>
                <c:pt idx="53">
                  <c:v>390</c:v>
                </c:pt>
                <c:pt idx="54">
                  <c:v>400</c:v>
                </c:pt>
                <c:pt idx="55">
                  <c:v>400</c:v>
                </c:pt>
                <c:pt idx="56">
                  <c:v>410</c:v>
                </c:pt>
                <c:pt idx="57">
                  <c:v>410</c:v>
                </c:pt>
                <c:pt idx="58">
                  <c:v>420</c:v>
                </c:pt>
                <c:pt idx="59">
                  <c:v>420</c:v>
                </c:pt>
                <c:pt idx="60">
                  <c:v>430</c:v>
                </c:pt>
                <c:pt idx="61">
                  <c:v>430</c:v>
                </c:pt>
                <c:pt idx="62">
                  <c:v>440</c:v>
                </c:pt>
                <c:pt idx="63">
                  <c:v>440</c:v>
                </c:pt>
                <c:pt idx="64">
                  <c:v>450</c:v>
                </c:pt>
                <c:pt idx="65">
                  <c:v>450</c:v>
                </c:pt>
                <c:pt idx="66">
                  <c:v>460</c:v>
                </c:pt>
                <c:pt idx="67">
                  <c:v>460</c:v>
                </c:pt>
                <c:pt idx="68">
                  <c:v>470</c:v>
                </c:pt>
                <c:pt idx="69">
                  <c:v>470</c:v>
                </c:pt>
                <c:pt idx="70">
                  <c:v>480</c:v>
                </c:pt>
                <c:pt idx="71">
                  <c:v>480</c:v>
                </c:pt>
                <c:pt idx="72">
                  <c:v>490</c:v>
                </c:pt>
                <c:pt idx="73">
                  <c:v>490</c:v>
                </c:pt>
                <c:pt idx="74">
                  <c:v>500</c:v>
                </c:pt>
                <c:pt idx="75">
                  <c:v>500</c:v>
                </c:pt>
                <c:pt idx="76">
                  <c:v>510</c:v>
                </c:pt>
                <c:pt idx="77">
                  <c:v>510</c:v>
                </c:pt>
                <c:pt idx="78">
                  <c:v>520</c:v>
                </c:pt>
                <c:pt idx="79">
                  <c:v>520</c:v>
                </c:pt>
                <c:pt idx="80">
                  <c:v>530</c:v>
                </c:pt>
                <c:pt idx="81">
                  <c:v>530</c:v>
                </c:pt>
                <c:pt idx="82">
                  <c:v>540</c:v>
                </c:pt>
                <c:pt idx="83">
                  <c:v>540</c:v>
                </c:pt>
                <c:pt idx="84">
                  <c:v>550</c:v>
                </c:pt>
                <c:pt idx="85">
                  <c:v>550</c:v>
                </c:pt>
                <c:pt idx="86">
                  <c:v>560</c:v>
                </c:pt>
                <c:pt idx="87">
                  <c:v>560</c:v>
                </c:pt>
                <c:pt idx="88">
                  <c:v>570</c:v>
                </c:pt>
                <c:pt idx="89">
                  <c:v>570</c:v>
                </c:pt>
                <c:pt idx="90">
                  <c:v>580</c:v>
                </c:pt>
                <c:pt idx="91">
                  <c:v>580</c:v>
                </c:pt>
                <c:pt idx="92">
                  <c:v>590</c:v>
                </c:pt>
                <c:pt idx="93">
                  <c:v>590</c:v>
                </c:pt>
                <c:pt idx="94">
                  <c:v>600</c:v>
                </c:pt>
                <c:pt idx="95">
                  <c:v>600</c:v>
                </c:pt>
                <c:pt idx="96">
                  <c:v>610</c:v>
                </c:pt>
                <c:pt idx="97">
                  <c:v>610</c:v>
                </c:pt>
                <c:pt idx="98">
                  <c:v>620</c:v>
                </c:pt>
                <c:pt idx="99">
                  <c:v>620</c:v>
                </c:pt>
                <c:pt idx="100">
                  <c:v>630</c:v>
                </c:pt>
                <c:pt idx="101">
                  <c:v>630</c:v>
                </c:pt>
                <c:pt idx="102">
                  <c:v>640</c:v>
                </c:pt>
                <c:pt idx="103">
                  <c:v>640</c:v>
                </c:pt>
                <c:pt idx="104">
                  <c:v>650</c:v>
                </c:pt>
                <c:pt idx="105">
                  <c:v>650</c:v>
                </c:pt>
                <c:pt idx="106">
                  <c:v>660</c:v>
                </c:pt>
                <c:pt idx="107">
                  <c:v>660</c:v>
                </c:pt>
                <c:pt idx="108">
                  <c:v>670</c:v>
                </c:pt>
                <c:pt idx="109">
                  <c:v>670</c:v>
                </c:pt>
                <c:pt idx="110">
                  <c:v>680</c:v>
                </c:pt>
                <c:pt idx="111">
                  <c:v>680</c:v>
                </c:pt>
                <c:pt idx="112">
                  <c:v>690</c:v>
                </c:pt>
                <c:pt idx="113">
                  <c:v>690</c:v>
                </c:pt>
                <c:pt idx="114">
                  <c:v>700</c:v>
                </c:pt>
                <c:pt idx="115">
                  <c:v>700</c:v>
                </c:pt>
                <c:pt idx="116">
                  <c:v>710</c:v>
                </c:pt>
                <c:pt idx="117">
                  <c:v>710</c:v>
                </c:pt>
                <c:pt idx="118">
                  <c:v>720</c:v>
                </c:pt>
                <c:pt idx="119">
                  <c:v>720</c:v>
                </c:pt>
                <c:pt idx="120">
                  <c:v>730</c:v>
                </c:pt>
                <c:pt idx="121">
                  <c:v>730</c:v>
                </c:pt>
                <c:pt idx="122">
                  <c:v>740</c:v>
                </c:pt>
                <c:pt idx="123">
                  <c:v>740</c:v>
                </c:pt>
                <c:pt idx="124">
                  <c:v>750</c:v>
                </c:pt>
                <c:pt idx="125">
                  <c:v>750</c:v>
                </c:pt>
                <c:pt idx="126">
                  <c:v>760</c:v>
                </c:pt>
                <c:pt idx="127">
                  <c:v>760</c:v>
                </c:pt>
                <c:pt idx="128">
                  <c:v>770</c:v>
                </c:pt>
                <c:pt idx="129">
                  <c:v>770</c:v>
                </c:pt>
                <c:pt idx="130">
                  <c:v>780</c:v>
                </c:pt>
                <c:pt idx="131">
                  <c:v>780</c:v>
                </c:pt>
                <c:pt idx="132">
                  <c:v>790</c:v>
                </c:pt>
                <c:pt idx="133">
                  <c:v>790</c:v>
                </c:pt>
                <c:pt idx="134">
                  <c:v>800</c:v>
                </c:pt>
                <c:pt idx="135">
                  <c:v>800</c:v>
                </c:pt>
                <c:pt idx="136">
                  <c:v>810</c:v>
                </c:pt>
                <c:pt idx="137">
                  <c:v>810</c:v>
                </c:pt>
                <c:pt idx="138">
                  <c:v>820</c:v>
                </c:pt>
                <c:pt idx="139">
                  <c:v>820</c:v>
                </c:pt>
                <c:pt idx="140">
                  <c:v>830</c:v>
                </c:pt>
                <c:pt idx="141">
                  <c:v>830</c:v>
                </c:pt>
                <c:pt idx="142">
                  <c:v>840</c:v>
                </c:pt>
                <c:pt idx="143">
                  <c:v>840</c:v>
                </c:pt>
                <c:pt idx="144">
                  <c:v>850</c:v>
                </c:pt>
                <c:pt idx="145">
                  <c:v>850</c:v>
                </c:pt>
                <c:pt idx="146">
                  <c:v>860</c:v>
                </c:pt>
                <c:pt idx="147">
                  <c:v>860</c:v>
                </c:pt>
                <c:pt idx="148">
                  <c:v>870</c:v>
                </c:pt>
                <c:pt idx="149">
                  <c:v>870</c:v>
                </c:pt>
                <c:pt idx="150">
                  <c:v>880</c:v>
                </c:pt>
                <c:pt idx="151">
                  <c:v>880</c:v>
                </c:pt>
                <c:pt idx="152">
                  <c:v>890</c:v>
                </c:pt>
                <c:pt idx="153">
                  <c:v>890</c:v>
                </c:pt>
                <c:pt idx="154">
                  <c:v>900</c:v>
                </c:pt>
                <c:pt idx="155">
                  <c:v>900</c:v>
                </c:pt>
                <c:pt idx="156">
                  <c:v>910</c:v>
                </c:pt>
                <c:pt idx="157">
                  <c:v>910</c:v>
                </c:pt>
                <c:pt idx="158">
                  <c:v>920</c:v>
                </c:pt>
                <c:pt idx="159">
                  <c:v>920</c:v>
                </c:pt>
                <c:pt idx="160">
                  <c:v>930</c:v>
                </c:pt>
                <c:pt idx="161">
                  <c:v>930</c:v>
                </c:pt>
                <c:pt idx="162">
                  <c:v>940</c:v>
                </c:pt>
                <c:pt idx="163">
                  <c:v>940</c:v>
                </c:pt>
                <c:pt idx="164">
                  <c:v>950</c:v>
                </c:pt>
                <c:pt idx="165">
                  <c:v>950</c:v>
                </c:pt>
                <c:pt idx="166">
                  <c:v>960</c:v>
                </c:pt>
                <c:pt idx="167">
                  <c:v>960</c:v>
                </c:pt>
                <c:pt idx="168">
                  <c:v>970</c:v>
                </c:pt>
                <c:pt idx="169">
                  <c:v>970</c:v>
                </c:pt>
                <c:pt idx="170">
                  <c:v>980</c:v>
                </c:pt>
                <c:pt idx="171">
                  <c:v>980</c:v>
                </c:pt>
                <c:pt idx="172">
                  <c:v>990</c:v>
                </c:pt>
                <c:pt idx="173">
                  <c:v>990</c:v>
                </c:pt>
                <c:pt idx="174">
                  <c:v>1000</c:v>
                </c:pt>
                <c:pt idx="175">
                  <c:v>1000</c:v>
                </c:pt>
                <c:pt idx="176">
                  <c:v>1010</c:v>
                </c:pt>
                <c:pt idx="177">
                  <c:v>1010</c:v>
                </c:pt>
                <c:pt idx="178">
                  <c:v>1020</c:v>
                </c:pt>
                <c:pt idx="179">
                  <c:v>1020</c:v>
                </c:pt>
                <c:pt idx="180">
                  <c:v>1030</c:v>
                </c:pt>
                <c:pt idx="181">
                  <c:v>1030</c:v>
                </c:pt>
                <c:pt idx="182">
                  <c:v>1040</c:v>
                </c:pt>
                <c:pt idx="183">
                  <c:v>1040</c:v>
                </c:pt>
                <c:pt idx="184">
                  <c:v>1050</c:v>
                </c:pt>
                <c:pt idx="185">
                  <c:v>1050</c:v>
                </c:pt>
                <c:pt idx="186">
                  <c:v>1060</c:v>
                </c:pt>
                <c:pt idx="187">
                  <c:v>1060</c:v>
                </c:pt>
                <c:pt idx="188">
                  <c:v>1070</c:v>
                </c:pt>
                <c:pt idx="189">
                  <c:v>1070</c:v>
                </c:pt>
                <c:pt idx="190">
                  <c:v>1080</c:v>
                </c:pt>
                <c:pt idx="191">
                  <c:v>1080</c:v>
                </c:pt>
                <c:pt idx="192">
                  <c:v>1090</c:v>
                </c:pt>
                <c:pt idx="193">
                  <c:v>1090</c:v>
                </c:pt>
                <c:pt idx="194">
                  <c:v>1100</c:v>
                </c:pt>
                <c:pt idx="195">
                  <c:v>1100</c:v>
                </c:pt>
                <c:pt idx="196">
                  <c:v>1110</c:v>
                </c:pt>
                <c:pt idx="197">
                  <c:v>1110</c:v>
                </c:pt>
                <c:pt idx="198">
                  <c:v>1120</c:v>
                </c:pt>
                <c:pt idx="199">
                  <c:v>1120</c:v>
                </c:pt>
                <c:pt idx="200">
                  <c:v>1130</c:v>
                </c:pt>
                <c:pt idx="201">
                  <c:v>1130</c:v>
                </c:pt>
                <c:pt idx="202">
                  <c:v>1140</c:v>
                </c:pt>
                <c:pt idx="203">
                  <c:v>1140</c:v>
                </c:pt>
                <c:pt idx="204">
                  <c:v>1150</c:v>
                </c:pt>
                <c:pt idx="205">
                  <c:v>1150</c:v>
                </c:pt>
                <c:pt idx="206">
                  <c:v>1160</c:v>
                </c:pt>
                <c:pt idx="207">
                  <c:v>1160</c:v>
                </c:pt>
                <c:pt idx="208">
                  <c:v>1170</c:v>
                </c:pt>
                <c:pt idx="209">
                  <c:v>1170</c:v>
                </c:pt>
                <c:pt idx="210">
                  <c:v>1180</c:v>
                </c:pt>
                <c:pt idx="211">
                  <c:v>1180</c:v>
                </c:pt>
                <c:pt idx="212">
                  <c:v>1190</c:v>
                </c:pt>
                <c:pt idx="213">
                  <c:v>1190</c:v>
                </c:pt>
                <c:pt idx="214">
                  <c:v>1200</c:v>
                </c:pt>
                <c:pt idx="215">
                  <c:v>1200</c:v>
                </c:pt>
                <c:pt idx="216">
                  <c:v>1210</c:v>
                </c:pt>
                <c:pt idx="217">
                  <c:v>1210</c:v>
                </c:pt>
                <c:pt idx="218">
                  <c:v>1220</c:v>
                </c:pt>
                <c:pt idx="219">
                  <c:v>1220</c:v>
                </c:pt>
                <c:pt idx="220">
                  <c:v>1230</c:v>
                </c:pt>
                <c:pt idx="221">
                  <c:v>1230</c:v>
                </c:pt>
                <c:pt idx="222">
                  <c:v>1240</c:v>
                </c:pt>
                <c:pt idx="223">
                  <c:v>1240</c:v>
                </c:pt>
                <c:pt idx="224">
                  <c:v>1250</c:v>
                </c:pt>
                <c:pt idx="225">
                  <c:v>1250</c:v>
                </c:pt>
                <c:pt idx="226">
                  <c:v>1260</c:v>
                </c:pt>
                <c:pt idx="227">
                  <c:v>1260</c:v>
                </c:pt>
                <c:pt idx="228">
                  <c:v>1270</c:v>
                </c:pt>
                <c:pt idx="229">
                  <c:v>1270</c:v>
                </c:pt>
                <c:pt idx="230">
                  <c:v>1280</c:v>
                </c:pt>
                <c:pt idx="231">
                  <c:v>1280</c:v>
                </c:pt>
                <c:pt idx="232">
                  <c:v>1290</c:v>
                </c:pt>
                <c:pt idx="233">
                  <c:v>1290</c:v>
                </c:pt>
                <c:pt idx="234">
                  <c:v>1300</c:v>
                </c:pt>
                <c:pt idx="235">
                  <c:v>1300</c:v>
                </c:pt>
                <c:pt idx="236">
                  <c:v>1310</c:v>
                </c:pt>
                <c:pt idx="237">
                  <c:v>1310</c:v>
                </c:pt>
                <c:pt idx="238">
                  <c:v>1320</c:v>
                </c:pt>
                <c:pt idx="239">
                  <c:v>1320</c:v>
                </c:pt>
                <c:pt idx="240">
                  <c:v>1330</c:v>
                </c:pt>
                <c:pt idx="241">
                  <c:v>1330</c:v>
                </c:pt>
                <c:pt idx="242">
                  <c:v>1340</c:v>
                </c:pt>
                <c:pt idx="243">
                  <c:v>1340</c:v>
                </c:pt>
                <c:pt idx="244">
                  <c:v>1350</c:v>
                </c:pt>
                <c:pt idx="245">
                  <c:v>1350</c:v>
                </c:pt>
                <c:pt idx="246">
                  <c:v>1360</c:v>
                </c:pt>
                <c:pt idx="247">
                  <c:v>1360</c:v>
                </c:pt>
                <c:pt idx="248">
                  <c:v>1370</c:v>
                </c:pt>
                <c:pt idx="249">
                  <c:v>1370</c:v>
                </c:pt>
                <c:pt idx="250">
                  <c:v>1380</c:v>
                </c:pt>
                <c:pt idx="251">
                  <c:v>1380</c:v>
                </c:pt>
                <c:pt idx="252">
                  <c:v>1390</c:v>
                </c:pt>
                <c:pt idx="253">
                  <c:v>1390</c:v>
                </c:pt>
                <c:pt idx="254">
                  <c:v>1400</c:v>
                </c:pt>
                <c:pt idx="255">
                  <c:v>1400</c:v>
                </c:pt>
                <c:pt idx="256">
                  <c:v>1410</c:v>
                </c:pt>
                <c:pt idx="257">
                  <c:v>1410</c:v>
                </c:pt>
                <c:pt idx="258">
                  <c:v>1420</c:v>
                </c:pt>
                <c:pt idx="259">
                  <c:v>1420</c:v>
                </c:pt>
                <c:pt idx="260">
                  <c:v>1430</c:v>
                </c:pt>
                <c:pt idx="261">
                  <c:v>1430</c:v>
                </c:pt>
                <c:pt idx="262">
                  <c:v>1440</c:v>
                </c:pt>
                <c:pt idx="263">
                  <c:v>1440</c:v>
                </c:pt>
                <c:pt idx="264">
                  <c:v>1450</c:v>
                </c:pt>
                <c:pt idx="265">
                  <c:v>1450</c:v>
                </c:pt>
                <c:pt idx="266">
                  <c:v>1460</c:v>
                </c:pt>
                <c:pt idx="267">
                  <c:v>1460</c:v>
                </c:pt>
                <c:pt idx="268">
                  <c:v>1470</c:v>
                </c:pt>
                <c:pt idx="269">
                  <c:v>1470</c:v>
                </c:pt>
                <c:pt idx="270">
                  <c:v>1480</c:v>
                </c:pt>
                <c:pt idx="271">
                  <c:v>1480</c:v>
                </c:pt>
                <c:pt idx="272">
                  <c:v>1490</c:v>
                </c:pt>
                <c:pt idx="273">
                  <c:v>1490</c:v>
                </c:pt>
                <c:pt idx="274">
                  <c:v>1500</c:v>
                </c:pt>
                <c:pt idx="275">
                  <c:v>1500</c:v>
                </c:pt>
                <c:pt idx="276">
                  <c:v>1510</c:v>
                </c:pt>
                <c:pt idx="277">
                  <c:v>1510</c:v>
                </c:pt>
                <c:pt idx="278">
                  <c:v>1520</c:v>
                </c:pt>
                <c:pt idx="279">
                  <c:v>1520</c:v>
                </c:pt>
                <c:pt idx="280">
                  <c:v>1530</c:v>
                </c:pt>
                <c:pt idx="281">
                  <c:v>1530</c:v>
                </c:pt>
                <c:pt idx="282">
                  <c:v>1540</c:v>
                </c:pt>
                <c:pt idx="283">
                  <c:v>1540</c:v>
                </c:pt>
                <c:pt idx="284">
                  <c:v>1550</c:v>
                </c:pt>
                <c:pt idx="285">
                  <c:v>1550</c:v>
                </c:pt>
                <c:pt idx="286">
                  <c:v>1560</c:v>
                </c:pt>
                <c:pt idx="287">
                  <c:v>1560</c:v>
                </c:pt>
                <c:pt idx="288">
                  <c:v>1570</c:v>
                </c:pt>
                <c:pt idx="289">
                  <c:v>1570</c:v>
                </c:pt>
                <c:pt idx="290">
                  <c:v>1580</c:v>
                </c:pt>
                <c:pt idx="291">
                  <c:v>1580</c:v>
                </c:pt>
                <c:pt idx="292">
                  <c:v>1590</c:v>
                </c:pt>
                <c:pt idx="293">
                  <c:v>1590</c:v>
                </c:pt>
                <c:pt idx="294">
                  <c:v>1600</c:v>
                </c:pt>
                <c:pt idx="295">
                  <c:v>1600</c:v>
                </c:pt>
                <c:pt idx="296">
                  <c:v>1610</c:v>
                </c:pt>
                <c:pt idx="297">
                  <c:v>1610</c:v>
                </c:pt>
                <c:pt idx="298">
                  <c:v>1620</c:v>
                </c:pt>
                <c:pt idx="299">
                  <c:v>1620</c:v>
                </c:pt>
                <c:pt idx="300">
                  <c:v>1630</c:v>
                </c:pt>
                <c:pt idx="301">
                  <c:v>1630</c:v>
                </c:pt>
                <c:pt idx="302">
                  <c:v>1640</c:v>
                </c:pt>
                <c:pt idx="303">
                  <c:v>1640</c:v>
                </c:pt>
                <c:pt idx="304">
                  <c:v>1650</c:v>
                </c:pt>
                <c:pt idx="305">
                  <c:v>1650</c:v>
                </c:pt>
                <c:pt idx="306">
                  <c:v>1660</c:v>
                </c:pt>
                <c:pt idx="307">
                  <c:v>1660</c:v>
                </c:pt>
                <c:pt idx="308">
                  <c:v>1670</c:v>
                </c:pt>
                <c:pt idx="309">
                  <c:v>1670</c:v>
                </c:pt>
                <c:pt idx="310">
                  <c:v>1680</c:v>
                </c:pt>
                <c:pt idx="311">
                  <c:v>1680</c:v>
                </c:pt>
                <c:pt idx="312">
                  <c:v>1690</c:v>
                </c:pt>
                <c:pt idx="313">
                  <c:v>1690</c:v>
                </c:pt>
                <c:pt idx="314">
                  <c:v>1700</c:v>
                </c:pt>
                <c:pt idx="315">
                  <c:v>1700</c:v>
                </c:pt>
                <c:pt idx="316">
                  <c:v>1710</c:v>
                </c:pt>
                <c:pt idx="317">
                  <c:v>1710</c:v>
                </c:pt>
                <c:pt idx="318">
                  <c:v>1720</c:v>
                </c:pt>
                <c:pt idx="319">
                  <c:v>1720</c:v>
                </c:pt>
                <c:pt idx="320">
                  <c:v>1730</c:v>
                </c:pt>
                <c:pt idx="321">
                  <c:v>1730</c:v>
                </c:pt>
                <c:pt idx="322">
                  <c:v>1740</c:v>
                </c:pt>
                <c:pt idx="323">
                  <c:v>1740</c:v>
                </c:pt>
                <c:pt idx="324">
                  <c:v>1750</c:v>
                </c:pt>
                <c:pt idx="325">
                  <c:v>1750</c:v>
                </c:pt>
                <c:pt idx="326">
                  <c:v>1760</c:v>
                </c:pt>
                <c:pt idx="327">
                  <c:v>1760</c:v>
                </c:pt>
                <c:pt idx="328">
                  <c:v>1770</c:v>
                </c:pt>
                <c:pt idx="329">
                  <c:v>1770</c:v>
                </c:pt>
                <c:pt idx="330">
                  <c:v>1780</c:v>
                </c:pt>
                <c:pt idx="331">
                  <c:v>1780</c:v>
                </c:pt>
                <c:pt idx="332">
                  <c:v>1790</c:v>
                </c:pt>
                <c:pt idx="333">
                  <c:v>1790</c:v>
                </c:pt>
                <c:pt idx="334">
                  <c:v>1800</c:v>
                </c:pt>
                <c:pt idx="335">
                  <c:v>1800</c:v>
                </c:pt>
                <c:pt idx="336">
                  <c:v>1810</c:v>
                </c:pt>
                <c:pt idx="337">
                  <c:v>1810</c:v>
                </c:pt>
                <c:pt idx="338">
                  <c:v>1820</c:v>
                </c:pt>
                <c:pt idx="339">
                  <c:v>1820</c:v>
                </c:pt>
                <c:pt idx="340">
                  <c:v>1830</c:v>
                </c:pt>
                <c:pt idx="341">
                  <c:v>1830</c:v>
                </c:pt>
                <c:pt idx="342">
                  <c:v>1840</c:v>
                </c:pt>
                <c:pt idx="343">
                  <c:v>1840</c:v>
                </c:pt>
                <c:pt idx="344">
                  <c:v>1850</c:v>
                </c:pt>
                <c:pt idx="345">
                  <c:v>1850</c:v>
                </c:pt>
                <c:pt idx="346">
                  <c:v>1860</c:v>
                </c:pt>
                <c:pt idx="347">
                  <c:v>1860</c:v>
                </c:pt>
                <c:pt idx="348">
                  <c:v>1870</c:v>
                </c:pt>
                <c:pt idx="349">
                  <c:v>1870</c:v>
                </c:pt>
                <c:pt idx="350">
                  <c:v>1880</c:v>
                </c:pt>
                <c:pt idx="351">
                  <c:v>1880</c:v>
                </c:pt>
                <c:pt idx="352">
                  <c:v>1890</c:v>
                </c:pt>
                <c:pt idx="353">
                  <c:v>1890</c:v>
                </c:pt>
                <c:pt idx="354">
                  <c:v>1900</c:v>
                </c:pt>
                <c:pt idx="355">
                  <c:v>1900</c:v>
                </c:pt>
                <c:pt idx="356">
                  <c:v>1910</c:v>
                </c:pt>
                <c:pt idx="357">
                  <c:v>1910</c:v>
                </c:pt>
                <c:pt idx="358">
                  <c:v>1920</c:v>
                </c:pt>
                <c:pt idx="359">
                  <c:v>1920</c:v>
                </c:pt>
                <c:pt idx="360">
                  <c:v>1930</c:v>
                </c:pt>
                <c:pt idx="361">
                  <c:v>1930</c:v>
                </c:pt>
                <c:pt idx="362">
                  <c:v>1940</c:v>
                </c:pt>
                <c:pt idx="363">
                  <c:v>1940</c:v>
                </c:pt>
                <c:pt idx="364">
                  <c:v>1950</c:v>
                </c:pt>
                <c:pt idx="365">
                  <c:v>1950</c:v>
                </c:pt>
                <c:pt idx="366">
                  <c:v>1960</c:v>
                </c:pt>
                <c:pt idx="367">
                  <c:v>1960</c:v>
                </c:pt>
                <c:pt idx="368">
                  <c:v>1970</c:v>
                </c:pt>
                <c:pt idx="369">
                  <c:v>1970</c:v>
                </c:pt>
                <c:pt idx="370">
                  <c:v>1980</c:v>
                </c:pt>
                <c:pt idx="371">
                  <c:v>1980</c:v>
                </c:pt>
                <c:pt idx="372">
                  <c:v>1990</c:v>
                </c:pt>
                <c:pt idx="373">
                  <c:v>1990</c:v>
                </c:pt>
                <c:pt idx="374">
                  <c:v>2000</c:v>
                </c:pt>
                <c:pt idx="375">
                  <c:v>2000</c:v>
                </c:pt>
                <c:pt idx="376">
                  <c:v>2010</c:v>
                </c:pt>
                <c:pt idx="377">
                  <c:v>2010</c:v>
                </c:pt>
                <c:pt idx="378">
                  <c:v>2020</c:v>
                </c:pt>
                <c:pt idx="379">
                  <c:v>2020</c:v>
                </c:pt>
                <c:pt idx="380">
                  <c:v>2030</c:v>
                </c:pt>
                <c:pt idx="381">
                  <c:v>2030</c:v>
                </c:pt>
                <c:pt idx="382">
                  <c:v>2040</c:v>
                </c:pt>
                <c:pt idx="383">
                  <c:v>2040</c:v>
                </c:pt>
                <c:pt idx="384">
                  <c:v>2050</c:v>
                </c:pt>
                <c:pt idx="385">
                  <c:v>2050</c:v>
                </c:pt>
                <c:pt idx="386">
                  <c:v>2060</c:v>
                </c:pt>
                <c:pt idx="387">
                  <c:v>2060</c:v>
                </c:pt>
                <c:pt idx="388">
                  <c:v>2070</c:v>
                </c:pt>
                <c:pt idx="389">
                  <c:v>2070</c:v>
                </c:pt>
                <c:pt idx="390">
                  <c:v>2080</c:v>
                </c:pt>
                <c:pt idx="391">
                  <c:v>2080</c:v>
                </c:pt>
                <c:pt idx="392">
                  <c:v>2090</c:v>
                </c:pt>
                <c:pt idx="393">
                  <c:v>2090</c:v>
                </c:pt>
                <c:pt idx="394">
                  <c:v>2100</c:v>
                </c:pt>
                <c:pt idx="395">
                  <c:v>2100</c:v>
                </c:pt>
                <c:pt idx="396">
                  <c:v>2110</c:v>
                </c:pt>
                <c:pt idx="397">
                  <c:v>2110</c:v>
                </c:pt>
                <c:pt idx="398">
                  <c:v>2120</c:v>
                </c:pt>
                <c:pt idx="399">
                  <c:v>2120</c:v>
                </c:pt>
                <c:pt idx="400">
                  <c:v>2130</c:v>
                </c:pt>
                <c:pt idx="401">
                  <c:v>2130</c:v>
                </c:pt>
                <c:pt idx="402">
                  <c:v>2140</c:v>
                </c:pt>
                <c:pt idx="403">
                  <c:v>2140</c:v>
                </c:pt>
                <c:pt idx="404">
                  <c:v>2150</c:v>
                </c:pt>
                <c:pt idx="405">
                  <c:v>2150</c:v>
                </c:pt>
                <c:pt idx="406">
                  <c:v>2160</c:v>
                </c:pt>
                <c:pt idx="407">
                  <c:v>2160</c:v>
                </c:pt>
                <c:pt idx="408">
                  <c:v>2170</c:v>
                </c:pt>
                <c:pt idx="409">
                  <c:v>2170</c:v>
                </c:pt>
                <c:pt idx="410">
                  <c:v>2180</c:v>
                </c:pt>
                <c:pt idx="411">
                  <c:v>2180</c:v>
                </c:pt>
                <c:pt idx="412">
                  <c:v>2190</c:v>
                </c:pt>
                <c:pt idx="413">
                  <c:v>2190</c:v>
                </c:pt>
                <c:pt idx="414">
                  <c:v>2200</c:v>
                </c:pt>
                <c:pt idx="415">
                  <c:v>2200</c:v>
                </c:pt>
                <c:pt idx="416">
                  <c:v>2210</c:v>
                </c:pt>
                <c:pt idx="417">
                  <c:v>2210</c:v>
                </c:pt>
                <c:pt idx="418">
                  <c:v>2220</c:v>
                </c:pt>
                <c:pt idx="419">
                  <c:v>2220</c:v>
                </c:pt>
                <c:pt idx="420">
                  <c:v>2230</c:v>
                </c:pt>
                <c:pt idx="421">
                  <c:v>2230</c:v>
                </c:pt>
                <c:pt idx="422">
                  <c:v>2240</c:v>
                </c:pt>
                <c:pt idx="423">
                  <c:v>2240</c:v>
                </c:pt>
                <c:pt idx="424">
                  <c:v>2250</c:v>
                </c:pt>
                <c:pt idx="425">
                  <c:v>2250</c:v>
                </c:pt>
                <c:pt idx="426">
                  <c:v>2260</c:v>
                </c:pt>
                <c:pt idx="427">
                  <c:v>2260</c:v>
                </c:pt>
                <c:pt idx="428">
                  <c:v>2270</c:v>
                </c:pt>
                <c:pt idx="429">
                  <c:v>2270</c:v>
                </c:pt>
                <c:pt idx="430">
                  <c:v>2280</c:v>
                </c:pt>
                <c:pt idx="431">
                  <c:v>2280</c:v>
                </c:pt>
                <c:pt idx="432">
                  <c:v>2290</c:v>
                </c:pt>
                <c:pt idx="433">
                  <c:v>2290</c:v>
                </c:pt>
                <c:pt idx="434">
                  <c:v>2300</c:v>
                </c:pt>
                <c:pt idx="435">
                  <c:v>2300</c:v>
                </c:pt>
                <c:pt idx="436">
                  <c:v>2310</c:v>
                </c:pt>
                <c:pt idx="437">
                  <c:v>2310</c:v>
                </c:pt>
                <c:pt idx="438">
                  <c:v>2320</c:v>
                </c:pt>
                <c:pt idx="439">
                  <c:v>2320</c:v>
                </c:pt>
                <c:pt idx="440">
                  <c:v>2330</c:v>
                </c:pt>
                <c:pt idx="441">
                  <c:v>2330</c:v>
                </c:pt>
                <c:pt idx="442">
                  <c:v>2340</c:v>
                </c:pt>
                <c:pt idx="443">
                  <c:v>2340</c:v>
                </c:pt>
                <c:pt idx="444">
                  <c:v>2350</c:v>
                </c:pt>
                <c:pt idx="445">
                  <c:v>2350</c:v>
                </c:pt>
                <c:pt idx="446">
                  <c:v>2360</c:v>
                </c:pt>
                <c:pt idx="447">
                  <c:v>2360</c:v>
                </c:pt>
                <c:pt idx="448">
                  <c:v>2370</c:v>
                </c:pt>
                <c:pt idx="449">
                  <c:v>2370</c:v>
                </c:pt>
                <c:pt idx="450">
                  <c:v>2380</c:v>
                </c:pt>
                <c:pt idx="451">
                  <c:v>2380</c:v>
                </c:pt>
                <c:pt idx="452">
                  <c:v>2390</c:v>
                </c:pt>
                <c:pt idx="453">
                  <c:v>2390</c:v>
                </c:pt>
                <c:pt idx="454">
                  <c:v>2400</c:v>
                </c:pt>
                <c:pt idx="455">
                  <c:v>2400</c:v>
                </c:pt>
                <c:pt idx="456">
                  <c:v>2410</c:v>
                </c:pt>
                <c:pt idx="457">
                  <c:v>2410</c:v>
                </c:pt>
                <c:pt idx="458">
                  <c:v>2420</c:v>
                </c:pt>
                <c:pt idx="459">
                  <c:v>2420</c:v>
                </c:pt>
                <c:pt idx="460">
                  <c:v>2430</c:v>
                </c:pt>
                <c:pt idx="461">
                  <c:v>2430</c:v>
                </c:pt>
                <c:pt idx="462">
                  <c:v>2440</c:v>
                </c:pt>
                <c:pt idx="463">
                  <c:v>2440</c:v>
                </c:pt>
                <c:pt idx="464">
                  <c:v>2450</c:v>
                </c:pt>
                <c:pt idx="465">
                  <c:v>2450</c:v>
                </c:pt>
                <c:pt idx="466">
                  <c:v>2460</c:v>
                </c:pt>
                <c:pt idx="467">
                  <c:v>2460</c:v>
                </c:pt>
                <c:pt idx="468">
                  <c:v>2470</c:v>
                </c:pt>
                <c:pt idx="469">
                  <c:v>2470</c:v>
                </c:pt>
                <c:pt idx="470">
                  <c:v>2480</c:v>
                </c:pt>
                <c:pt idx="471">
                  <c:v>2480</c:v>
                </c:pt>
                <c:pt idx="472">
                  <c:v>2490</c:v>
                </c:pt>
                <c:pt idx="473">
                  <c:v>2490</c:v>
                </c:pt>
                <c:pt idx="474">
                  <c:v>2500</c:v>
                </c:pt>
                <c:pt idx="475">
                  <c:v>2500</c:v>
                </c:pt>
                <c:pt idx="476">
                  <c:v>2510</c:v>
                </c:pt>
                <c:pt idx="477">
                  <c:v>2510</c:v>
                </c:pt>
                <c:pt idx="478">
                  <c:v>2520</c:v>
                </c:pt>
                <c:pt idx="479">
                  <c:v>2520</c:v>
                </c:pt>
                <c:pt idx="480">
                  <c:v>2530</c:v>
                </c:pt>
                <c:pt idx="481">
                  <c:v>2530</c:v>
                </c:pt>
                <c:pt idx="482">
                  <c:v>2540</c:v>
                </c:pt>
                <c:pt idx="483">
                  <c:v>2540</c:v>
                </c:pt>
                <c:pt idx="484">
                  <c:v>2550</c:v>
                </c:pt>
                <c:pt idx="485">
                  <c:v>2550</c:v>
                </c:pt>
                <c:pt idx="486">
                  <c:v>2560</c:v>
                </c:pt>
                <c:pt idx="487">
                  <c:v>2560</c:v>
                </c:pt>
                <c:pt idx="488">
                  <c:v>2570</c:v>
                </c:pt>
                <c:pt idx="489">
                  <c:v>2570</c:v>
                </c:pt>
                <c:pt idx="490">
                  <c:v>2580</c:v>
                </c:pt>
                <c:pt idx="491">
                  <c:v>2580</c:v>
                </c:pt>
                <c:pt idx="492">
                  <c:v>2590</c:v>
                </c:pt>
                <c:pt idx="493">
                  <c:v>2590</c:v>
                </c:pt>
                <c:pt idx="494">
                  <c:v>2600</c:v>
                </c:pt>
                <c:pt idx="495">
                  <c:v>2600</c:v>
                </c:pt>
                <c:pt idx="496">
                  <c:v>2610</c:v>
                </c:pt>
                <c:pt idx="497">
                  <c:v>2610</c:v>
                </c:pt>
                <c:pt idx="498">
                  <c:v>2620</c:v>
                </c:pt>
                <c:pt idx="499">
                  <c:v>2620</c:v>
                </c:pt>
                <c:pt idx="500">
                  <c:v>2630</c:v>
                </c:pt>
                <c:pt idx="501">
                  <c:v>2630</c:v>
                </c:pt>
                <c:pt idx="502">
                  <c:v>2640</c:v>
                </c:pt>
                <c:pt idx="503">
                  <c:v>2640</c:v>
                </c:pt>
                <c:pt idx="504">
                  <c:v>2650</c:v>
                </c:pt>
                <c:pt idx="505">
                  <c:v>2650</c:v>
                </c:pt>
                <c:pt idx="506">
                  <c:v>2660</c:v>
                </c:pt>
                <c:pt idx="507">
                  <c:v>2660</c:v>
                </c:pt>
                <c:pt idx="508">
                  <c:v>2670</c:v>
                </c:pt>
                <c:pt idx="509">
                  <c:v>2670</c:v>
                </c:pt>
                <c:pt idx="510">
                  <c:v>2680</c:v>
                </c:pt>
                <c:pt idx="511">
                  <c:v>2680</c:v>
                </c:pt>
                <c:pt idx="512">
                  <c:v>2690</c:v>
                </c:pt>
                <c:pt idx="513">
                  <c:v>2690</c:v>
                </c:pt>
                <c:pt idx="514">
                  <c:v>2700</c:v>
                </c:pt>
                <c:pt idx="515">
                  <c:v>2700</c:v>
                </c:pt>
                <c:pt idx="516">
                  <c:v>2710</c:v>
                </c:pt>
                <c:pt idx="517">
                  <c:v>2710</c:v>
                </c:pt>
                <c:pt idx="518">
                  <c:v>2720</c:v>
                </c:pt>
                <c:pt idx="519">
                  <c:v>2720</c:v>
                </c:pt>
                <c:pt idx="520">
                  <c:v>2730</c:v>
                </c:pt>
                <c:pt idx="521">
                  <c:v>2730</c:v>
                </c:pt>
                <c:pt idx="522">
                  <c:v>2740</c:v>
                </c:pt>
                <c:pt idx="523">
                  <c:v>2740</c:v>
                </c:pt>
                <c:pt idx="524">
                  <c:v>2750</c:v>
                </c:pt>
                <c:pt idx="525">
                  <c:v>2750</c:v>
                </c:pt>
                <c:pt idx="526">
                  <c:v>2760</c:v>
                </c:pt>
                <c:pt idx="527">
                  <c:v>2760</c:v>
                </c:pt>
                <c:pt idx="528">
                  <c:v>2770</c:v>
                </c:pt>
                <c:pt idx="529">
                  <c:v>2770</c:v>
                </c:pt>
                <c:pt idx="530">
                  <c:v>2780</c:v>
                </c:pt>
                <c:pt idx="531">
                  <c:v>2780</c:v>
                </c:pt>
                <c:pt idx="532">
                  <c:v>2790</c:v>
                </c:pt>
                <c:pt idx="533">
                  <c:v>2790</c:v>
                </c:pt>
                <c:pt idx="534">
                  <c:v>2800</c:v>
                </c:pt>
                <c:pt idx="535">
                  <c:v>2800</c:v>
                </c:pt>
                <c:pt idx="536">
                  <c:v>2810</c:v>
                </c:pt>
                <c:pt idx="537">
                  <c:v>2810</c:v>
                </c:pt>
                <c:pt idx="538">
                  <c:v>2820</c:v>
                </c:pt>
                <c:pt idx="539">
                  <c:v>2820</c:v>
                </c:pt>
                <c:pt idx="540">
                  <c:v>2830</c:v>
                </c:pt>
                <c:pt idx="541">
                  <c:v>2830</c:v>
                </c:pt>
                <c:pt idx="542">
                  <c:v>2840</c:v>
                </c:pt>
                <c:pt idx="543">
                  <c:v>2840</c:v>
                </c:pt>
                <c:pt idx="544">
                  <c:v>2850</c:v>
                </c:pt>
                <c:pt idx="545">
                  <c:v>2850</c:v>
                </c:pt>
                <c:pt idx="546">
                  <c:v>2860</c:v>
                </c:pt>
                <c:pt idx="547">
                  <c:v>2860</c:v>
                </c:pt>
                <c:pt idx="548">
                  <c:v>2870</c:v>
                </c:pt>
                <c:pt idx="549">
                  <c:v>2870</c:v>
                </c:pt>
                <c:pt idx="550">
                  <c:v>2880</c:v>
                </c:pt>
                <c:pt idx="551">
                  <c:v>2880</c:v>
                </c:pt>
                <c:pt idx="552">
                  <c:v>2890</c:v>
                </c:pt>
                <c:pt idx="553">
                  <c:v>2890</c:v>
                </c:pt>
                <c:pt idx="554">
                  <c:v>2900</c:v>
                </c:pt>
                <c:pt idx="555">
                  <c:v>2900</c:v>
                </c:pt>
                <c:pt idx="556">
                  <c:v>2910</c:v>
                </c:pt>
                <c:pt idx="557">
                  <c:v>2910</c:v>
                </c:pt>
                <c:pt idx="558">
                  <c:v>2920</c:v>
                </c:pt>
                <c:pt idx="559">
                  <c:v>2920</c:v>
                </c:pt>
                <c:pt idx="560">
                  <c:v>2930</c:v>
                </c:pt>
                <c:pt idx="561">
                  <c:v>2930</c:v>
                </c:pt>
                <c:pt idx="562">
                  <c:v>2940</c:v>
                </c:pt>
                <c:pt idx="563">
                  <c:v>2940</c:v>
                </c:pt>
                <c:pt idx="564">
                  <c:v>2950</c:v>
                </c:pt>
                <c:pt idx="565">
                  <c:v>2950</c:v>
                </c:pt>
                <c:pt idx="566">
                  <c:v>2960</c:v>
                </c:pt>
                <c:pt idx="567">
                  <c:v>2960</c:v>
                </c:pt>
                <c:pt idx="568">
                  <c:v>2970</c:v>
                </c:pt>
                <c:pt idx="569">
                  <c:v>2970</c:v>
                </c:pt>
                <c:pt idx="570">
                  <c:v>2980</c:v>
                </c:pt>
                <c:pt idx="571">
                  <c:v>2980</c:v>
                </c:pt>
                <c:pt idx="572">
                  <c:v>2990</c:v>
                </c:pt>
                <c:pt idx="573">
                  <c:v>2990</c:v>
                </c:pt>
                <c:pt idx="574">
                  <c:v>3000</c:v>
                </c:pt>
                <c:pt idx="575">
                  <c:v>3000</c:v>
                </c:pt>
                <c:pt idx="576">
                  <c:v>3010</c:v>
                </c:pt>
                <c:pt idx="577">
                  <c:v>3010</c:v>
                </c:pt>
                <c:pt idx="578">
                  <c:v>3020</c:v>
                </c:pt>
                <c:pt idx="579">
                  <c:v>3020</c:v>
                </c:pt>
                <c:pt idx="580">
                  <c:v>3030</c:v>
                </c:pt>
                <c:pt idx="581">
                  <c:v>3030</c:v>
                </c:pt>
                <c:pt idx="582">
                  <c:v>3040</c:v>
                </c:pt>
                <c:pt idx="583">
                  <c:v>3040</c:v>
                </c:pt>
                <c:pt idx="584">
                  <c:v>3050</c:v>
                </c:pt>
                <c:pt idx="585">
                  <c:v>3050</c:v>
                </c:pt>
                <c:pt idx="586">
                  <c:v>3060</c:v>
                </c:pt>
                <c:pt idx="587">
                  <c:v>3060</c:v>
                </c:pt>
                <c:pt idx="588">
                  <c:v>3070</c:v>
                </c:pt>
                <c:pt idx="589">
                  <c:v>3070</c:v>
                </c:pt>
                <c:pt idx="590">
                  <c:v>3080</c:v>
                </c:pt>
                <c:pt idx="591">
                  <c:v>3080</c:v>
                </c:pt>
                <c:pt idx="592">
                  <c:v>3090</c:v>
                </c:pt>
                <c:pt idx="593">
                  <c:v>3090</c:v>
                </c:pt>
                <c:pt idx="594">
                  <c:v>3100</c:v>
                </c:pt>
                <c:pt idx="595">
                  <c:v>3100</c:v>
                </c:pt>
                <c:pt idx="596">
                  <c:v>3110</c:v>
                </c:pt>
                <c:pt idx="597">
                  <c:v>3110</c:v>
                </c:pt>
                <c:pt idx="598">
                  <c:v>3120</c:v>
                </c:pt>
                <c:pt idx="599">
                  <c:v>3120</c:v>
                </c:pt>
                <c:pt idx="600">
                  <c:v>3130</c:v>
                </c:pt>
                <c:pt idx="601">
                  <c:v>3130</c:v>
                </c:pt>
                <c:pt idx="602">
                  <c:v>3140</c:v>
                </c:pt>
                <c:pt idx="603">
                  <c:v>3140</c:v>
                </c:pt>
                <c:pt idx="604">
                  <c:v>3150</c:v>
                </c:pt>
                <c:pt idx="605">
                  <c:v>3150</c:v>
                </c:pt>
                <c:pt idx="606">
                  <c:v>3160</c:v>
                </c:pt>
                <c:pt idx="607">
                  <c:v>3160</c:v>
                </c:pt>
                <c:pt idx="608">
                  <c:v>3170</c:v>
                </c:pt>
                <c:pt idx="609">
                  <c:v>3170</c:v>
                </c:pt>
                <c:pt idx="610">
                  <c:v>3180</c:v>
                </c:pt>
                <c:pt idx="611">
                  <c:v>3180</c:v>
                </c:pt>
                <c:pt idx="612">
                  <c:v>3190</c:v>
                </c:pt>
                <c:pt idx="613">
                  <c:v>3190</c:v>
                </c:pt>
                <c:pt idx="614">
                  <c:v>3200</c:v>
                </c:pt>
                <c:pt idx="615">
                  <c:v>3200</c:v>
                </c:pt>
                <c:pt idx="616">
                  <c:v>3210</c:v>
                </c:pt>
                <c:pt idx="617">
                  <c:v>3210</c:v>
                </c:pt>
                <c:pt idx="618">
                  <c:v>3220</c:v>
                </c:pt>
                <c:pt idx="619">
                  <c:v>3220</c:v>
                </c:pt>
                <c:pt idx="620">
                  <c:v>3230</c:v>
                </c:pt>
                <c:pt idx="621">
                  <c:v>3230</c:v>
                </c:pt>
                <c:pt idx="622">
                  <c:v>3240</c:v>
                </c:pt>
                <c:pt idx="623">
                  <c:v>3240</c:v>
                </c:pt>
                <c:pt idx="624">
                  <c:v>3250</c:v>
                </c:pt>
                <c:pt idx="625">
                  <c:v>3250</c:v>
                </c:pt>
                <c:pt idx="626">
                  <c:v>3260</c:v>
                </c:pt>
                <c:pt idx="627">
                  <c:v>3260</c:v>
                </c:pt>
                <c:pt idx="628">
                  <c:v>3270</c:v>
                </c:pt>
                <c:pt idx="629">
                  <c:v>3270</c:v>
                </c:pt>
                <c:pt idx="630">
                  <c:v>3280</c:v>
                </c:pt>
                <c:pt idx="631">
                  <c:v>3280</c:v>
                </c:pt>
                <c:pt idx="632">
                  <c:v>3290</c:v>
                </c:pt>
                <c:pt idx="633">
                  <c:v>3290</c:v>
                </c:pt>
                <c:pt idx="634">
                  <c:v>3300</c:v>
                </c:pt>
                <c:pt idx="635">
                  <c:v>3300</c:v>
                </c:pt>
                <c:pt idx="636">
                  <c:v>3310</c:v>
                </c:pt>
                <c:pt idx="637">
                  <c:v>3310</c:v>
                </c:pt>
                <c:pt idx="638">
                  <c:v>3320</c:v>
                </c:pt>
                <c:pt idx="639">
                  <c:v>3320</c:v>
                </c:pt>
                <c:pt idx="640">
                  <c:v>3330</c:v>
                </c:pt>
                <c:pt idx="641">
                  <c:v>3330</c:v>
                </c:pt>
                <c:pt idx="642">
                  <c:v>3340</c:v>
                </c:pt>
                <c:pt idx="643">
                  <c:v>3340</c:v>
                </c:pt>
                <c:pt idx="644">
                  <c:v>3350</c:v>
                </c:pt>
                <c:pt idx="645">
                  <c:v>3350</c:v>
                </c:pt>
                <c:pt idx="646">
                  <c:v>3360</c:v>
                </c:pt>
                <c:pt idx="647">
                  <c:v>3360</c:v>
                </c:pt>
                <c:pt idx="648">
                  <c:v>3370</c:v>
                </c:pt>
                <c:pt idx="649">
                  <c:v>3370</c:v>
                </c:pt>
                <c:pt idx="650">
                  <c:v>3380</c:v>
                </c:pt>
                <c:pt idx="651">
                  <c:v>3380</c:v>
                </c:pt>
                <c:pt idx="652">
                  <c:v>3390</c:v>
                </c:pt>
                <c:pt idx="653">
                  <c:v>3390</c:v>
                </c:pt>
                <c:pt idx="654">
                  <c:v>3400</c:v>
                </c:pt>
                <c:pt idx="655">
                  <c:v>3400</c:v>
                </c:pt>
                <c:pt idx="656">
                  <c:v>3410</c:v>
                </c:pt>
                <c:pt idx="657">
                  <c:v>3410</c:v>
                </c:pt>
                <c:pt idx="658">
                  <c:v>3420</c:v>
                </c:pt>
                <c:pt idx="659">
                  <c:v>3420</c:v>
                </c:pt>
                <c:pt idx="660">
                  <c:v>3430</c:v>
                </c:pt>
                <c:pt idx="661">
                  <c:v>3430</c:v>
                </c:pt>
                <c:pt idx="662">
                  <c:v>3440</c:v>
                </c:pt>
                <c:pt idx="663">
                  <c:v>3440</c:v>
                </c:pt>
                <c:pt idx="664">
                  <c:v>3450</c:v>
                </c:pt>
                <c:pt idx="665">
                  <c:v>3450</c:v>
                </c:pt>
                <c:pt idx="666">
                  <c:v>3460</c:v>
                </c:pt>
                <c:pt idx="667">
                  <c:v>3460</c:v>
                </c:pt>
                <c:pt idx="668">
                  <c:v>3470</c:v>
                </c:pt>
                <c:pt idx="669">
                  <c:v>3470</c:v>
                </c:pt>
                <c:pt idx="670">
                  <c:v>3480</c:v>
                </c:pt>
                <c:pt idx="671">
                  <c:v>3480</c:v>
                </c:pt>
                <c:pt idx="672">
                  <c:v>3490</c:v>
                </c:pt>
                <c:pt idx="673">
                  <c:v>3490</c:v>
                </c:pt>
                <c:pt idx="674">
                  <c:v>3500</c:v>
                </c:pt>
                <c:pt idx="675">
                  <c:v>3500</c:v>
                </c:pt>
                <c:pt idx="676">
                  <c:v>3510</c:v>
                </c:pt>
                <c:pt idx="677">
                  <c:v>3510</c:v>
                </c:pt>
                <c:pt idx="678">
                  <c:v>3520</c:v>
                </c:pt>
                <c:pt idx="679">
                  <c:v>3520</c:v>
                </c:pt>
                <c:pt idx="680">
                  <c:v>3530</c:v>
                </c:pt>
                <c:pt idx="681">
                  <c:v>3530</c:v>
                </c:pt>
                <c:pt idx="682">
                  <c:v>3540</c:v>
                </c:pt>
                <c:pt idx="683">
                  <c:v>3540</c:v>
                </c:pt>
                <c:pt idx="684">
                  <c:v>3550</c:v>
                </c:pt>
                <c:pt idx="685">
                  <c:v>3550</c:v>
                </c:pt>
                <c:pt idx="686">
                  <c:v>3560</c:v>
                </c:pt>
                <c:pt idx="687">
                  <c:v>3560</c:v>
                </c:pt>
                <c:pt idx="688">
                  <c:v>3570</c:v>
                </c:pt>
                <c:pt idx="689">
                  <c:v>3570</c:v>
                </c:pt>
                <c:pt idx="690">
                  <c:v>3580</c:v>
                </c:pt>
                <c:pt idx="691">
                  <c:v>3580</c:v>
                </c:pt>
                <c:pt idx="692">
                  <c:v>3590</c:v>
                </c:pt>
                <c:pt idx="693">
                  <c:v>3590</c:v>
                </c:pt>
                <c:pt idx="694">
                  <c:v>3600</c:v>
                </c:pt>
                <c:pt idx="695">
                  <c:v>3600</c:v>
                </c:pt>
                <c:pt idx="696">
                  <c:v>3610</c:v>
                </c:pt>
                <c:pt idx="697">
                  <c:v>3610</c:v>
                </c:pt>
                <c:pt idx="698">
                  <c:v>3620</c:v>
                </c:pt>
                <c:pt idx="699">
                  <c:v>3620</c:v>
                </c:pt>
                <c:pt idx="700">
                  <c:v>3630</c:v>
                </c:pt>
                <c:pt idx="701">
                  <c:v>3630</c:v>
                </c:pt>
                <c:pt idx="702">
                  <c:v>3640</c:v>
                </c:pt>
                <c:pt idx="703">
                  <c:v>3640</c:v>
                </c:pt>
                <c:pt idx="704">
                  <c:v>3650</c:v>
                </c:pt>
                <c:pt idx="705">
                  <c:v>3650</c:v>
                </c:pt>
                <c:pt idx="706">
                  <c:v>3660</c:v>
                </c:pt>
                <c:pt idx="707">
                  <c:v>3660</c:v>
                </c:pt>
                <c:pt idx="708">
                  <c:v>3670</c:v>
                </c:pt>
                <c:pt idx="709">
                  <c:v>3670</c:v>
                </c:pt>
                <c:pt idx="710">
                  <c:v>3680</c:v>
                </c:pt>
                <c:pt idx="711">
                  <c:v>3680</c:v>
                </c:pt>
                <c:pt idx="712">
                  <c:v>3690</c:v>
                </c:pt>
                <c:pt idx="713">
                  <c:v>3690</c:v>
                </c:pt>
                <c:pt idx="714">
                  <c:v>3700</c:v>
                </c:pt>
                <c:pt idx="715">
                  <c:v>3700</c:v>
                </c:pt>
                <c:pt idx="716">
                  <c:v>3710</c:v>
                </c:pt>
                <c:pt idx="717">
                  <c:v>3710</c:v>
                </c:pt>
                <c:pt idx="718">
                  <c:v>3720</c:v>
                </c:pt>
                <c:pt idx="719">
                  <c:v>3720</c:v>
                </c:pt>
                <c:pt idx="720">
                  <c:v>3730</c:v>
                </c:pt>
                <c:pt idx="721">
                  <c:v>3730</c:v>
                </c:pt>
                <c:pt idx="722">
                  <c:v>3740</c:v>
                </c:pt>
                <c:pt idx="723">
                  <c:v>3740</c:v>
                </c:pt>
                <c:pt idx="724">
                  <c:v>3750</c:v>
                </c:pt>
                <c:pt idx="725">
                  <c:v>3750</c:v>
                </c:pt>
                <c:pt idx="726">
                  <c:v>3760</c:v>
                </c:pt>
                <c:pt idx="727">
                  <c:v>3760</c:v>
                </c:pt>
                <c:pt idx="728">
                  <c:v>3770</c:v>
                </c:pt>
                <c:pt idx="729">
                  <c:v>3770</c:v>
                </c:pt>
                <c:pt idx="730">
                  <c:v>3780</c:v>
                </c:pt>
                <c:pt idx="731">
                  <c:v>3780</c:v>
                </c:pt>
                <c:pt idx="732">
                  <c:v>3790</c:v>
                </c:pt>
                <c:pt idx="733">
                  <c:v>3790</c:v>
                </c:pt>
                <c:pt idx="734">
                  <c:v>3800</c:v>
                </c:pt>
                <c:pt idx="735">
                  <c:v>3800</c:v>
                </c:pt>
                <c:pt idx="736">
                  <c:v>3810</c:v>
                </c:pt>
                <c:pt idx="737">
                  <c:v>3810</c:v>
                </c:pt>
                <c:pt idx="738">
                  <c:v>3820</c:v>
                </c:pt>
                <c:pt idx="739">
                  <c:v>3820</c:v>
                </c:pt>
                <c:pt idx="740">
                  <c:v>3830</c:v>
                </c:pt>
                <c:pt idx="741">
                  <c:v>3830</c:v>
                </c:pt>
                <c:pt idx="742">
                  <c:v>3840</c:v>
                </c:pt>
                <c:pt idx="743">
                  <c:v>3840</c:v>
                </c:pt>
                <c:pt idx="744">
                  <c:v>3850</c:v>
                </c:pt>
                <c:pt idx="745">
                  <c:v>3850</c:v>
                </c:pt>
                <c:pt idx="746">
                  <c:v>3860</c:v>
                </c:pt>
                <c:pt idx="747">
                  <c:v>3860</c:v>
                </c:pt>
                <c:pt idx="748">
                  <c:v>3870</c:v>
                </c:pt>
                <c:pt idx="749">
                  <c:v>3870</c:v>
                </c:pt>
                <c:pt idx="750">
                  <c:v>3880</c:v>
                </c:pt>
                <c:pt idx="751">
                  <c:v>3880</c:v>
                </c:pt>
                <c:pt idx="752">
                  <c:v>3890</c:v>
                </c:pt>
                <c:pt idx="753">
                  <c:v>3890</c:v>
                </c:pt>
                <c:pt idx="754">
                  <c:v>3900</c:v>
                </c:pt>
                <c:pt idx="755">
                  <c:v>3900</c:v>
                </c:pt>
                <c:pt idx="756">
                  <c:v>3910</c:v>
                </c:pt>
                <c:pt idx="757">
                  <c:v>3910</c:v>
                </c:pt>
                <c:pt idx="758">
                  <c:v>3920</c:v>
                </c:pt>
                <c:pt idx="759">
                  <c:v>3920</c:v>
                </c:pt>
                <c:pt idx="760">
                  <c:v>3930</c:v>
                </c:pt>
                <c:pt idx="761">
                  <c:v>3930</c:v>
                </c:pt>
                <c:pt idx="762">
                  <c:v>3940</c:v>
                </c:pt>
                <c:pt idx="763">
                  <c:v>3940</c:v>
                </c:pt>
                <c:pt idx="764">
                  <c:v>3950</c:v>
                </c:pt>
                <c:pt idx="765">
                  <c:v>3950</c:v>
                </c:pt>
                <c:pt idx="766">
                  <c:v>3960</c:v>
                </c:pt>
                <c:pt idx="767">
                  <c:v>3960</c:v>
                </c:pt>
                <c:pt idx="768">
                  <c:v>3970</c:v>
                </c:pt>
                <c:pt idx="769">
                  <c:v>3970</c:v>
                </c:pt>
                <c:pt idx="770">
                  <c:v>3980</c:v>
                </c:pt>
                <c:pt idx="771">
                  <c:v>3980</c:v>
                </c:pt>
                <c:pt idx="772">
                  <c:v>3990</c:v>
                </c:pt>
                <c:pt idx="773">
                  <c:v>3990</c:v>
                </c:pt>
                <c:pt idx="774">
                  <c:v>4000</c:v>
                </c:pt>
                <c:pt idx="775">
                  <c:v>4000</c:v>
                </c:pt>
                <c:pt idx="776">
                  <c:v>4010</c:v>
                </c:pt>
                <c:pt idx="777">
                  <c:v>4010</c:v>
                </c:pt>
                <c:pt idx="778">
                  <c:v>4020</c:v>
                </c:pt>
                <c:pt idx="779">
                  <c:v>4020</c:v>
                </c:pt>
                <c:pt idx="780">
                  <c:v>4030</c:v>
                </c:pt>
                <c:pt idx="781">
                  <c:v>4030</c:v>
                </c:pt>
                <c:pt idx="782">
                  <c:v>4040</c:v>
                </c:pt>
                <c:pt idx="783">
                  <c:v>4040</c:v>
                </c:pt>
                <c:pt idx="784">
                  <c:v>4050</c:v>
                </c:pt>
                <c:pt idx="785">
                  <c:v>4050</c:v>
                </c:pt>
                <c:pt idx="786">
                  <c:v>4060</c:v>
                </c:pt>
                <c:pt idx="787">
                  <c:v>4060</c:v>
                </c:pt>
                <c:pt idx="788">
                  <c:v>4070</c:v>
                </c:pt>
                <c:pt idx="789">
                  <c:v>4070</c:v>
                </c:pt>
                <c:pt idx="790">
                  <c:v>4080</c:v>
                </c:pt>
                <c:pt idx="791">
                  <c:v>4080</c:v>
                </c:pt>
                <c:pt idx="792">
                  <c:v>4090</c:v>
                </c:pt>
                <c:pt idx="793">
                  <c:v>4090</c:v>
                </c:pt>
                <c:pt idx="794">
                  <c:v>4100</c:v>
                </c:pt>
                <c:pt idx="795">
                  <c:v>4100</c:v>
                </c:pt>
                <c:pt idx="796">
                  <c:v>4110</c:v>
                </c:pt>
                <c:pt idx="797">
                  <c:v>4110</c:v>
                </c:pt>
                <c:pt idx="798">
                  <c:v>4120</c:v>
                </c:pt>
                <c:pt idx="799">
                  <c:v>4120</c:v>
                </c:pt>
                <c:pt idx="800">
                  <c:v>4130</c:v>
                </c:pt>
                <c:pt idx="801">
                  <c:v>4130</c:v>
                </c:pt>
                <c:pt idx="802">
                  <c:v>4140</c:v>
                </c:pt>
                <c:pt idx="803">
                  <c:v>4140</c:v>
                </c:pt>
                <c:pt idx="804">
                  <c:v>4150</c:v>
                </c:pt>
                <c:pt idx="805">
                  <c:v>4150</c:v>
                </c:pt>
                <c:pt idx="806">
                  <c:v>4160</c:v>
                </c:pt>
                <c:pt idx="807">
                  <c:v>4160</c:v>
                </c:pt>
                <c:pt idx="808">
                  <c:v>4170</c:v>
                </c:pt>
                <c:pt idx="809">
                  <c:v>4170</c:v>
                </c:pt>
                <c:pt idx="810">
                  <c:v>4180</c:v>
                </c:pt>
                <c:pt idx="811">
                  <c:v>4180</c:v>
                </c:pt>
                <c:pt idx="812">
                  <c:v>4190</c:v>
                </c:pt>
                <c:pt idx="813">
                  <c:v>4190</c:v>
                </c:pt>
                <c:pt idx="814">
                  <c:v>4200</c:v>
                </c:pt>
                <c:pt idx="815">
                  <c:v>4200</c:v>
                </c:pt>
                <c:pt idx="816">
                  <c:v>4210</c:v>
                </c:pt>
                <c:pt idx="817">
                  <c:v>4210</c:v>
                </c:pt>
              </c:numCache>
            </c:numRef>
          </c:xVal>
          <c:yVal>
            <c:numRef>
              <c:f>'Fossil 100 yrs'!$AL$2:$AL$819</c:f>
              <c:numCache>
                <c:formatCode>General</c:formatCode>
                <c:ptCount val="8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2</c:v>
                </c:pt>
                <c:pt idx="806">
                  <c:v>2</c:v>
                </c:pt>
                <c:pt idx="807">
                  <c:v>214</c:v>
                </c:pt>
                <c:pt idx="808">
                  <c:v>214</c:v>
                </c:pt>
                <c:pt idx="809">
                  <c:v>4746</c:v>
                </c:pt>
                <c:pt idx="810">
                  <c:v>4746</c:v>
                </c:pt>
                <c:pt idx="811">
                  <c:v>4828</c:v>
                </c:pt>
                <c:pt idx="812">
                  <c:v>4828</c:v>
                </c:pt>
                <c:pt idx="813">
                  <c:v>208</c:v>
                </c:pt>
                <c:pt idx="814">
                  <c:v>208</c:v>
                </c:pt>
                <c:pt idx="815">
                  <c:v>2</c:v>
                </c:pt>
                <c:pt idx="816">
                  <c:v>2</c:v>
                </c:pt>
                <c:pt idx="81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F0-47D4-9336-CE0FC630F879}"/>
            </c:ext>
          </c:extLst>
        </c:ser>
        <c:ser>
          <c:idx val="1"/>
          <c:order val="1"/>
          <c:tx>
            <c:strRef>
              <c:f>'Fossil 100 yrs'!$AM$1</c:f>
              <c:strCache>
                <c:ptCount val="1"/>
                <c:pt idx="0">
                  <c:v>MCMC Madness'!$CW$50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'Fossil 100 yrs'!$AK$2:$AK$819</c:f>
              <c:numCache>
                <c:formatCode>General</c:formatCode>
                <c:ptCount val="818"/>
                <c:pt idx="0">
                  <c:v>130</c:v>
                </c:pt>
                <c:pt idx="1">
                  <c:v>130</c:v>
                </c:pt>
                <c:pt idx="2">
                  <c:v>140</c:v>
                </c:pt>
                <c:pt idx="3">
                  <c:v>140</c:v>
                </c:pt>
                <c:pt idx="4">
                  <c:v>150</c:v>
                </c:pt>
                <c:pt idx="5">
                  <c:v>150</c:v>
                </c:pt>
                <c:pt idx="6">
                  <c:v>160</c:v>
                </c:pt>
                <c:pt idx="7">
                  <c:v>160</c:v>
                </c:pt>
                <c:pt idx="8">
                  <c:v>170</c:v>
                </c:pt>
                <c:pt idx="9">
                  <c:v>170</c:v>
                </c:pt>
                <c:pt idx="10">
                  <c:v>180</c:v>
                </c:pt>
                <c:pt idx="11">
                  <c:v>180</c:v>
                </c:pt>
                <c:pt idx="12">
                  <c:v>190</c:v>
                </c:pt>
                <c:pt idx="13">
                  <c:v>190</c:v>
                </c:pt>
                <c:pt idx="14">
                  <c:v>200</c:v>
                </c:pt>
                <c:pt idx="15">
                  <c:v>200</c:v>
                </c:pt>
                <c:pt idx="16">
                  <c:v>210</c:v>
                </c:pt>
                <c:pt idx="17">
                  <c:v>210</c:v>
                </c:pt>
                <c:pt idx="18">
                  <c:v>220</c:v>
                </c:pt>
                <c:pt idx="19">
                  <c:v>220</c:v>
                </c:pt>
                <c:pt idx="20">
                  <c:v>230</c:v>
                </c:pt>
                <c:pt idx="21">
                  <c:v>230</c:v>
                </c:pt>
                <c:pt idx="22">
                  <c:v>240</c:v>
                </c:pt>
                <c:pt idx="23">
                  <c:v>240</c:v>
                </c:pt>
                <c:pt idx="24">
                  <c:v>250</c:v>
                </c:pt>
                <c:pt idx="25">
                  <c:v>250</c:v>
                </c:pt>
                <c:pt idx="26">
                  <c:v>260</c:v>
                </c:pt>
                <c:pt idx="27">
                  <c:v>260</c:v>
                </c:pt>
                <c:pt idx="28">
                  <c:v>270</c:v>
                </c:pt>
                <c:pt idx="29">
                  <c:v>270</c:v>
                </c:pt>
                <c:pt idx="30">
                  <c:v>280</c:v>
                </c:pt>
                <c:pt idx="31">
                  <c:v>280</c:v>
                </c:pt>
                <c:pt idx="32">
                  <c:v>290</c:v>
                </c:pt>
                <c:pt idx="33">
                  <c:v>290</c:v>
                </c:pt>
                <c:pt idx="34">
                  <c:v>300</c:v>
                </c:pt>
                <c:pt idx="35">
                  <c:v>300</c:v>
                </c:pt>
                <c:pt idx="36">
                  <c:v>310</c:v>
                </c:pt>
                <c:pt idx="37">
                  <c:v>310</c:v>
                </c:pt>
                <c:pt idx="38">
                  <c:v>320</c:v>
                </c:pt>
                <c:pt idx="39">
                  <c:v>320</c:v>
                </c:pt>
                <c:pt idx="40">
                  <c:v>330</c:v>
                </c:pt>
                <c:pt idx="41">
                  <c:v>330</c:v>
                </c:pt>
                <c:pt idx="42">
                  <c:v>340</c:v>
                </c:pt>
                <c:pt idx="43">
                  <c:v>340</c:v>
                </c:pt>
                <c:pt idx="44">
                  <c:v>350</c:v>
                </c:pt>
                <c:pt idx="45">
                  <c:v>350</c:v>
                </c:pt>
                <c:pt idx="46">
                  <c:v>360</c:v>
                </c:pt>
                <c:pt idx="47">
                  <c:v>360</c:v>
                </c:pt>
                <c:pt idx="48">
                  <c:v>370</c:v>
                </c:pt>
                <c:pt idx="49">
                  <c:v>370</c:v>
                </c:pt>
                <c:pt idx="50">
                  <c:v>380</c:v>
                </c:pt>
                <c:pt idx="51">
                  <c:v>380</c:v>
                </c:pt>
                <c:pt idx="52">
                  <c:v>390</c:v>
                </c:pt>
                <c:pt idx="53">
                  <c:v>390</c:v>
                </c:pt>
                <c:pt idx="54">
                  <c:v>400</c:v>
                </c:pt>
                <c:pt idx="55">
                  <c:v>400</c:v>
                </c:pt>
                <c:pt idx="56">
                  <c:v>410</c:v>
                </c:pt>
                <c:pt idx="57">
                  <c:v>410</c:v>
                </c:pt>
                <c:pt idx="58">
                  <c:v>420</c:v>
                </c:pt>
                <c:pt idx="59">
                  <c:v>420</c:v>
                </c:pt>
                <c:pt idx="60">
                  <c:v>430</c:v>
                </c:pt>
                <c:pt idx="61">
                  <c:v>430</c:v>
                </c:pt>
                <c:pt idx="62">
                  <c:v>440</c:v>
                </c:pt>
                <c:pt idx="63">
                  <c:v>440</c:v>
                </c:pt>
                <c:pt idx="64">
                  <c:v>450</c:v>
                </c:pt>
                <c:pt idx="65">
                  <c:v>450</c:v>
                </c:pt>
                <c:pt idx="66">
                  <c:v>460</c:v>
                </c:pt>
                <c:pt idx="67">
                  <c:v>460</c:v>
                </c:pt>
                <c:pt idx="68">
                  <c:v>470</c:v>
                </c:pt>
                <c:pt idx="69">
                  <c:v>470</c:v>
                </c:pt>
                <c:pt idx="70">
                  <c:v>480</c:v>
                </c:pt>
                <c:pt idx="71">
                  <c:v>480</c:v>
                </c:pt>
                <c:pt idx="72">
                  <c:v>490</c:v>
                </c:pt>
                <c:pt idx="73">
                  <c:v>490</c:v>
                </c:pt>
                <c:pt idx="74">
                  <c:v>500</c:v>
                </c:pt>
                <c:pt idx="75">
                  <c:v>500</c:v>
                </c:pt>
                <c:pt idx="76">
                  <c:v>510</c:v>
                </c:pt>
                <c:pt idx="77">
                  <c:v>510</c:v>
                </c:pt>
                <c:pt idx="78">
                  <c:v>520</c:v>
                </c:pt>
                <c:pt idx="79">
                  <c:v>520</c:v>
                </c:pt>
                <c:pt idx="80">
                  <c:v>530</c:v>
                </c:pt>
                <c:pt idx="81">
                  <c:v>530</c:v>
                </c:pt>
                <c:pt idx="82">
                  <c:v>540</c:v>
                </c:pt>
                <c:pt idx="83">
                  <c:v>540</c:v>
                </c:pt>
                <c:pt idx="84">
                  <c:v>550</c:v>
                </c:pt>
                <c:pt idx="85">
                  <c:v>550</c:v>
                </c:pt>
                <c:pt idx="86">
                  <c:v>560</c:v>
                </c:pt>
                <c:pt idx="87">
                  <c:v>560</c:v>
                </c:pt>
                <c:pt idx="88">
                  <c:v>570</c:v>
                </c:pt>
                <c:pt idx="89">
                  <c:v>570</c:v>
                </c:pt>
                <c:pt idx="90">
                  <c:v>580</c:v>
                </c:pt>
                <c:pt idx="91">
                  <c:v>580</c:v>
                </c:pt>
                <c:pt idx="92">
                  <c:v>590</c:v>
                </c:pt>
                <c:pt idx="93">
                  <c:v>590</c:v>
                </c:pt>
                <c:pt idx="94">
                  <c:v>600</c:v>
                </c:pt>
                <c:pt idx="95">
                  <c:v>600</c:v>
                </c:pt>
                <c:pt idx="96">
                  <c:v>610</c:v>
                </c:pt>
                <c:pt idx="97">
                  <c:v>610</c:v>
                </c:pt>
                <c:pt idx="98">
                  <c:v>620</c:v>
                </c:pt>
                <c:pt idx="99">
                  <c:v>620</c:v>
                </c:pt>
                <c:pt idx="100">
                  <c:v>630</c:v>
                </c:pt>
                <c:pt idx="101">
                  <c:v>630</c:v>
                </c:pt>
                <c:pt idx="102">
                  <c:v>640</c:v>
                </c:pt>
                <c:pt idx="103">
                  <c:v>640</c:v>
                </c:pt>
                <c:pt idx="104">
                  <c:v>650</c:v>
                </c:pt>
                <c:pt idx="105">
                  <c:v>650</c:v>
                </c:pt>
                <c:pt idx="106">
                  <c:v>660</c:v>
                </c:pt>
                <c:pt idx="107">
                  <c:v>660</c:v>
                </c:pt>
                <c:pt idx="108">
                  <c:v>670</c:v>
                </c:pt>
                <c:pt idx="109">
                  <c:v>670</c:v>
                </c:pt>
                <c:pt idx="110">
                  <c:v>680</c:v>
                </c:pt>
                <c:pt idx="111">
                  <c:v>680</c:v>
                </c:pt>
                <c:pt idx="112">
                  <c:v>690</c:v>
                </c:pt>
                <c:pt idx="113">
                  <c:v>690</c:v>
                </c:pt>
                <c:pt idx="114">
                  <c:v>700</c:v>
                </c:pt>
                <c:pt idx="115">
                  <c:v>700</c:v>
                </c:pt>
                <c:pt idx="116">
                  <c:v>710</c:v>
                </c:pt>
                <c:pt idx="117">
                  <c:v>710</c:v>
                </c:pt>
                <c:pt idx="118">
                  <c:v>720</c:v>
                </c:pt>
                <c:pt idx="119">
                  <c:v>720</c:v>
                </c:pt>
                <c:pt idx="120">
                  <c:v>730</c:v>
                </c:pt>
                <c:pt idx="121">
                  <c:v>730</c:v>
                </c:pt>
                <c:pt idx="122">
                  <c:v>740</c:v>
                </c:pt>
                <c:pt idx="123">
                  <c:v>740</c:v>
                </c:pt>
                <c:pt idx="124">
                  <c:v>750</c:v>
                </c:pt>
                <c:pt idx="125">
                  <c:v>750</c:v>
                </c:pt>
                <c:pt idx="126">
                  <c:v>760</c:v>
                </c:pt>
                <c:pt idx="127">
                  <c:v>760</c:v>
                </c:pt>
                <c:pt idx="128">
                  <c:v>770</c:v>
                </c:pt>
                <c:pt idx="129">
                  <c:v>770</c:v>
                </c:pt>
                <c:pt idx="130">
                  <c:v>780</c:v>
                </c:pt>
                <c:pt idx="131">
                  <c:v>780</c:v>
                </c:pt>
                <c:pt idx="132">
                  <c:v>790</c:v>
                </c:pt>
                <c:pt idx="133">
                  <c:v>790</c:v>
                </c:pt>
                <c:pt idx="134">
                  <c:v>800</c:v>
                </c:pt>
                <c:pt idx="135">
                  <c:v>800</c:v>
                </c:pt>
                <c:pt idx="136">
                  <c:v>810</c:v>
                </c:pt>
                <c:pt idx="137">
                  <c:v>810</c:v>
                </c:pt>
                <c:pt idx="138">
                  <c:v>820</c:v>
                </c:pt>
                <c:pt idx="139">
                  <c:v>820</c:v>
                </c:pt>
                <c:pt idx="140">
                  <c:v>830</c:v>
                </c:pt>
                <c:pt idx="141">
                  <c:v>830</c:v>
                </c:pt>
                <c:pt idx="142">
                  <c:v>840</c:v>
                </c:pt>
                <c:pt idx="143">
                  <c:v>840</c:v>
                </c:pt>
                <c:pt idx="144">
                  <c:v>850</c:v>
                </c:pt>
                <c:pt idx="145">
                  <c:v>850</c:v>
                </c:pt>
                <c:pt idx="146">
                  <c:v>860</c:v>
                </c:pt>
                <c:pt idx="147">
                  <c:v>860</c:v>
                </c:pt>
                <c:pt idx="148">
                  <c:v>870</c:v>
                </c:pt>
                <c:pt idx="149">
                  <c:v>870</c:v>
                </c:pt>
                <c:pt idx="150">
                  <c:v>880</c:v>
                </c:pt>
                <c:pt idx="151">
                  <c:v>880</c:v>
                </c:pt>
                <c:pt idx="152">
                  <c:v>890</c:v>
                </c:pt>
                <c:pt idx="153">
                  <c:v>890</c:v>
                </c:pt>
                <c:pt idx="154">
                  <c:v>900</c:v>
                </c:pt>
                <c:pt idx="155">
                  <c:v>900</c:v>
                </c:pt>
                <c:pt idx="156">
                  <c:v>910</c:v>
                </c:pt>
                <c:pt idx="157">
                  <c:v>910</c:v>
                </c:pt>
                <c:pt idx="158">
                  <c:v>920</c:v>
                </c:pt>
                <c:pt idx="159">
                  <c:v>920</c:v>
                </c:pt>
                <c:pt idx="160">
                  <c:v>930</c:v>
                </c:pt>
                <c:pt idx="161">
                  <c:v>930</c:v>
                </c:pt>
                <c:pt idx="162">
                  <c:v>940</c:v>
                </c:pt>
                <c:pt idx="163">
                  <c:v>940</c:v>
                </c:pt>
                <c:pt idx="164">
                  <c:v>950</c:v>
                </c:pt>
                <c:pt idx="165">
                  <c:v>950</c:v>
                </c:pt>
                <c:pt idx="166">
                  <c:v>960</c:v>
                </c:pt>
                <c:pt idx="167">
                  <c:v>960</c:v>
                </c:pt>
                <c:pt idx="168">
                  <c:v>970</c:v>
                </c:pt>
                <c:pt idx="169">
                  <c:v>970</c:v>
                </c:pt>
                <c:pt idx="170">
                  <c:v>980</c:v>
                </c:pt>
                <c:pt idx="171">
                  <c:v>980</c:v>
                </c:pt>
                <c:pt idx="172">
                  <c:v>990</c:v>
                </c:pt>
                <c:pt idx="173">
                  <c:v>990</c:v>
                </c:pt>
                <c:pt idx="174">
                  <c:v>1000</c:v>
                </c:pt>
                <c:pt idx="175">
                  <c:v>1000</c:v>
                </c:pt>
                <c:pt idx="176">
                  <c:v>1010</c:v>
                </c:pt>
                <c:pt idx="177">
                  <c:v>1010</c:v>
                </c:pt>
                <c:pt idx="178">
                  <c:v>1020</c:v>
                </c:pt>
                <c:pt idx="179">
                  <c:v>1020</c:v>
                </c:pt>
                <c:pt idx="180">
                  <c:v>1030</c:v>
                </c:pt>
                <c:pt idx="181">
                  <c:v>1030</c:v>
                </c:pt>
                <c:pt idx="182">
                  <c:v>1040</c:v>
                </c:pt>
                <c:pt idx="183">
                  <c:v>1040</c:v>
                </c:pt>
                <c:pt idx="184">
                  <c:v>1050</c:v>
                </c:pt>
                <c:pt idx="185">
                  <c:v>1050</c:v>
                </c:pt>
                <c:pt idx="186">
                  <c:v>1060</c:v>
                </c:pt>
                <c:pt idx="187">
                  <c:v>1060</c:v>
                </c:pt>
                <c:pt idx="188">
                  <c:v>1070</c:v>
                </c:pt>
                <c:pt idx="189">
                  <c:v>1070</c:v>
                </c:pt>
                <c:pt idx="190">
                  <c:v>1080</c:v>
                </c:pt>
                <c:pt idx="191">
                  <c:v>1080</c:v>
                </c:pt>
                <c:pt idx="192">
                  <c:v>1090</c:v>
                </c:pt>
                <c:pt idx="193">
                  <c:v>1090</c:v>
                </c:pt>
                <c:pt idx="194">
                  <c:v>1100</c:v>
                </c:pt>
                <c:pt idx="195">
                  <c:v>1100</c:v>
                </c:pt>
                <c:pt idx="196">
                  <c:v>1110</c:v>
                </c:pt>
                <c:pt idx="197">
                  <c:v>1110</c:v>
                </c:pt>
                <c:pt idx="198">
                  <c:v>1120</c:v>
                </c:pt>
                <c:pt idx="199">
                  <c:v>1120</c:v>
                </c:pt>
                <c:pt idx="200">
                  <c:v>1130</c:v>
                </c:pt>
                <c:pt idx="201">
                  <c:v>1130</c:v>
                </c:pt>
                <c:pt idx="202">
                  <c:v>1140</c:v>
                </c:pt>
                <c:pt idx="203">
                  <c:v>1140</c:v>
                </c:pt>
                <c:pt idx="204">
                  <c:v>1150</c:v>
                </c:pt>
                <c:pt idx="205">
                  <c:v>1150</c:v>
                </c:pt>
                <c:pt idx="206">
                  <c:v>1160</c:v>
                </c:pt>
                <c:pt idx="207">
                  <c:v>1160</c:v>
                </c:pt>
                <c:pt idx="208">
                  <c:v>1170</c:v>
                </c:pt>
                <c:pt idx="209">
                  <c:v>1170</c:v>
                </c:pt>
                <c:pt idx="210">
                  <c:v>1180</c:v>
                </c:pt>
                <c:pt idx="211">
                  <c:v>1180</c:v>
                </c:pt>
                <c:pt idx="212">
                  <c:v>1190</c:v>
                </c:pt>
                <c:pt idx="213">
                  <c:v>1190</c:v>
                </c:pt>
                <c:pt idx="214">
                  <c:v>1200</c:v>
                </c:pt>
                <c:pt idx="215">
                  <c:v>1200</c:v>
                </c:pt>
                <c:pt idx="216">
                  <c:v>1210</c:v>
                </c:pt>
                <c:pt idx="217">
                  <c:v>1210</c:v>
                </c:pt>
                <c:pt idx="218">
                  <c:v>1220</c:v>
                </c:pt>
                <c:pt idx="219">
                  <c:v>1220</c:v>
                </c:pt>
                <c:pt idx="220">
                  <c:v>1230</c:v>
                </c:pt>
                <c:pt idx="221">
                  <c:v>1230</c:v>
                </c:pt>
                <c:pt idx="222">
                  <c:v>1240</c:v>
                </c:pt>
                <c:pt idx="223">
                  <c:v>1240</c:v>
                </c:pt>
                <c:pt idx="224">
                  <c:v>1250</c:v>
                </c:pt>
                <c:pt idx="225">
                  <c:v>1250</c:v>
                </c:pt>
                <c:pt idx="226">
                  <c:v>1260</c:v>
                </c:pt>
                <c:pt idx="227">
                  <c:v>1260</c:v>
                </c:pt>
                <c:pt idx="228">
                  <c:v>1270</c:v>
                </c:pt>
                <c:pt idx="229">
                  <c:v>1270</c:v>
                </c:pt>
                <c:pt idx="230">
                  <c:v>1280</c:v>
                </c:pt>
                <c:pt idx="231">
                  <c:v>1280</c:v>
                </c:pt>
                <c:pt idx="232">
                  <c:v>1290</c:v>
                </c:pt>
                <c:pt idx="233">
                  <c:v>1290</c:v>
                </c:pt>
                <c:pt idx="234">
                  <c:v>1300</c:v>
                </c:pt>
                <c:pt idx="235">
                  <c:v>1300</c:v>
                </c:pt>
                <c:pt idx="236">
                  <c:v>1310</c:v>
                </c:pt>
                <c:pt idx="237">
                  <c:v>1310</c:v>
                </c:pt>
                <c:pt idx="238">
                  <c:v>1320</c:v>
                </c:pt>
                <c:pt idx="239">
                  <c:v>1320</c:v>
                </c:pt>
                <c:pt idx="240">
                  <c:v>1330</c:v>
                </c:pt>
                <c:pt idx="241">
                  <c:v>1330</c:v>
                </c:pt>
                <c:pt idx="242">
                  <c:v>1340</c:v>
                </c:pt>
                <c:pt idx="243">
                  <c:v>1340</c:v>
                </c:pt>
                <c:pt idx="244">
                  <c:v>1350</c:v>
                </c:pt>
                <c:pt idx="245">
                  <c:v>1350</c:v>
                </c:pt>
                <c:pt idx="246">
                  <c:v>1360</c:v>
                </c:pt>
                <c:pt idx="247">
                  <c:v>1360</c:v>
                </c:pt>
                <c:pt idx="248">
                  <c:v>1370</c:v>
                </c:pt>
                <c:pt idx="249">
                  <c:v>1370</c:v>
                </c:pt>
                <c:pt idx="250">
                  <c:v>1380</c:v>
                </c:pt>
                <c:pt idx="251">
                  <c:v>1380</c:v>
                </c:pt>
                <c:pt idx="252">
                  <c:v>1390</c:v>
                </c:pt>
                <c:pt idx="253">
                  <c:v>1390</c:v>
                </c:pt>
                <c:pt idx="254">
                  <c:v>1400</c:v>
                </c:pt>
                <c:pt idx="255">
                  <c:v>1400</c:v>
                </c:pt>
                <c:pt idx="256">
                  <c:v>1410</c:v>
                </c:pt>
                <c:pt idx="257">
                  <c:v>1410</c:v>
                </c:pt>
                <c:pt idx="258">
                  <c:v>1420</c:v>
                </c:pt>
                <c:pt idx="259">
                  <c:v>1420</c:v>
                </c:pt>
                <c:pt idx="260">
                  <c:v>1430</c:v>
                </c:pt>
                <c:pt idx="261">
                  <c:v>1430</c:v>
                </c:pt>
                <c:pt idx="262">
                  <c:v>1440</c:v>
                </c:pt>
                <c:pt idx="263">
                  <c:v>1440</c:v>
                </c:pt>
                <c:pt idx="264">
                  <c:v>1450</c:v>
                </c:pt>
                <c:pt idx="265">
                  <c:v>1450</c:v>
                </c:pt>
                <c:pt idx="266">
                  <c:v>1460</c:v>
                </c:pt>
                <c:pt idx="267">
                  <c:v>1460</c:v>
                </c:pt>
                <c:pt idx="268">
                  <c:v>1470</c:v>
                </c:pt>
                <c:pt idx="269">
                  <c:v>1470</c:v>
                </c:pt>
                <c:pt idx="270">
                  <c:v>1480</c:v>
                </c:pt>
                <c:pt idx="271">
                  <c:v>1480</c:v>
                </c:pt>
                <c:pt idx="272">
                  <c:v>1490</c:v>
                </c:pt>
                <c:pt idx="273">
                  <c:v>1490</c:v>
                </c:pt>
                <c:pt idx="274">
                  <c:v>1500</c:v>
                </c:pt>
                <c:pt idx="275">
                  <c:v>1500</c:v>
                </c:pt>
                <c:pt idx="276">
                  <c:v>1510</c:v>
                </c:pt>
                <c:pt idx="277">
                  <c:v>1510</c:v>
                </c:pt>
                <c:pt idx="278">
                  <c:v>1520</c:v>
                </c:pt>
                <c:pt idx="279">
                  <c:v>1520</c:v>
                </c:pt>
                <c:pt idx="280">
                  <c:v>1530</c:v>
                </c:pt>
                <c:pt idx="281">
                  <c:v>1530</c:v>
                </c:pt>
                <c:pt idx="282">
                  <c:v>1540</c:v>
                </c:pt>
                <c:pt idx="283">
                  <c:v>1540</c:v>
                </c:pt>
                <c:pt idx="284">
                  <c:v>1550</c:v>
                </c:pt>
                <c:pt idx="285">
                  <c:v>1550</c:v>
                </c:pt>
                <c:pt idx="286">
                  <c:v>1560</c:v>
                </c:pt>
                <c:pt idx="287">
                  <c:v>1560</c:v>
                </c:pt>
                <c:pt idx="288">
                  <c:v>1570</c:v>
                </c:pt>
                <c:pt idx="289">
                  <c:v>1570</c:v>
                </c:pt>
                <c:pt idx="290">
                  <c:v>1580</c:v>
                </c:pt>
                <c:pt idx="291">
                  <c:v>1580</c:v>
                </c:pt>
                <c:pt idx="292">
                  <c:v>1590</c:v>
                </c:pt>
                <c:pt idx="293">
                  <c:v>1590</c:v>
                </c:pt>
                <c:pt idx="294">
                  <c:v>1600</c:v>
                </c:pt>
                <c:pt idx="295">
                  <c:v>1600</c:v>
                </c:pt>
                <c:pt idx="296">
                  <c:v>1610</c:v>
                </c:pt>
                <c:pt idx="297">
                  <c:v>1610</c:v>
                </c:pt>
                <c:pt idx="298">
                  <c:v>1620</c:v>
                </c:pt>
                <c:pt idx="299">
                  <c:v>1620</c:v>
                </c:pt>
                <c:pt idx="300">
                  <c:v>1630</c:v>
                </c:pt>
                <c:pt idx="301">
                  <c:v>1630</c:v>
                </c:pt>
                <c:pt idx="302">
                  <c:v>1640</c:v>
                </c:pt>
                <c:pt idx="303">
                  <c:v>1640</c:v>
                </c:pt>
                <c:pt idx="304">
                  <c:v>1650</c:v>
                </c:pt>
                <c:pt idx="305">
                  <c:v>1650</c:v>
                </c:pt>
                <c:pt idx="306">
                  <c:v>1660</c:v>
                </c:pt>
                <c:pt idx="307">
                  <c:v>1660</c:v>
                </c:pt>
                <c:pt idx="308">
                  <c:v>1670</c:v>
                </c:pt>
                <c:pt idx="309">
                  <c:v>1670</c:v>
                </c:pt>
                <c:pt idx="310">
                  <c:v>1680</c:v>
                </c:pt>
                <c:pt idx="311">
                  <c:v>1680</c:v>
                </c:pt>
                <c:pt idx="312">
                  <c:v>1690</c:v>
                </c:pt>
                <c:pt idx="313">
                  <c:v>1690</c:v>
                </c:pt>
                <c:pt idx="314">
                  <c:v>1700</c:v>
                </c:pt>
                <c:pt idx="315">
                  <c:v>1700</c:v>
                </c:pt>
                <c:pt idx="316">
                  <c:v>1710</c:v>
                </c:pt>
                <c:pt idx="317">
                  <c:v>1710</c:v>
                </c:pt>
                <c:pt idx="318">
                  <c:v>1720</c:v>
                </c:pt>
                <c:pt idx="319">
                  <c:v>1720</c:v>
                </c:pt>
                <c:pt idx="320">
                  <c:v>1730</c:v>
                </c:pt>
                <c:pt idx="321">
                  <c:v>1730</c:v>
                </c:pt>
                <c:pt idx="322">
                  <c:v>1740</c:v>
                </c:pt>
                <c:pt idx="323">
                  <c:v>1740</c:v>
                </c:pt>
                <c:pt idx="324">
                  <c:v>1750</c:v>
                </c:pt>
                <c:pt idx="325">
                  <c:v>1750</c:v>
                </c:pt>
                <c:pt idx="326">
                  <c:v>1760</c:v>
                </c:pt>
                <c:pt idx="327">
                  <c:v>1760</c:v>
                </c:pt>
                <c:pt idx="328">
                  <c:v>1770</c:v>
                </c:pt>
                <c:pt idx="329">
                  <c:v>1770</c:v>
                </c:pt>
                <c:pt idx="330">
                  <c:v>1780</c:v>
                </c:pt>
                <c:pt idx="331">
                  <c:v>1780</c:v>
                </c:pt>
                <c:pt idx="332">
                  <c:v>1790</c:v>
                </c:pt>
                <c:pt idx="333">
                  <c:v>1790</c:v>
                </c:pt>
                <c:pt idx="334">
                  <c:v>1800</c:v>
                </c:pt>
                <c:pt idx="335">
                  <c:v>1800</c:v>
                </c:pt>
                <c:pt idx="336">
                  <c:v>1810</c:v>
                </c:pt>
                <c:pt idx="337">
                  <c:v>1810</c:v>
                </c:pt>
                <c:pt idx="338">
                  <c:v>1820</c:v>
                </c:pt>
                <c:pt idx="339">
                  <c:v>1820</c:v>
                </c:pt>
                <c:pt idx="340">
                  <c:v>1830</c:v>
                </c:pt>
                <c:pt idx="341">
                  <c:v>1830</c:v>
                </c:pt>
                <c:pt idx="342">
                  <c:v>1840</c:v>
                </c:pt>
                <c:pt idx="343">
                  <c:v>1840</c:v>
                </c:pt>
                <c:pt idx="344">
                  <c:v>1850</c:v>
                </c:pt>
                <c:pt idx="345">
                  <c:v>1850</c:v>
                </c:pt>
                <c:pt idx="346">
                  <c:v>1860</c:v>
                </c:pt>
                <c:pt idx="347">
                  <c:v>1860</c:v>
                </c:pt>
                <c:pt idx="348">
                  <c:v>1870</c:v>
                </c:pt>
                <c:pt idx="349">
                  <c:v>1870</c:v>
                </c:pt>
                <c:pt idx="350">
                  <c:v>1880</c:v>
                </c:pt>
                <c:pt idx="351">
                  <c:v>1880</c:v>
                </c:pt>
                <c:pt idx="352">
                  <c:v>1890</c:v>
                </c:pt>
                <c:pt idx="353">
                  <c:v>1890</c:v>
                </c:pt>
                <c:pt idx="354">
                  <c:v>1900</c:v>
                </c:pt>
                <c:pt idx="355">
                  <c:v>1900</c:v>
                </c:pt>
                <c:pt idx="356">
                  <c:v>1910</c:v>
                </c:pt>
                <c:pt idx="357">
                  <c:v>1910</c:v>
                </c:pt>
                <c:pt idx="358">
                  <c:v>1920</c:v>
                </c:pt>
                <c:pt idx="359">
                  <c:v>1920</c:v>
                </c:pt>
                <c:pt idx="360">
                  <c:v>1930</c:v>
                </c:pt>
                <c:pt idx="361">
                  <c:v>1930</c:v>
                </c:pt>
                <c:pt idx="362">
                  <c:v>1940</c:v>
                </c:pt>
                <c:pt idx="363">
                  <c:v>1940</c:v>
                </c:pt>
                <c:pt idx="364">
                  <c:v>1950</c:v>
                </c:pt>
                <c:pt idx="365">
                  <c:v>1950</c:v>
                </c:pt>
                <c:pt idx="366">
                  <c:v>1960</c:v>
                </c:pt>
                <c:pt idx="367">
                  <c:v>1960</c:v>
                </c:pt>
                <c:pt idx="368">
                  <c:v>1970</c:v>
                </c:pt>
                <c:pt idx="369">
                  <c:v>1970</c:v>
                </c:pt>
                <c:pt idx="370">
                  <c:v>1980</c:v>
                </c:pt>
                <c:pt idx="371">
                  <c:v>1980</c:v>
                </c:pt>
                <c:pt idx="372">
                  <c:v>1990</c:v>
                </c:pt>
                <c:pt idx="373">
                  <c:v>1990</c:v>
                </c:pt>
                <c:pt idx="374">
                  <c:v>2000</c:v>
                </c:pt>
                <c:pt idx="375">
                  <c:v>2000</c:v>
                </c:pt>
                <c:pt idx="376">
                  <c:v>2010</c:v>
                </c:pt>
                <c:pt idx="377">
                  <c:v>2010</c:v>
                </c:pt>
                <c:pt idx="378">
                  <c:v>2020</c:v>
                </c:pt>
                <c:pt idx="379">
                  <c:v>2020</c:v>
                </c:pt>
                <c:pt idx="380">
                  <c:v>2030</c:v>
                </c:pt>
                <c:pt idx="381">
                  <c:v>2030</c:v>
                </c:pt>
                <c:pt idx="382">
                  <c:v>2040</c:v>
                </c:pt>
                <c:pt idx="383">
                  <c:v>2040</c:v>
                </c:pt>
                <c:pt idx="384">
                  <c:v>2050</c:v>
                </c:pt>
                <c:pt idx="385">
                  <c:v>2050</c:v>
                </c:pt>
                <c:pt idx="386">
                  <c:v>2060</c:v>
                </c:pt>
                <c:pt idx="387">
                  <c:v>2060</c:v>
                </c:pt>
                <c:pt idx="388">
                  <c:v>2070</c:v>
                </c:pt>
                <c:pt idx="389">
                  <c:v>2070</c:v>
                </c:pt>
                <c:pt idx="390">
                  <c:v>2080</c:v>
                </c:pt>
                <c:pt idx="391">
                  <c:v>2080</c:v>
                </c:pt>
                <c:pt idx="392">
                  <c:v>2090</c:v>
                </c:pt>
                <c:pt idx="393">
                  <c:v>2090</c:v>
                </c:pt>
                <c:pt idx="394">
                  <c:v>2100</c:v>
                </c:pt>
                <c:pt idx="395">
                  <c:v>2100</c:v>
                </c:pt>
                <c:pt idx="396">
                  <c:v>2110</c:v>
                </c:pt>
                <c:pt idx="397">
                  <c:v>2110</c:v>
                </c:pt>
                <c:pt idx="398">
                  <c:v>2120</c:v>
                </c:pt>
                <c:pt idx="399">
                  <c:v>2120</c:v>
                </c:pt>
                <c:pt idx="400">
                  <c:v>2130</c:v>
                </c:pt>
                <c:pt idx="401">
                  <c:v>2130</c:v>
                </c:pt>
                <c:pt idx="402">
                  <c:v>2140</c:v>
                </c:pt>
                <c:pt idx="403">
                  <c:v>2140</c:v>
                </c:pt>
                <c:pt idx="404">
                  <c:v>2150</c:v>
                </c:pt>
                <c:pt idx="405">
                  <c:v>2150</c:v>
                </c:pt>
                <c:pt idx="406">
                  <c:v>2160</c:v>
                </c:pt>
                <c:pt idx="407">
                  <c:v>2160</c:v>
                </c:pt>
                <c:pt idx="408">
                  <c:v>2170</c:v>
                </c:pt>
                <c:pt idx="409">
                  <c:v>2170</c:v>
                </c:pt>
                <c:pt idx="410">
                  <c:v>2180</c:v>
                </c:pt>
                <c:pt idx="411">
                  <c:v>2180</c:v>
                </c:pt>
                <c:pt idx="412">
                  <c:v>2190</c:v>
                </c:pt>
                <c:pt idx="413">
                  <c:v>2190</c:v>
                </c:pt>
                <c:pt idx="414">
                  <c:v>2200</c:v>
                </c:pt>
                <c:pt idx="415">
                  <c:v>2200</c:v>
                </c:pt>
                <c:pt idx="416">
                  <c:v>2210</c:v>
                </c:pt>
                <c:pt idx="417">
                  <c:v>2210</c:v>
                </c:pt>
                <c:pt idx="418">
                  <c:v>2220</c:v>
                </c:pt>
                <c:pt idx="419">
                  <c:v>2220</c:v>
                </c:pt>
                <c:pt idx="420">
                  <c:v>2230</c:v>
                </c:pt>
                <c:pt idx="421">
                  <c:v>2230</c:v>
                </c:pt>
                <c:pt idx="422">
                  <c:v>2240</c:v>
                </c:pt>
                <c:pt idx="423">
                  <c:v>2240</c:v>
                </c:pt>
                <c:pt idx="424">
                  <c:v>2250</c:v>
                </c:pt>
                <c:pt idx="425">
                  <c:v>2250</c:v>
                </c:pt>
                <c:pt idx="426">
                  <c:v>2260</c:v>
                </c:pt>
                <c:pt idx="427">
                  <c:v>2260</c:v>
                </c:pt>
                <c:pt idx="428">
                  <c:v>2270</c:v>
                </c:pt>
                <c:pt idx="429">
                  <c:v>2270</c:v>
                </c:pt>
                <c:pt idx="430">
                  <c:v>2280</c:v>
                </c:pt>
                <c:pt idx="431">
                  <c:v>2280</c:v>
                </c:pt>
                <c:pt idx="432">
                  <c:v>2290</c:v>
                </c:pt>
                <c:pt idx="433">
                  <c:v>2290</c:v>
                </c:pt>
                <c:pt idx="434">
                  <c:v>2300</c:v>
                </c:pt>
                <c:pt idx="435">
                  <c:v>2300</c:v>
                </c:pt>
                <c:pt idx="436">
                  <c:v>2310</c:v>
                </c:pt>
                <c:pt idx="437">
                  <c:v>2310</c:v>
                </c:pt>
                <c:pt idx="438">
                  <c:v>2320</c:v>
                </c:pt>
                <c:pt idx="439">
                  <c:v>2320</c:v>
                </c:pt>
                <c:pt idx="440">
                  <c:v>2330</c:v>
                </c:pt>
                <c:pt idx="441">
                  <c:v>2330</c:v>
                </c:pt>
                <c:pt idx="442">
                  <c:v>2340</c:v>
                </c:pt>
                <c:pt idx="443">
                  <c:v>2340</c:v>
                </c:pt>
                <c:pt idx="444">
                  <c:v>2350</c:v>
                </c:pt>
                <c:pt idx="445">
                  <c:v>2350</c:v>
                </c:pt>
                <c:pt idx="446">
                  <c:v>2360</c:v>
                </c:pt>
                <c:pt idx="447">
                  <c:v>2360</c:v>
                </c:pt>
                <c:pt idx="448">
                  <c:v>2370</c:v>
                </c:pt>
                <c:pt idx="449">
                  <c:v>2370</c:v>
                </c:pt>
                <c:pt idx="450">
                  <c:v>2380</c:v>
                </c:pt>
                <c:pt idx="451">
                  <c:v>2380</c:v>
                </c:pt>
                <c:pt idx="452">
                  <c:v>2390</c:v>
                </c:pt>
                <c:pt idx="453">
                  <c:v>2390</c:v>
                </c:pt>
                <c:pt idx="454">
                  <c:v>2400</c:v>
                </c:pt>
                <c:pt idx="455">
                  <c:v>2400</c:v>
                </c:pt>
                <c:pt idx="456">
                  <c:v>2410</c:v>
                </c:pt>
                <c:pt idx="457">
                  <c:v>2410</c:v>
                </c:pt>
                <c:pt idx="458">
                  <c:v>2420</c:v>
                </c:pt>
                <c:pt idx="459">
                  <c:v>2420</c:v>
                </c:pt>
                <c:pt idx="460">
                  <c:v>2430</c:v>
                </c:pt>
                <c:pt idx="461">
                  <c:v>2430</c:v>
                </c:pt>
                <c:pt idx="462">
                  <c:v>2440</c:v>
                </c:pt>
                <c:pt idx="463">
                  <c:v>2440</c:v>
                </c:pt>
                <c:pt idx="464">
                  <c:v>2450</c:v>
                </c:pt>
                <c:pt idx="465">
                  <c:v>2450</c:v>
                </c:pt>
                <c:pt idx="466">
                  <c:v>2460</c:v>
                </c:pt>
                <c:pt idx="467">
                  <c:v>2460</c:v>
                </c:pt>
                <c:pt idx="468">
                  <c:v>2470</c:v>
                </c:pt>
                <c:pt idx="469">
                  <c:v>2470</c:v>
                </c:pt>
                <c:pt idx="470">
                  <c:v>2480</c:v>
                </c:pt>
                <c:pt idx="471">
                  <c:v>2480</c:v>
                </c:pt>
                <c:pt idx="472">
                  <c:v>2490</c:v>
                </c:pt>
                <c:pt idx="473">
                  <c:v>2490</c:v>
                </c:pt>
                <c:pt idx="474">
                  <c:v>2500</c:v>
                </c:pt>
                <c:pt idx="475">
                  <c:v>2500</c:v>
                </c:pt>
                <c:pt idx="476">
                  <c:v>2510</c:v>
                </c:pt>
                <c:pt idx="477">
                  <c:v>2510</c:v>
                </c:pt>
                <c:pt idx="478">
                  <c:v>2520</c:v>
                </c:pt>
                <c:pt idx="479">
                  <c:v>2520</c:v>
                </c:pt>
                <c:pt idx="480">
                  <c:v>2530</c:v>
                </c:pt>
                <c:pt idx="481">
                  <c:v>2530</c:v>
                </c:pt>
                <c:pt idx="482">
                  <c:v>2540</c:v>
                </c:pt>
                <c:pt idx="483">
                  <c:v>2540</c:v>
                </c:pt>
                <c:pt idx="484">
                  <c:v>2550</c:v>
                </c:pt>
                <c:pt idx="485">
                  <c:v>2550</c:v>
                </c:pt>
                <c:pt idx="486">
                  <c:v>2560</c:v>
                </c:pt>
                <c:pt idx="487">
                  <c:v>2560</c:v>
                </c:pt>
                <c:pt idx="488">
                  <c:v>2570</c:v>
                </c:pt>
                <c:pt idx="489">
                  <c:v>2570</c:v>
                </c:pt>
                <c:pt idx="490">
                  <c:v>2580</c:v>
                </c:pt>
                <c:pt idx="491">
                  <c:v>2580</c:v>
                </c:pt>
                <c:pt idx="492">
                  <c:v>2590</c:v>
                </c:pt>
                <c:pt idx="493">
                  <c:v>2590</c:v>
                </c:pt>
                <c:pt idx="494">
                  <c:v>2600</c:v>
                </c:pt>
                <c:pt idx="495">
                  <c:v>2600</c:v>
                </c:pt>
                <c:pt idx="496">
                  <c:v>2610</c:v>
                </c:pt>
                <c:pt idx="497">
                  <c:v>2610</c:v>
                </c:pt>
                <c:pt idx="498">
                  <c:v>2620</c:v>
                </c:pt>
                <c:pt idx="499">
                  <c:v>2620</c:v>
                </c:pt>
                <c:pt idx="500">
                  <c:v>2630</c:v>
                </c:pt>
                <c:pt idx="501">
                  <c:v>2630</c:v>
                </c:pt>
                <c:pt idx="502">
                  <c:v>2640</c:v>
                </c:pt>
                <c:pt idx="503">
                  <c:v>2640</c:v>
                </c:pt>
                <c:pt idx="504">
                  <c:v>2650</c:v>
                </c:pt>
                <c:pt idx="505">
                  <c:v>2650</c:v>
                </c:pt>
                <c:pt idx="506">
                  <c:v>2660</c:v>
                </c:pt>
                <c:pt idx="507">
                  <c:v>2660</c:v>
                </c:pt>
                <c:pt idx="508">
                  <c:v>2670</c:v>
                </c:pt>
                <c:pt idx="509">
                  <c:v>2670</c:v>
                </c:pt>
                <c:pt idx="510">
                  <c:v>2680</c:v>
                </c:pt>
                <c:pt idx="511">
                  <c:v>2680</c:v>
                </c:pt>
                <c:pt idx="512">
                  <c:v>2690</c:v>
                </c:pt>
                <c:pt idx="513">
                  <c:v>2690</c:v>
                </c:pt>
                <c:pt idx="514">
                  <c:v>2700</c:v>
                </c:pt>
                <c:pt idx="515">
                  <c:v>2700</c:v>
                </c:pt>
                <c:pt idx="516">
                  <c:v>2710</c:v>
                </c:pt>
                <c:pt idx="517">
                  <c:v>2710</c:v>
                </c:pt>
                <c:pt idx="518">
                  <c:v>2720</c:v>
                </c:pt>
                <c:pt idx="519">
                  <c:v>2720</c:v>
                </c:pt>
                <c:pt idx="520">
                  <c:v>2730</c:v>
                </c:pt>
                <c:pt idx="521">
                  <c:v>2730</c:v>
                </c:pt>
                <c:pt idx="522">
                  <c:v>2740</c:v>
                </c:pt>
                <c:pt idx="523">
                  <c:v>2740</c:v>
                </c:pt>
                <c:pt idx="524">
                  <c:v>2750</c:v>
                </c:pt>
                <c:pt idx="525">
                  <c:v>2750</c:v>
                </c:pt>
                <c:pt idx="526">
                  <c:v>2760</c:v>
                </c:pt>
                <c:pt idx="527">
                  <c:v>2760</c:v>
                </c:pt>
                <c:pt idx="528">
                  <c:v>2770</c:v>
                </c:pt>
                <c:pt idx="529">
                  <c:v>2770</c:v>
                </c:pt>
                <c:pt idx="530">
                  <c:v>2780</c:v>
                </c:pt>
                <c:pt idx="531">
                  <c:v>2780</c:v>
                </c:pt>
                <c:pt idx="532">
                  <c:v>2790</c:v>
                </c:pt>
                <c:pt idx="533">
                  <c:v>2790</c:v>
                </c:pt>
                <c:pt idx="534">
                  <c:v>2800</c:v>
                </c:pt>
                <c:pt idx="535">
                  <c:v>2800</c:v>
                </c:pt>
                <c:pt idx="536">
                  <c:v>2810</c:v>
                </c:pt>
                <c:pt idx="537">
                  <c:v>2810</c:v>
                </c:pt>
                <c:pt idx="538">
                  <c:v>2820</c:v>
                </c:pt>
                <c:pt idx="539">
                  <c:v>2820</c:v>
                </c:pt>
                <c:pt idx="540">
                  <c:v>2830</c:v>
                </c:pt>
                <c:pt idx="541">
                  <c:v>2830</c:v>
                </c:pt>
                <c:pt idx="542">
                  <c:v>2840</c:v>
                </c:pt>
                <c:pt idx="543">
                  <c:v>2840</c:v>
                </c:pt>
                <c:pt idx="544">
                  <c:v>2850</c:v>
                </c:pt>
                <c:pt idx="545">
                  <c:v>2850</c:v>
                </c:pt>
                <c:pt idx="546">
                  <c:v>2860</c:v>
                </c:pt>
                <c:pt idx="547">
                  <c:v>2860</c:v>
                </c:pt>
                <c:pt idx="548">
                  <c:v>2870</c:v>
                </c:pt>
                <c:pt idx="549">
                  <c:v>2870</c:v>
                </c:pt>
                <c:pt idx="550">
                  <c:v>2880</c:v>
                </c:pt>
                <c:pt idx="551">
                  <c:v>2880</c:v>
                </c:pt>
                <c:pt idx="552">
                  <c:v>2890</c:v>
                </c:pt>
                <c:pt idx="553">
                  <c:v>2890</c:v>
                </c:pt>
                <c:pt idx="554">
                  <c:v>2900</c:v>
                </c:pt>
                <c:pt idx="555">
                  <c:v>2900</c:v>
                </c:pt>
                <c:pt idx="556">
                  <c:v>2910</c:v>
                </c:pt>
                <c:pt idx="557">
                  <c:v>2910</c:v>
                </c:pt>
                <c:pt idx="558">
                  <c:v>2920</c:v>
                </c:pt>
                <c:pt idx="559">
                  <c:v>2920</c:v>
                </c:pt>
                <c:pt idx="560">
                  <c:v>2930</c:v>
                </c:pt>
                <c:pt idx="561">
                  <c:v>2930</c:v>
                </c:pt>
                <c:pt idx="562">
                  <c:v>2940</c:v>
                </c:pt>
                <c:pt idx="563">
                  <c:v>2940</c:v>
                </c:pt>
                <c:pt idx="564">
                  <c:v>2950</c:v>
                </c:pt>
                <c:pt idx="565">
                  <c:v>2950</c:v>
                </c:pt>
                <c:pt idx="566">
                  <c:v>2960</c:v>
                </c:pt>
                <c:pt idx="567">
                  <c:v>2960</c:v>
                </c:pt>
                <c:pt idx="568">
                  <c:v>2970</c:v>
                </c:pt>
                <c:pt idx="569">
                  <c:v>2970</c:v>
                </c:pt>
                <c:pt idx="570">
                  <c:v>2980</c:v>
                </c:pt>
                <c:pt idx="571">
                  <c:v>2980</c:v>
                </c:pt>
                <c:pt idx="572">
                  <c:v>2990</c:v>
                </c:pt>
                <c:pt idx="573">
                  <c:v>2990</c:v>
                </c:pt>
                <c:pt idx="574">
                  <c:v>3000</c:v>
                </c:pt>
                <c:pt idx="575">
                  <c:v>3000</c:v>
                </c:pt>
                <c:pt idx="576">
                  <c:v>3010</c:v>
                </c:pt>
                <c:pt idx="577">
                  <c:v>3010</c:v>
                </c:pt>
                <c:pt idx="578">
                  <c:v>3020</c:v>
                </c:pt>
                <c:pt idx="579">
                  <c:v>3020</c:v>
                </c:pt>
                <c:pt idx="580">
                  <c:v>3030</c:v>
                </c:pt>
                <c:pt idx="581">
                  <c:v>3030</c:v>
                </c:pt>
                <c:pt idx="582">
                  <c:v>3040</c:v>
                </c:pt>
                <c:pt idx="583">
                  <c:v>3040</c:v>
                </c:pt>
                <c:pt idx="584">
                  <c:v>3050</c:v>
                </c:pt>
                <c:pt idx="585">
                  <c:v>3050</c:v>
                </c:pt>
                <c:pt idx="586">
                  <c:v>3060</c:v>
                </c:pt>
                <c:pt idx="587">
                  <c:v>3060</c:v>
                </c:pt>
                <c:pt idx="588">
                  <c:v>3070</c:v>
                </c:pt>
                <c:pt idx="589">
                  <c:v>3070</c:v>
                </c:pt>
                <c:pt idx="590">
                  <c:v>3080</c:v>
                </c:pt>
                <c:pt idx="591">
                  <c:v>3080</c:v>
                </c:pt>
                <c:pt idx="592">
                  <c:v>3090</c:v>
                </c:pt>
                <c:pt idx="593">
                  <c:v>3090</c:v>
                </c:pt>
                <c:pt idx="594">
                  <c:v>3100</c:v>
                </c:pt>
                <c:pt idx="595">
                  <c:v>3100</c:v>
                </c:pt>
                <c:pt idx="596">
                  <c:v>3110</c:v>
                </c:pt>
                <c:pt idx="597">
                  <c:v>3110</c:v>
                </c:pt>
                <c:pt idx="598">
                  <c:v>3120</c:v>
                </c:pt>
                <c:pt idx="599">
                  <c:v>3120</c:v>
                </c:pt>
                <c:pt idx="600">
                  <c:v>3130</c:v>
                </c:pt>
                <c:pt idx="601">
                  <c:v>3130</c:v>
                </c:pt>
                <c:pt idx="602">
                  <c:v>3140</c:v>
                </c:pt>
                <c:pt idx="603">
                  <c:v>3140</c:v>
                </c:pt>
                <c:pt idx="604">
                  <c:v>3150</c:v>
                </c:pt>
                <c:pt idx="605">
                  <c:v>3150</c:v>
                </c:pt>
                <c:pt idx="606">
                  <c:v>3160</c:v>
                </c:pt>
                <c:pt idx="607">
                  <c:v>3160</c:v>
                </c:pt>
                <c:pt idx="608">
                  <c:v>3170</c:v>
                </c:pt>
                <c:pt idx="609">
                  <c:v>3170</c:v>
                </c:pt>
                <c:pt idx="610">
                  <c:v>3180</c:v>
                </c:pt>
                <c:pt idx="611">
                  <c:v>3180</c:v>
                </c:pt>
                <c:pt idx="612">
                  <c:v>3190</c:v>
                </c:pt>
                <c:pt idx="613">
                  <c:v>3190</c:v>
                </c:pt>
                <c:pt idx="614">
                  <c:v>3200</c:v>
                </c:pt>
                <c:pt idx="615">
                  <c:v>3200</c:v>
                </c:pt>
                <c:pt idx="616">
                  <c:v>3210</c:v>
                </c:pt>
                <c:pt idx="617">
                  <c:v>3210</c:v>
                </c:pt>
                <c:pt idx="618">
                  <c:v>3220</c:v>
                </c:pt>
                <c:pt idx="619">
                  <c:v>3220</c:v>
                </c:pt>
                <c:pt idx="620">
                  <c:v>3230</c:v>
                </c:pt>
                <c:pt idx="621">
                  <c:v>3230</c:v>
                </c:pt>
                <c:pt idx="622">
                  <c:v>3240</c:v>
                </c:pt>
                <c:pt idx="623">
                  <c:v>3240</c:v>
                </c:pt>
                <c:pt idx="624">
                  <c:v>3250</c:v>
                </c:pt>
                <c:pt idx="625">
                  <c:v>3250</c:v>
                </c:pt>
                <c:pt idx="626">
                  <c:v>3260</c:v>
                </c:pt>
                <c:pt idx="627">
                  <c:v>3260</c:v>
                </c:pt>
                <c:pt idx="628">
                  <c:v>3270</c:v>
                </c:pt>
                <c:pt idx="629">
                  <c:v>3270</c:v>
                </c:pt>
                <c:pt idx="630">
                  <c:v>3280</c:v>
                </c:pt>
                <c:pt idx="631">
                  <c:v>3280</c:v>
                </c:pt>
                <c:pt idx="632">
                  <c:v>3290</c:v>
                </c:pt>
                <c:pt idx="633">
                  <c:v>3290</c:v>
                </c:pt>
                <c:pt idx="634">
                  <c:v>3300</c:v>
                </c:pt>
                <c:pt idx="635">
                  <c:v>3300</c:v>
                </c:pt>
                <c:pt idx="636">
                  <c:v>3310</c:v>
                </c:pt>
                <c:pt idx="637">
                  <c:v>3310</c:v>
                </c:pt>
                <c:pt idx="638">
                  <c:v>3320</c:v>
                </c:pt>
                <c:pt idx="639">
                  <c:v>3320</c:v>
                </c:pt>
                <c:pt idx="640">
                  <c:v>3330</c:v>
                </c:pt>
                <c:pt idx="641">
                  <c:v>3330</c:v>
                </c:pt>
                <c:pt idx="642">
                  <c:v>3340</c:v>
                </c:pt>
                <c:pt idx="643">
                  <c:v>3340</c:v>
                </c:pt>
                <c:pt idx="644">
                  <c:v>3350</c:v>
                </c:pt>
                <c:pt idx="645">
                  <c:v>3350</c:v>
                </c:pt>
                <c:pt idx="646">
                  <c:v>3360</c:v>
                </c:pt>
                <c:pt idx="647">
                  <c:v>3360</c:v>
                </c:pt>
                <c:pt idx="648">
                  <c:v>3370</c:v>
                </c:pt>
                <c:pt idx="649">
                  <c:v>3370</c:v>
                </c:pt>
                <c:pt idx="650">
                  <c:v>3380</c:v>
                </c:pt>
                <c:pt idx="651">
                  <c:v>3380</c:v>
                </c:pt>
                <c:pt idx="652">
                  <c:v>3390</c:v>
                </c:pt>
                <c:pt idx="653">
                  <c:v>3390</c:v>
                </c:pt>
                <c:pt idx="654">
                  <c:v>3400</c:v>
                </c:pt>
                <c:pt idx="655">
                  <c:v>3400</c:v>
                </c:pt>
                <c:pt idx="656">
                  <c:v>3410</c:v>
                </c:pt>
                <c:pt idx="657">
                  <c:v>3410</c:v>
                </c:pt>
                <c:pt idx="658">
                  <c:v>3420</c:v>
                </c:pt>
                <c:pt idx="659">
                  <c:v>3420</c:v>
                </c:pt>
                <c:pt idx="660">
                  <c:v>3430</c:v>
                </c:pt>
                <c:pt idx="661">
                  <c:v>3430</c:v>
                </c:pt>
                <c:pt idx="662">
                  <c:v>3440</c:v>
                </c:pt>
                <c:pt idx="663">
                  <c:v>3440</c:v>
                </c:pt>
                <c:pt idx="664">
                  <c:v>3450</c:v>
                </c:pt>
                <c:pt idx="665">
                  <c:v>3450</c:v>
                </c:pt>
                <c:pt idx="666">
                  <c:v>3460</c:v>
                </c:pt>
                <c:pt idx="667">
                  <c:v>3460</c:v>
                </c:pt>
                <c:pt idx="668">
                  <c:v>3470</c:v>
                </c:pt>
                <c:pt idx="669">
                  <c:v>3470</c:v>
                </c:pt>
                <c:pt idx="670">
                  <c:v>3480</c:v>
                </c:pt>
                <c:pt idx="671">
                  <c:v>3480</c:v>
                </c:pt>
                <c:pt idx="672">
                  <c:v>3490</c:v>
                </c:pt>
                <c:pt idx="673">
                  <c:v>3490</c:v>
                </c:pt>
                <c:pt idx="674">
                  <c:v>3500</c:v>
                </c:pt>
                <c:pt idx="675">
                  <c:v>3500</c:v>
                </c:pt>
                <c:pt idx="676">
                  <c:v>3510</c:v>
                </c:pt>
                <c:pt idx="677">
                  <c:v>3510</c:v>
                </c:pt>
                <c:pt idx="678">
                  <c:v>3520</c:v>
                </c:pt>
                <c:pt idx="679">
                  <c:v>3520</c:v>
                </c:pt>
                <c:pt idx="680">
                  <c:v>3530</c:v>
                </c:pt>
                <c:pt idx="681">
                  <c:v>3530</c:v>
                </c:pt>
                <c:pt idx="682">
                  <c:v>3540</c:v>
                </c:pt>
                <c:pt idx="683">
                  <c:v>3540</c:v>
                </c:pt>
                <c:pt idx="684">
                  <c:v>3550</c:v>
                </c:pt>
                <c:pt idx="685">
                  <c:v>3550</c:v>
                </c:pt>
                <c:pt idx="686">
                  <c:v>3560</c:v>
                </c:pt>
                <c:pt idx="687">
                  <c:v>3560</c:v>
                </c:pt>
                <c:pt idx="688">
                  <c:v>3570</c:v>
                </c:pt>
                <c:pt idx="689">
                  <c:v>3570</c:v>
                </c:pt>
                <c:pt idx="690">
                  <c:v>3580</c:v>
                </c:pt>
                <c:pt idx="691">
                  <c:v>3580</c:v>
                </c:pt>
                <c:pt idx="692">
                  <c:v>3590</c:v>
                </c:pt>
                <c:pt idx="693">
                  <c:v>3590</c:v>
                </c:pt>
                <c:pt idx="694">
                  <c:v>3600</c:v>
                </c:pt>
                <c:pt idx="695">
                  <c:v>3600</c:v>
                </c:pt>
                <c:pt idx="696">
                  <c:v>3610</c:v>
                </c:pt>
                <c:pt idx="697">
                  <c:v>3610</c:v>
                </c:pt>
                <c:pt idx="698">
                  <c:v>3620</c:v>
                </c:pt>
                <c:pt idx="699">
                  <c:v>3620</c:v>
                </c:pt>
                <c:pt idx="700">
                  <c:v>3630</c:v>
                </c:pt>
                <c:pt idx="701">
                  <c:v>3630</c:v>
                </c:pt>
                <c:pt idx="702">
                  <c:v>3640</c:v>
                </c:pt>
                <c:pt idx="703">
                  <c:v>3640</c:v>
                </c:pt>
                <c:pt idx="704">
                  <c:v>3650</c:v>
                </c:pt>
                <c:pt idx="705">
                  <c:v>3650</c:v>
                </c:pt>
                <c:pt idx="706">
                  <c:v>3660</c:v>
                </c:pt>
                <c:pt idx="707">
                  <c:v>3660</c:v>
                </c:pt>
                <c:pt idx="708">
                  <c:v>3670</c:v>
                </c:pt>
                <c:pt idx="709">
                  <c:v>3670</c:v>
                </c:pt>
                <c:pt idx="710">
                  <c:v>3680</c:v>
                </c:pt>
                <c:pt idx="711">
                  <c:v>3680</c:v>
                </c:pt>
                <c:pt idx="712">
                  <c:v>3690</c:v>
                </c:pt>
                <c:pt idx="713">
                  <c:v>3690</c:v>
                </c:pt>
                <c:pt idx="714">
                  <c:v>3700</c:v>
                </c:pt>
                <c:pt idx="715">
                  <c:v>3700</c:v>
                </c:pt>
                <c:pt idx="716">
                  <c:v>3710</c:v>
                </c:pt>
                <c:pt idx="717">
                  <c:v>3710</c:v>
                </c:pt>
                <c:pt idx="718">
                  <c:v>3720</c:v>
                </c:pt>
                <c:pt idx="719">
                  <c:v>3720</c:v>
                </c:pt>
                <c:pt idx="720">
                  <c:v>3730</c:v>
                </c:pt>
                <c:pt idx="721">
                  <c:v>3730</c:v>
                </c:pt>
                <c:pt idx="722">
                  <c:v>3740</c:v>
                </c:pt>
                <c:pt idx="723">
                  <c:v>3740</c:v>
                </c:pt>
                <c:pt idx="724">
                  <c:v>3750</c:v>
                </c:pt>
                <c:pt idx="725">
                  <c:v>3750</c:v>
                </c:pt>
                <c:pt idx="726">
                  <c:v>3760</c:v>
                </c:pt>
                <c:pt idx="727">
                  <c:v>3760</c:v>
                </c:pt>
                <c:pt idx="728">
                  <c:v>3770</c:v>
                </c:pt>
                <c:pt idx="729">
                  <c:v>3770</c:v>
                </c:pt>
                <c:pt idx="730">
                  <c:v>3780</c:v>
                </c:pt>
                <c:pt idx="731">
                  <c:v>3780</c:v>
                </c:pt>
                <c:pt idx="732">
                  <c:v>3790</c:v>
                </c:pt>
                <c:pt idx="733">
                  <c:v>3790</c:v>
                </c:pt>
                <c:pt idx="734">
                  <c:v>3800</c:v>
                </c:pt>
                <c:pt idx="735">
                  <c:v>3800</c:v>
                </c:pt>
                <c:pt idx="736">
                  <c:v>3810</c:v>
                </c:pt>
                <c:pt idx="737">
                  <c:v>3810</c:v>
                </c:pt>
                <c:pt idx="738">
                  <c:v>3820</c:v>
                </c:pt>
                <c:pt idx="739">
                  <c:v>3820</c:v>
                </c:pt>
                <c:pt idx="740">
                  <c:v>3830</c:v>
                </c:pt>
                <c:pt idx="741">
                  <c:v>3830</c:v>
                </c:pt>
                <c:pt idx="742">
                  <c:v>3840</c:v>
                </c:pt>
                <c:pt idx="743">
                  <c:v>3840</c:v>
                </c:pt>
                <c:pt idx="744">
                  <c:v>3850</c:v>
                </c:pt>
                <c:pt idx="745">
                  <c:v>3850</c:v>
                </c:pt>
                <c:pt idx="746">
                  <c:v>3860</c:v>
                </c:pt>
                <c:pt idx="747">
                  <c:v>3860</c:v>
                </c:pt>
                <c:pt idx="748">
                  <c:v>3870</c:v>
                </c:pt>
                <c:pt idx="749">
                  <c:v>3870</c:v>
                </c:pt>
                <c:pt idx="750">
                  <c:v>3880</c:v>
                </c:pt>
                <c:pt idx="751">
                  <c:v>3880</c:v>
                </c:pt>
                <c:pt idx="752">
                  <c:v>3890</c:v>
                </c:pt>
                <c:pt idx="753">
                  <c:v>3890</c:v>
                </c:pt>
                <c:pt idx="754">
                  <c:v>3900</c:v>
                </c:pt>
                <c:pt idx="755">
                  <c:v>3900</c:v>
                </c:pt>
                <c:pt idx="756">
                  <c:v>3910</c:v>
                </c:pt>
                <c:pt idx="757">
                  <c:v>3910</c:v>
                </c:pt>
                <c:pt idx="758">
                  <c:v>3920</c:v>
                </c:pt>
                <c:pt idx="759">
                  <c:v>3920</c:v>
                </c:pt>
                <c:pt idx="760">
                  <c:v>3930</c:v>
                </c:pt>
                <c:pt idx="761">
                  <c:v>3930</c:v>
                </c:pt>
                <c:pt idx="762">
                  <c:v>3940</c:v>
                </c:pt>
                <c:pt idx="763">
                  <c:v>3940</c:v>
                </c:pt>
                <c:pt idx="764">
                  <c:v>3950</c:v>
                </c:pt>
                <c:pt idx="765">
                  <c:v>3950</c:v>
                </c:pt>
                <c:pt idx="766">
                  <c:v>3960</c:v>
                </c:pt>
                <c:pt idx="767">
                  <c:v>3960</c:v>
                </c:pt>
                <c:pt idx="768">
                  <c:v>3970</c:v>
                </c:pt>
                <c:pt idx="769">
                  <c:v>3970</c:v>
                </c:pt>
                <c:pt idx="770">
                  <c:v>3980</c:v>
                </c:pt>
                <c:pt idx="771">
                  <c:v>3980</c:v>
                </c:pt>
                <c:pt idx="772">
                  <c:v>3990</c:v>
                </c:pt>
                <c:pt idx="773">
                  <c:v>3990</c:v>
                </c:pt>
                <c:pt idx="774">
                  <c:v>4000</c:v>
                </c:pt>
                <c:pt idx="775">
                  <c:v>4000</c:v>
                </c:pt>
                <c:pt idx="776">
                  <c:v>4010</c:v>
                </c:pt>
                <c:pt idx="777">
                  <c:v>4010</c:v>
                </c:pt>
                <c:pt idx="778">
                  <c:v>4020</c:v>
                </c:pt>
                <c:pt idx="779">
                  <c:v>4020</c:v>
                </c:pt>
                <c:pt idx="780">
                  <c:v>4030</c:v>
                </c:pt>
                <c:pt idx="781">
                  <c:v>4030</c:v>
                </c:pt>
                <c:pt idx="782">
                  <c:v>4040</c:v>
                </c:pt>
                <c:pt idx="783">
                  <c:v>4040</c:v>
                </c:pt>
                <c:pt idx="784">
                  <c:v>4050</c:v>
                </c:pt>
                <c:pt idx="785">
                  <c:v>4050</c:v>
                </c:pt>
                <c:pt idx="786">
                  <c:v>4060</c:v>
                </c:pt>
                <c:pt idx="787">
                  <c:v>4060</c:v>
                </c:pt>
                <c:pt idx="788">
                  <c:v>4070</c:v>
                </c:pt>
                <c:pt idx="789">
                  <c:v>4070</c:v>
                </c:pt>
                <c:pt idx="790">
                  <c:v>4080</c:v>
                </c:pt>
                <c:pt idx="791">
                  <c:v>4080</c:v>
                </c:pt>
                <c:pt idx="792">
                  <c:v>4090</c:v>
                </c:pt>
                <c:pt idx="793">
                  <c:v>4090</c:v>
                </c:pt>
                <c:pt idx="794">
                  <c:v>4100</c:v>
                </c:pt>
                <c:pt idx="795">
                  <c:v>4100</c:v>
                </c:pt>
                <c:pt idx="796">
                  <c:v>4110</c:v>
                </c:pt>
                <c:pt idx="797">
                  <c:v>4110</c:v>
                </c:pt>
                <c:pt idx="798">
                  <c:v>4120</c:v>
                </c:pt>
                <c:pt idx="799">
                  <c:v>4120</c:v>
                </c:pt>
                <c:pt idx="800">
                  <c:v>4130</c:v>
                </c:pt>
                <c:pt idx="801">
                  <c:v>4130</c:v>
                </c:pt>
                <c:pt idx="802">
                  <c:v>4140</c:v>
                </c:pt>
                <c:pt idx="803">
                  <c:v>4140</c:v>
                </c:pt>
                <c:pt idx="804">
                  <c:v>4150</c:v>
                </c:pt>
                <c:pt idx="805">
                  <c:v>4150</c:v>
                </c:pt>
                <c:pt idx="806">
                  <c:v>4160</c:v>
                </c:pt>
                <c:pt idx="807">
                  <c:v>4160</c:v>
                </c:pt>
                <c:pt idx="808">
                  <c:v>4170</c:v>
                </c:pt>
                <c:pt idx="809">
                  <c:v>4170</c:v>
                </c:pt>
                <c:pt idx="810">
                  <c:v>4180</c:v>
                </c:pt>
                <c:pt idx="811">
                  <c:v>4180</c:v>
                </c:pt>
                <c:pt idx="812">
                  <c:v>4190</c:v>
                </c:pt>
                <c:pt idx="813">
                  <c:v>4190</c:v>
                </c:pt>
                <c:pt idx="814">
                  <c:v>4200</c:v>
                </c:pt>
                <c:pt idx="815">
                  <c:v>4200</c:v>
                </c:pt>
                <c:pt idx="816">
                  <c:v>4210</c:v>
                </c:pt>
                <c:pt idx="817">
                  <c:v>4210</c:v>
                </c:pt>
              </c:numCache>
            </c:numRef>
          </c:xVal>
          <c:yVal>
            <c:numRef>
              <c:f>'Fossil 100 yrs'!$AM$2:$AM$819</c:f>
              <c:numCache>
                <c:formatCode>General</c:formatCode>
                <c:ptCount val="818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4</c:v>
                </c:pt>
                <c:pt idx="5">
                  <c:v>15</c:v>
                </c:pt>
                <c:pt idx="6">
                  <c:v>15</c:v>
                </c:pt>
                <c:pt idx="7">
                  <c:v>41</c:v>
                </c:pt>
                <c:pt idx="8">
                  <c:v>41</c:v>
                </c:pt>
                <c:pt idx="9">
                  <c:v>81</c:v>
                </c:pt>
                <c:pt idx="10">
                  <c:v>81</c:v>
                </c:pt>
                <c:pt idx="11">
                  <c:v>175</c:v>
                </c:pt>
                <c:pt idx="12">
                  <c:v>175</c:v>
                </c:pt>
                <c:pt idx="13">
                  <c:v>313</c:v>
                </c:pt>
                <c:pt idx="14">
                  <c:v>313</c:v>
                </c:pt>
                <c:pt idx="15">
                  <c:v>454</c:v>
                </c:pt>
                <c:pt idx="16">
                  <c:v>454</c:v>
                </c:pt>
                <c:pt idx="17">
                  <c:v>632</c:v>
                </c:pt>
                <c:pt idx="18">
                  <c:v>632</c:v>
                </c:pt>
                <c:pt idx="19">
                  <c:v>762</c:v>
                </c:pt>
                <c:pt idx="20">
                  <c:v>762</c:v>
                </c:pt>
                <c:pt idx="21">
                  <c:v>830</c:v>
                </c:pt>
                <c:pt idx="22">
                  <c:v>830</c:v>
                </c:pt>
                <c:pt idx="23">
                  <c:v>922</c:v>
                </c:pt>
                <c:pt idx="24">
                  <c:v>922</c:v>
                </c:pt>
                <c:pt idx="25">
                  <c:v>931</c:v>
                </c:pt>
                <c:pt idx="26">
                  <c:v>931</c:v>
                </c:pt>
                <c:pt idx="27">
                  <c:v>862</c:v>
                </c:pt>
                <c:pt idx="28">
                  <c:v>862</c:v>
                </c:pt>
                <c:pt idx="29">
                  <c:v>743</c:v>
                </c:pt>
                <c:pt idx="30">
                  <c:v>743</c:v>
                </c:pt>
                <c:pt idx="31">
                  <c:v>661</c:v>
                </c:pt>
                <c:pt idx="32">
                  <c:v>661</c:v>
                </c:pt>
                <c:pt idx="33">
                  <c:v>566</c:v>
                </c:pt>
                <c:pt idx="34">
                  <c:v>566</c:v>
                </c:pt>
                <c:pt idx="35">
                  <c:v>455</c:v>
                </c:pt>
                <c:pt idx="36">
                  <c:v>455</c:v>
                </c:pt>
                <c:pt idx="37">
                  <c:v>409</c:v>
                </c:pt>
                <c:pt idx="38">
                  <c:v>409</c:v>
                </c:pt>
                <c:pt idx="39">
                  <c:v>299</c:v>
                </c:pt>
                <c:pt idx="40">
                  <c:v>299</c:v>
                </c:pt>
                <c:pt idx="41">
                  <c:v>233</c:v>
                </c:pt>
                <c:pt idx="42">
                  <c:v>233</c:v>
                </c:pt>
                <c:pt idx="43">
                  <c:v>161</c:v>
                </c:pt>
                <c:pt idx="44">
                  <c:v>161</c:v>
                </c:pt>
                <c:pt idx="45">
                  <c:v>128</c:v>
                </c:pt>
                <c:pt idx="46">
                  <c:v>128</c:v>
                </c:pt>
                <c:pt idx="47">
                  <c:v>97</c:v>
                </c:pt>
                <c:pt idx="48">
                  <c:v>97</c:v>
                </c:pt>
                <c:pt idx="49">
                  <c:v>57</c:v>
                </c:pt>
                <c:pt idx="50">
                  <c:v>57</c:v>
                </c:pt>
                <c:pt idx="51">
                  <c:v>48</c:v>
                </c:pt>
                <c:pt idx="52">
                  <c:v>48</c:v>
                </c:pt>
                <c:pt idx="53">
                  <c:v>29</c:v>
                </c:pt>
                <c:pt idx="54">
                  <c:v>29</c:v>
                </c:pt>
                <c:pt idx="55">
                  <c:v>33</c:v>
                </c:pt>
                <c:pt idx="56">
                  <c:v>33</c:v>
                </c:pt>
                <c:pt idx="57">
                  <c:v>12</c:v>
                </c:pt>
                <c:pt idx="58">
                  <c:v>12</c:v>
                </c:pt>
                <c:pt idx="59">
                  <c:v>14</c:v>
                </c:pt>
                <c:pt idx="60">
                  <c:v>14</c:v>
                </c:pt>
                <c:pt idx="61">
                  <c:v>11</c:v>
                </c:pt>
                <c:pt idx="62">
                  <c:v>11</c:v>
                </c:pt>
                <c:pt idx="63">
                  <c:v>9</c:v>
                </c:pt>
                <c:pt idx="64">
                  <c:v>9</c:v>
                </c:pt>
                <c:pt idx="65">
                  <c:v>2</c:v>
                </c:pt>
                <c:pt idx="66">
                  <c:v>2</c:v>
                </c:pt>
                <c:pt idx="67">
                  <c:v>2</c:v>
                </c:pt>
                <c:pt idx="68">
                  <c:v>2</c:v>
                </c:pt>
                <c:pt idx="69">
                  <c:v>6</c:v>
                </c:pt>
                <c:pt idx="70">
                  <c:v>6</c:v>
                </c:pt>
                <c:pt idx="71">
                  <c:v>0</c:v>
                </c:pt>
                <c:pt idx="72">
                  <c:v>0</c:v>
                </c:pt>
                <c:pt idx="73">
                  <c:v>1</c:v>
                </c:pt>
                <c:pt idx="74">
                  <c:v>1</c:v>
                </c:pt>
                <c:pt idx="7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0F0-47D4-9336-CE0FC630F8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6059824"/>
        <c:axId val="706060384"/>
      </c:scatterChart>
      <c:valAx>
        <c:axId val="706059824"/>
        <c:scaling>
          <c:orientation val="minMax"/>
          <c:max val="4210"/>
          <c:min val="130"/>
        </c:scaling>
        <c:delete val="0"/>
        <c:axPos val="b"/>
        <c:numFmt formatCode="General" sourceLinked="1"/>
        <c:majorTickMark val="out"/>
        <c:minorTickMark val="none"/>
        <c:tickLblPos val="nextTo"/>
        <c:crossAx val="706060384"/>
        <c:crosses val="autoZero"/>
        <c:crossBetween val="midCat"/>
      </c:valAx>
      <c:valAx>
        <c:axId val="70606038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one"/>
        <c:spPr>
          <a:ln w="25400">
            <a:noFill/>
          </a:ln>
        </c:spPr>
        <c:crossAx val="706059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'Marine Life 100 yrs'!$AL$1</c:f>
              <c:strCache>
                <c:ptCount val="1"/>
                <c:pt idx="0">
                  <c:v>MCMC Madness'!$CW$22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'Marine Life 100 yrs'!$AK$2:$AK$153</c:f>
              <c:numCache>
                <c:formatCode>General</c:formatCode>
                <c:ptCount val="152"/>
                <c:pt idx="0">
                  <c:v>250</c:v>
                </c:pt>
                <c:pt idx="1">
                  <c:v>250</c:v>
                </c:pt>
                <c:pt idx="2">
                  <c:v>275</c:v>
                </c:pt>
                <c:pt idx="3">
                  <c:v>275</c:v>
                </c:pt>
                <c:pt idx="4">
                  <c:v>300</c:v>
                </c:pt>
                <c:pt idx="5">
                  <c:v>300</c:v>
                </c:pt>
                <c:pt idx="6">
                  <c:v>325</c:v>
                </c:pt>
                <c:pt idx="7">
                  <c:v>325</c:v>
                </c:pt>
                <c:pt idx="8">
                  <c:v>350</c:v>
                </c:pt>
                <c:pt idx="9">
                  <c:v>350</c:v>
                </c:pt>
                <c:pt idx="10">
                  <c:v>375</c:v>
                </c:pt>
                <c:pt idx="11">
                  <c:v>375</c:v>
                </c:pt>
                <c:pt idx="12">
                  <c:v>400</c:v>
                </c:pt>
                <c:pt idx="13">
                  <c:v>400</c:v>
                </c:pt>
                <c:pt idx="14">
                  <c:v>425</c:v>
                </c:pt>
                <c:pt idx="15">
                  <c:v>425</c:v>
                </c:pt>
                <c:pt idx="16">
                  <c:v>450</c:v>
                </c:pt>
                <c:pt idx="17">
                  <c:v>450</c:v>
                </c:pt>
                <c:pt idx="18">
                  <c:v>475</c:v>
                </c:pt>
                <c:pt idx="19">
                  <c:v>475</c:v>
                </c:pt>
                <c:pt idx="20">
                  <c:v>500</c:v>
                </c:pt>
                <c:pt idx="21">
                  <c:v>500</c:v>
                </c:pt>
                <c:pt idx="22">
                  <c:v>525</c:v>
                </c:pt>
                <c:pt idx="23">
                  <c:v>525</c:v>
                </c:pt>
                <c:pt idx="24">
                  <c:v>550</c:v>
                </c:pt>
                <c:pt idx="25">
                  <c:v>550</c:v>
                </c:pt>
                <c:pt idx="26">
                  <c:v>575</c:v>
                </c:pt>
                <c:pt idx="27">
                  <c:v>575</c:v>
                </c:pt>
                <c:pt idx="28">
                  <c:v>600</c:v>
                </c:pt>
                <c:pt idx="29">
                  <c:v>600</c:v>
                </c:pt>
                <c:pt idx="30">
                  <c:v>625</c:v>
                </c:pt>
                <c:pt idx="31">
                  <c:v>625</c:v>
                </c:pt>
                <c:pt idx="32">
                  <c:v>650</c:v>
                </c:pt>
                <c:pt idx="33">
                  <c:v>650</c:v>
                </c:pt>
                <c:pt idx="34">
                  <c:v>675</c:v>
                </c:pt>
                <c:pt idx="35">
                  <c:v>675</c:v>
                </c:pt>
                <c:pt idx="36">
                  <c:v>700</c:v>
                </c:pt>
                <c:pt idx="37">
                  <c:v>700</c:v>
                </c:pt>
                <c:pt idx="38">
                  <c:v>725</c:v>
                </c:pt>
                <c:pt idx="39">
                  <c:v>725</c:v>
                </c:pt>
                <c:pt idx="40">
                  <c:v>750</c:v>
                </c:pt>
                <c:pt idx="41">
                  <c:v>750</c:v>
                </c:pt>
                <c:pt idx="42">
                  <c:v>775</c:v>
                </c:pt>
                <c:pt idx="43">
                  <c:v>775</c:v>
                </c:pt>
                <c:pt idx="44">
                  <c:v>800</c:v>
                </c:pt>
                <c:pt idx="45">
                  <c:v>800</c:v>
                </c:pt>
                <c:pt idx="46">
                  <c:v>825</c:v>
                </c:pt>
                <c:pt idx="47">
                  <c:v>825</c:v>
                </c:pt>
                <c:pt idx="48">
                  <c:v>850</c:v>
                </c:pt>
                <c:pt idx="49">
                  <c:v>850</c:v>
                </c:pt>
                <c:pt idx="50">
                  <c:v>875</c:v>
                </c:pt>
                <c:pt idx="51">
                  <c:v>875</c:v>
                </c:pt>
                <c:pt idx="52">
                  <c:v>900</c:v>
                </c:pt>
                <c:pt idx="53">
                  <c:v>900</c:v>
                </c:pt>
                <c:pt idx="54">
                  <c:v>925</c:v>
                </c:pt>
                <c:pt idx="55">
                  <c:v>925</c:v>
                </c:pt>
                <c:pt idx="56">
                  <c:v>950</c:v>
                </c:pt>
                <c:pt idx="57">
                  <c:v>950</c:v>
                </c:pt>
                <c:pt idx="58">
                  <c:v>975</c:v>
                </c:pt>
                <c:pt idx="59">
                  <c:v>975</c:v>
                </c:pt>
                <c:pt idx="60">
                  <c:v>1000</c:v>
                </c:pt>
                <c:pt idx="61">
                  <c:v>1000</c:v>
                </c:pt>
                <c:pt idx="62">
                  <c:v>1025</c:v>
                </c:pt>
                <c:pt idx="63">
                  <c:v>1025</c:v>
                </c:pt>
                <c:pt idx="64">
                  <c:v>1050</c:v>
                </c:pt>
                <c:pt idx="65">
                  <c:v>1050</c:v>
                </c:pt>
                <c:pt idx="66">
                  <c:v>1075</c:v>
                </c:pt>
                <c:pt idx="67">
                  <c:v>1075</c:v>
                </c:pt>
                <c:pt idx="68">
                  <c:v>1100</c:v>
                </c:pt>
                <c:pt idx="69">
                  <c:v>1100</c:v>
                </c:pt>
                <c:pt idx="70">
                  <c:v>1125</c:v>
                </c:pt>
                <c:pt idx="71">
                  <c:v>1125</c:v>
                </c:pt>
                <c:pt idx="72">
                  <c:v>1150</c:v>
                </c:pt>
                <c:pt idx="73">
                  <c:v>1150</c:v>
                </c:pt>
                <c:pt idx="74">
                  <c:v>1175</c:v>
                </c:pt>
                <c:pt idx="75">
                  <c:v>1175</c:v>
                </c:pt>
                <c:pt idx="76">
                  <c:v>1200</c:v>
                </c:pt>
                <c:pt idx="77">
                  <c:v>1200</c:v>
                </c:pt>
                <c:pt idx="78">
                  <c:v>1225</c:v>
                </c:pt>
                <c:pt idx="79">
                  <c:v>1225</c:v>
                </c:pt>
                <c:pt idx="80">
                  <c:v>1250</c:v>
                </c:pt>
                <c:pt idx="81">
                  <c:v>1250</c:v>
                </c:pt>
                <c:pt idx="82">
                  <c:v>1275</c:v>
                </c:pt>
                <c:pt idx="83">
                  <c:v>1275</c:v>
                </c:pt>
                <c:pt idx="84">
                  <c:v>1300</c:v>
                </c:pt>
                <c:pt idx="85">
                  <c:v>1300</c:v>
                </c:pt>
                <c:pt idx="86">
                  <c:v>1325</c:v>
                </c:pt>
                <c:pt idx="87">
                  <c:v>1325</c:v>
                </c:pt>
                <c:pt idx="88">
                  <c:v>1350</c:v>
                </c:pt>
                <c:pt idx="89">
                  <c:v>1350</c:v>
                </c:pt>
                <c:pt idx="90">
                  <c:v>1375</c:v>
                </c:pt>
                <c:pt idx="91">
                  <c:v>1375</c:v>
                </c:pt>
                <c:pt idx="92">
                  <c:v>1400</c:v>
                </c:pt>
                <c:pt idx="93">
                  <c:v>1400</c:v>
                </c:pt>
                <c:pt idx="94">
                  <c:v>1425</c:v>
                </c:pt>
                <c:pt idx="95">
                  <c:v>1425</c:v>
                </c:pt>
                <c:pt idx="96">
                  <c:v>1450</c:v>
                </c:pt>
                <c:pt idx="97">
                  <c:v>1450</c:v>
                </c:pt>
                <c:pt idx="98">
                  <c:v>1475</c:v>
                </c:pt>
                <c:pt idx="99">
                  <c:v>1475</c:v>
                </c:pt>
                <c:pt idx="100">
                  <c:v>1500</c:v>
                </c:pt>
                <c:pt idx="101">
                  <c:v>1500</c:v>
                </c:pt>
                <c:pt idx="102">
                  <c:v>1525</c:v>
                </c:pt>
                <c:pt idx="103">
                  <c:v>1525</c:v>
                </c:pt>
                <c:pt idx="104">
                  <c:v>1550</c:v>
                </c:pt>
                <c:pt idx="105">
                  <c:v>1550</c:v>
                </c:pt>
                <c:pt idx="106">
                  <c:v>1575</c:v>
                </c:pt>
                <c:pt idx="107">
                  <c:v>1575</c:v>
                </c:pt>
                <c:pt idx="108">
                  <c:v>1600</c:v>
                </c:pt>
                <c:pt idx="109">
                  <c:v>1600</c:v>
                </c:pt>
                <c:pt idx="110">
                  <c:v>1625</c:v>
                </c:pt>
                <c:pt idx="111">
                  <c:v>1625</c:v>
                </c:pt>
                <c:pt idx="112">
                  <c:v>1650</c:v>
                </c:pt>
                <c:pt idx="113">
                  <c:v>1650</c:v>
                </c:pt>
                <c:pt idx="114">
                  <c:v>1675</c:v>
                </c:pt>
                <c:pt idx="115">
                  <c:v>1675</c:v>
                </c:pt>
                <c:pt idx="116">
                  <c:v>1700</c:v>
                </c:pt>
                <c:pt idx="117">
                  <c:v>1700</c:v>
                </c:pt>
                <c:pt idx="118">
                  <c:v>1725</c:v>
                </c:pt>
                <c:pt idx="119">
                  <c:v>1725</c:v>
                </c:pt>
                <c:pt idx="120">
                  <c:v>1750</c:v>
                </c:pt>
                <c:pt idx="121">
                  <c:v>1750</c:v>
                </c:pt>
                <c:pt idx="122">
                  <c:v>1775</c:v>
                </c:pt>
                <c:pt idx="123">
                  <c:v>1775</c:v>
                </c:pt>
                <c:pt idx="124">
                  <c:v>1800</c:v>
                </c:pt>
                <c:pt idx="125">
                  <c:v>1800</c:v>
                </c:pt>
                <c:pt idx="126">
                  <c:v>1825</c:v>
                </c:pt>
                <c:pt idx="127">
                  <c:v>1825</c:v>
                </c:pt>
                <c:pt idx="128">
                  <c:v>1850</c:v>
                </c:pt>
                <c:pt idx="129">
                  <c:v>1850</c:v>
                </c:pt>
                <c:pt idx="130">
                  <c:v>1875</c:v>
                </c:pt>
                <c:pt idx="131">
                  <c:v>1875</c:v>
                </c:pt>
                <c:pt idx="132">
                  <c:v>1900</c:v>
                </c:pt>
                <c:pt idx="133">
                  <c:v>1900</c:v>
                </c:pt>
                <c:pt idx="134">
                  <c:v>1925</c:v>
                </c:pt>
                <c:pt idx="135">
                  <c:v>1925</c:v>
                </c:pt>
                <c:pt idx="136">
                  <c:v>1950</c:v>
                </c:pt>
                <c:pt idx="137">
                  <c:v>1950</c:v>
                </c:pt>
                <c:pt idx="138">
                  <c:v>1975</c:v>
                </c:pt>
                <c:pt idx="139">
                  <c:v>1975</c:v>
                </c:pt>
                <c:pt idx="140">
                  <c:v>2000</c:v>
                </c:pt>
                <c:pt idx="141">
                  <c:v>2000</c:v>
                </c:pt>
                <c:pt idx="142">
                  <c:v>2025</c:v>
                </c:pt>
                <c:pt idx="143">
                  <c:v>2025</c:v>
                </c:pt>
                <c:pt idx="144">
                  <c:v>2050</c:v>
                </c:pt>
                <c:pt idx="145">
                  <c:v>2050</c:v>
                </c:pt>
                <c:pt idx="146">
                  <c:v>2075</c:v>
                </c:pt>
                <c:pt idx="147">
                  <c:v>2075</c:v>
                </c:pt>
                <c:pt idx="148">
                  <c:v>2100</c:v>
                </c:pt>
                <c:pt idx="149">
                  <c:v>2100</c:v>
                </c:pt>
                <c:pt idx="150">
                  <c:v>2125</c:v>
                </c:pt>
                <c:pt idx="151">
                  <c:v>2125</c:v>
                </c:pt>
              </c:numCache>
            </c:numRef>
          </c:xVal>
          <c:yVal>
            <c:numRef>
              <c:f>'Marine Life 100 yrs'!$AL$2:$AL$153</c:f>
              <c:numCache>
                <c:formatCode>General</c:formatCode>
                <c:ptCount val="1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2</c:v>
                </c:pt>
                <c:pt idx="30">
                  <c:v>2</c:v>
                </c:pt>
                <c:pt idx="31">
                  <c:v>0</c:v>
                </c:pt>
                <c:pt idx="32">
                  <c:v>0</c:v>
                </c:pt>
                <c:pt idx="33">
                  <c:v>2</c:v>
                </c:pt>
                <c:pt idx="34">
                  <c:v>2</c:v>
                </c:pt>
                <c:pt idx="35">
                  <c:v>6</c:v>
                </c:pt>
                <c:pt idx="36">
                  <c:v>6</c:v>
                </c:pt>
                <c:pt idx="37">
                  <c:v>7</c:v>
                </c:pt>
                <c:pt idx="38">
                  <c:v>7</c:v>
                </c:pt>
                <c:pt idx="39">
                  <c:v>16</c:v>
                </c:pt>
                <c:pt idx="40">
                  <c:v>16</c:v>
                </c:pt>
                <c:pt idx="41">
                  <c:v>37</c:v>
                </c:pt>
                <c:pt idx="42">
                  <c:v>37</c:v>
                </c:pt>
                <c:pt idx="43">
                  <c:v>47</c:v>
                </c:pt>
                <c:pt idx="44">
                  <c:v>47</c:v>
                </c:pt>
                <c:pt idx="45">
                  <c:v>53</c:v>
                </c:pt>
                <c:pt idx="46">
                  <c:v>53</c:v>
                </c:pt>
                <c:pt idx="47">
                  <c:v>93</c:v>
                </c:pt>
                <c:pt idx="48">
                  <c:v>93</c:v>
                </c:pt>
                <c:pt idx="49">
                  <c:v>153</c:v>
                </c:pt>
                <c:pt idx="50">
                  <c:v>153</c:v>
                </c:pt>
                <c:pt idx="51">
                  <c:v>189</c:v>
                </c:pt>
                <c:pt idx="52">
                  <c:v>189</c:v>
                </c:pt>
                <c:pt idx="53">
                  <c:v>243</c:v>
                </c:pt>
                <c:pt idx="54">
                  <c:v>243</c:v>
                </c:pt>
                <c:pt idx="55">
                  <c:v>277</c:v>
                </c:pt>
                <c:pt idx="56">
                  <c:v>277</c:v>
                </c:pt>
                <c:pt idx="57">
                  <c:v>317</c:v>
                </c:pt>
                <c:pt idx="58">
                  <c:v>317</c:v>
                </c:pt>
                <c:pt idx="59">
                  <c:v>417</c:v>
                </c:pt>
                <c:pt idx="60">
                  <c:v>417</c:v>
                </c:pt>
                <c:pt idx="61">
                  <c:v>446</c:v>
                </c:pt>
                <c:pt idx="62">
                  <c:v>446</c:v>
                </c:pt>
                <c:pt idx="63">
                  <c:v>491</c:v>
                </c:pt>
                <c:pt idx="64">
                  <c:v>491</c:v>
                </c:pt>
                <c:pt idx="65">
                  <c:v>525</c:v>
                </c:pt>
                <c:pt idx="66">
                  <c:v>525</c:v>
                </c:pt>
                <c:pt idx="67">
                  <c:v>576</c:v>
                </c:pt>
                <c:pt idx="68">
                  <c:v>576</c:v>
                </c:pt>
                <c:pt idx="69">
                  <c:v>569</c:v>
                </c:pt>
                <c:pt idx="70">
                  <c:v>569</c:v>
                </c:pt>
                <c:pt idx="71">
                  <c:v>578</c:v>
                </c:pt>
                <c:pt idx="72">
                  <c:v>578</c:v>
                </c:pt>
                <c:pt idx="73">
                  <c:v>569</c:v>
                </c:pt>
                <c:pt idx="74">
                  <c:v>569</c:v>
                </c:pt>
                <c:pt idx="75">
                  <c:v>567</c:v>
                </c:pt>
                <c:pt idx="76">
                  <c:v>567</c:v>
                </c:pt>
                <c:pt idx="77">
                  <c:v>504</c:v>
                </c:pt>
                <c:pt idx="78">
                  <c:v>504</c:v>
                </c:pt>
                <c:pt idx="79">
                  <c:v>462</c:v>
                </c:pt>
                <c:pt idx="80">
                  <c:v>462</c:v>
                </c:pt>
                <c:pt idx="81">
                  <c:v>422</c:v>
                </c:pt>
                <c:pt idx="82">
                  <c:v>422</c:v>
                </c:pt>
                <c:pt idx="83">
                  <c:v>352</c:v>
                </c:pt>
                <c:pt idx="84">
                  <c:v>352</c:v>
                </c:pt>
                <c:pt idx="85">
                  <c:v>344</c:v>
                </c:pt>
                <c:pt idx="86">
                  <c:v>344</c:v>
                </c:pt>
                <c:pt idx="87">
                  <c:v>282</c:v>
                </c:pt>
                <c:pt idx="88">
                  <c:v>282</c:v>
                </c:pt>
                <c:pt idx="89">
                  <c:v>256</c:v>
                </c:pt>
                <c:pt idx="90">
                  <c:v>256</c:v>
                </c:pt>
                <c:pt idx="91">
                  <c:v>213</c:v>
                </c:pt>
                <c:pt idx="92">
                  <c:v>213</c:v>
                </c:pt>
                <c:pt idx="93">
                  <c:v>200</c:v>
                </c:pt>
                <c:pt idx="94">
                  <c:v>200</c:v>
                </c:pt>
                <c:pt idx="95">
                  <c:v>174</c:v>
                </c:pt>
                <c:pt idx="96">
                  <c:v>174</c:v>
                </c:pt>
                <c:pt idx="97">
                  <c:v>129</c:v>
                </c:pt>
                <c:pt idx="98">
                  <c:v>129</c:v>
                </c:pt>
                <c:pt idx="99">
                  <c:v>96</c:v>
                </c:pt>
                <c:pt idx="100">
                  <c:v>96</c:v>
                </c:pt>
                <c:pt idx="101">
                  <c:v>88</c:v>
                </c:pt>
                <c:pt idx="102">
                  <c:v>88</c:v>
                </c:pt>
                <c:pt idx="103">
                  <c:v>78</c:v>
                </c:pt>
                <c:pt idx="104">
                  <c:v>78</c:v>
                </c:pt>
                <c:pt idx="105">
                  <c:v>43</c:v>
                </c:pt>
                <c:pt idx="106">
                  <c:v>43</c:v>
                </c:pt>
                <c:pt idx="107">
                  <c:v>45</c:v>
                </c:pt>
                <c:pt idx="108">
                  <c:v>45</c:v>
                </c:pt>
                <c:pt idx="109">
                  <c:v>35</c:v>
                </c:pt>
                <c:pt idx="110">
                  <c:v>35</c:v>
                </c:pt>
                <c:pt idx="111">
                  <c:v>26</c:v>
                </c:pt>
                <c:pt idx="112">
                  <c:v>26</c:v>
                </c:pt>
                <c:pt idx="113">
                  <c:v>17</c:v>
                </c:pt>
                <c:pt idx="114">
                  <c:v>17</c:v>
                </c:pt>
                <c:pt idx="115">
                  <c:v>14</c:v>
                </c:pt>
                <c:pt idx="116">
                  <c:v>14</c:v>
                </c:pt>
                <c:pt idx="117">
                  <c:v>14</c:v>
                </c:pt>
                <c:pt idx="118">
                  <c:v>14</c:v>
                </c:pt>
                <c:pt idx="119">
                  <c:v>11</c:v>
                </c:pt>
                <c:pt idx="120">
                  <c:v>11</c:v>
                </c:pt>
                <c:pt idx="121">
                  <c:v>3</c:v>
                </c:pt>
                <c:pt idx="122">
                  <c:v>3</c:v>
                </c:pt>
                <c:pt idx="123">
                  <c:v>2</c:v>
                </c:pt>
                <c:pt idx="124">
                  <c:v>2</c:v>
                </c:pt>
                <c:pt idx="125">
                  <c:v>3</c:v>
                </c:pt>
                <c:pt idx="126">
                  <c:v>3</c:v>
                </c:pt>
                <c:pt idx="127">
                  <c:v>0</c:v>
                </c:pt>
                <c:pt idx="128">
                  <c:v>0</c:v>
                </c:pt>
                <c:pt idx="129">
                  <c:v>3</c:v>
                </c:pt>
                <c:pt idx="130">
                  <c:v>3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1</c:v>
                </c:pt>
                <c:pt idx="150">
                  <c:v>1</c:v>
                </c:pt>
                <c:pt idx="1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99-4170-8232-7C101ABB573C}"/>
            </c:ext>
          </c:extLst>
        </c:ser>
        <c:ser>
          <c:idx val="1"/>
          <c:order val="1"/>
          <c:tx>
            <c:strRef>
              <c:f>'Marine Life 100 yrs'!$AM$1</c:f>
              <c:strCache>
                <c:ptCount val="1"/>
                <c:pt idx="0">
                  <c:v>MCMC Madness'!$CW$49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'Marine Life 100 yrs'!$AK$2:$AK$153</c:f>
              <c:numCache>
                <c:formatCode>General</c:formatCode>
                <c:ptCount val="152"/>
                <c:pt idx="0">
                  <c:v>250</c:v>
                </c:pt>
                <c:pt idx="1">
                  <c:v>250</c:v>
                </c:pt>
                <c:pt idx="2">
                  <c:v>275</c:v>
                </c:pt>
                <c:pt idx="3">
                  <c:v>275</c:v>
                </c:pt>
                <c:pt idx="4">
                  <c:v>300</c:v>
                </c:pt>
                <c:pt idx="5">
                  <c:v>300</c:v>
                </c:pt>
                <c:pt idx="6">
                  <c:v>325</c:v>
                </c:pt>
                <c:pt idx="7">
                  <c:v>325</c:v>
                </c:pt>
                <c:pt idx="8">
                  <c:v>350</c:v>
                </c:pt>
                <c:pt idx="9">
                  <c:v>350</c:v>
                </c:pt>
                <c:pt idx="10">
                  <c:v>375</c:v>
                </c:pt>
                <c:pt idx="11">
                  <c:v>375</c:v>
                </c:pt>
                <c:pt idx="12">
                  <c:v>400</c:v>
                </c:pt>
                <c:pt idx="13">
                  <c:v>400</c:v>
                </c:pt>
                <c:pt idx="14">
                  <c:v>425</c:v>
                </c:pt>
                <c:pt idx="15">
                  <c:v>425</c:v>
                </c:pt>
                <c:pt idx="16">
                  <c:v>450</c:v>
                </c:pt>
                <c:pt idx="17">
                  <c:v>450</c:v>
                </c:pt>
                <c:pt idx="18">
                  <c:v>475</c:v>
                </c:pt>
                <c:pt idx="19">
                  <c:v>475</c:v>
                </c:pt>
                <c:pt idx="20">
                  <c:v>500</c:v>
                </c:pt>
                <c:pt idx="21">
                  <c:v>500</c:v>
                </c:pt>
                <c:pt idx="22">
                  <c:v>525</c:v>
                </c:pt>
                <c:pt idx="23">
                  <c:v>525</c:v>
                </c:pt>
                <c:pt idx="24">
                  <c:v>550</c:v>
                </c:pt>
                <c:pt idx="25">
                  <c:v>550</c:v>
                </c:pt>
                <c:pt idx="26">
                  <c:v>575</c:v>
                </c:pt>
                <c:pt idx="27">
                  <c:v>575</c:v>
                </c:pt>
                <c:pt idx="28">
                  <c:v>600</c:v>
                </c:pt>
                <c:pt idx="29">
                  <c:v>600</c:v>
                </c:pt>
                <c:pt idx="30">
                  <c:v>625</c:v>
                </c:pt>
                <c:pt idx="31">
                  <c:v>625</c:v>
                </c:pt>
                <c:pt idx="32">
                  <c:v>650</c:v>
                </c:pt>
                <c:pt idx="33">
                  <c:v>650</c:v>
                </c:pt>
                <c:pt idx="34">
                  <c:v>675</c:v>
                </c:pt>
                <c:pt idx="35">
                  <c:v>675</c:v>
                </c:pt>
                <c:pt idx="36">
                  <c:v>700</c:v>
                </c:pt>
                <c:pt idx="37">
                  <c:v>700</c:v>
                </c:pt>
                <c:pt idx="38">
                  <c:v>725</c:v>
                </c:pt>
                <c:pt idx="39">
                  <c:v>725</c:v>
                </c:pt>
                <c:pt idx="40">
                  <c:v>750</c:v>
                </c:pt>
                <c:pt idx="41">
                  <c:v>750</c:v>
                </c:pt>
                <c:pt idx="42">
                  <c:v>775</c:v>
                </c:pt>
                <c:pt idx="43">
                  <c:v>775</c:v>
                </c:pt>
                <c:pt idx="44">
                  <c:v>800</c:v>
                </c:pt>
                <c:pt idx="45">
                  <c:v>800</c:v>
                </c:pt>
                <c:pt idx="46">
                  <c:v>825</c:v>
                </c:pt>
                <c:pt idx="47">
                  <c:v>825</c:v>
                </c:pt>
                <c:pt idx="48">
                  <c:v>850</c:v>
                </c:pt>
                <c:pt idx="49">
                  <c:v>850</c:v>
                </c:pt>
                <c:pt idx="50">
                  <c:v>875</c:v>
                </c:pt>
                <c:pt idx="51">
                  <c:v>875</c:v>
                </c:pt>
                <c:pt idx="52">
                  <c:v>900</c:v>
                </c:pt>
                <c:pt idx="53">
                  <c:v>900</c:v>
                </c:pt>
                <c:pt idx="54">
                  <c:v>925</c:v>
                </c:pt>
                <c:pt idx="55">
                  <c:v>925</c:v>
                </c:pt>
                <c:pt idx="56">
                  <c:v>950</c:v>
                </c:pt>
                <c:pt idx="57">
                  <c:v>950</c:v>
                </c:pt>
                <c:pt idx="58">
                  <c:v>975</c:v>
                </c:pt>
                <c:pt idx="59">
                  <c:v>975</c:v>
                </c:pt>
                <c:pt idx="60">
                  <c:v>1000</c:v>
                </c:pt>
                <c:pt idx="61">
                  <c:v>1000</c:v>
                </c:pt>
                <c:pt idx="62">
                  <c:v>1025</c:v>
                </c:pt>
                <c:pt idx="63">
                  <c:v>1025</c:v>
                </c:pt>
                <c:pt idx="64">
                  <c:v>1050</c:v>
                </c:pt>
                <c:pt idx="65">
                  <c:v>1050</c:v>
                </c:pt>
                <c:pt idx="66">
                  <c:v>1075</c:v>
                </c:pt>
                <c:pt idx="67">
                  <c:v>1075</c:v>
                </c:pt>
                <c:pt idx="68">
                  <c:v>1100</c:v>
                </c:pt>
                <c:pt idx="69">
                  <c:v>1100</c:v>
                </c:pt>
                <c:pt idx="70">
                  <c:v>1125</c:v>
                </c:pt>
                <c:pt idx="71">
                  <c:v>1125</c:v>
                </c:pt>
                <c:pt idx="72">
                  <c:v>1150</c:v>
                </c:pt>
                <c:pt idx="73">
                  <c:v>1150</c:v>
                </c:pt>
                <c:pt idx="74">
                  <c:v>1175</c:v>
                </c:pt>
                <c:pt idx="75">
                  <c:v>1175</c:v>
                </c:pt>
                <c:pt idx="76">
                  <c:v>1200</c:v>
                </c:pt>
                <c:pt idx="77">
                  <c:v>1200</c:v>
                </c:pt>
                <c:pt idx="78">
                  <c:v>1225</c:v>
                </c:pt>
                <c:pt idx="79">
                  <c:v>1225</c:v>
                </c:pt>
                <c:pt idx="80">
                  <c:v>1250</c:v>
                </c:pt>
                <c:pt idx="81">
                  <c:v>1250</c:v>
                </c:pt>
                <c:pt idx="82">
                  <c:v>1275</c:v>
                </c:pt>
                <c:pt idx="83">
                  <c:v>1275</c:v>
                </c:pt>
                <c:pt idx="84">
                  <c:v>1300</c:v>
                </c:pt>
                <c:pt idx="85">
                  <c:v>1300</c:v>
                </c:pt>
                <c:pt idx="86">
                  <c:v>1325</c:v>
                </c:pt>
                <c:pt idx="87">
                  <c:v>1325</c:v>
                </c:pt>
                <c:pt idx="88">
                  <c:v>1350</c:v>
                </c:pt>
                <c:pt idx="89">
                  <c:v>1350</c:v>
                </c:pt>
                <c:pt idx="90">
                  <c:v>1375</c:v>
                </c:pt>
                <c:pt idx="91">
                  <c:v>1375</c:v>
                </c:pt>
                <c:pt idx="92">
                  <c:v>1400</c:v>
                </c:pt>
                <c:pt idx="93">
                  <c:v>1400</c:v>
                </c:pt>
                <c:pt idx="94">
                  <c:v>1425</c:v>
                </c:pt>
                <c:pt idx="95">
                  <c:v>1425</c:v>
                </c:pt>
                <c:pt idx="96">
                  <c:v>1450</c:v>
                </c:pt>
                <c:pt idx="97">
                  <c:v>1450</c:v>
                </c:pt>
                <c:pt idx="98">
                  <c:v>1475</c:v>
                </c:pt>
                <c:pt idx="99">
                  <c:v>1475</c:v>
                </c:pt>
                <c:pt idx="100">
                  <c:v>1500</c:v>
                </c:pt>
                <c:pt idx="101">
                  <c:v>1500</c:v>
                </c:pt>
                <c:pt idx="102">
                  <c:v>1525</c:v>
                </c:pt>
                <c:pt idx="103">
                  <c:v>1525</c:v>
                </c:pt>
                <c:pt idx="104">
                  <c:v>1550</c:v>
                </c:pt>
                <c:pt idx="105">
                  <c:v>1550</c:v>
                </c:pt>
                <c:pt idx="106">
                  <c:v>1575</c:v>
                </c:pt>
                <c:pt idx="107">
                  <c:v>1575</c:v>
                </c:pt>
                <c:pt idx="108">
                  <c:v>1600</c:v>
                </c:pt>
                <c:pt idx="109">
                  <c:v>1600</c:v>
                </c:pt>
                <c:pt idx="110">
                  <c:v>1625</c:v>
                </c:pt>
                <c:pt idx="111">
                  <c:v>1625</c:v>
                </c:pt>
                <c:pt idx="112">
                  <c:v>1650</c:v>
                </c:pt>
                <c:pt idx="113">
                  <c:v>1650</c:v>
                </c:pt>
                <c:pt idx="114">
                  <c:v>1675</c:v>
                </c:pt>
                <c:pt idx="115">
                  <c:v>1675</c:v>
                </c:pt>
                <c:pt idx="116">
                  <c:v>1700</c:v>
                </c:pt>
                <c:pt idx="117">
                  <c:v>1700</c:v>
                </c:pt>
                <c:pt idx="118">
                  <c:v>1725</c:v>
                </c:pt>
                <c:pt idx="119">
                  <c:v>1725</c:v>
                </c:pt>
                <c:pt idx="120">
                  <c:v>1750</c:v>
                </c:pt>
                <c:pt idx="121">
                  <c:v>1750</c:v>
                </c:pt>
                <c:pt idx="122">
                  <c:v>1775</c:v>
                </c:pt>
                <c:pt idx="123">
                  <c:v>1775</c:v>
                </c:pt>
                <c:pt idx="124">
                  <c:v>1800</c:v>
                </c:pt>
                <c:pt idx="125">
                  <c:v>1800</c:v>
                </c:pt>
                <c:pt idx="126">
                  <c:v>1825</c:v>
                </c:pt>
                <c:pt idx="127">
                  <c:v>1825</c:v>
                </c:pt>
                <c:pt idx="128">
                  <c:v>1850</c:v>
                </c:pt>
                <c:pt idx="129">
                  <c:v>1850</c:v>
                </c:pt>
                <c:pt idx="130">
                  <c:v>1875</c:v>
                </c:pt>
                <c:pt idx="131">
                  <c:v>1875</c:v>
                </c:pt>
                <c:pt idx="132">
                  <c:v>1900</c:v>
                </c:pt>
                <c:pt idx="133">
                  <c:v>1900</c:v>
                </c:pt>
                <c:pt idx="134">
                  <c:v>1925</c:v>
                </c:pt>
                <c:pt idx="135">
                  <c:v>1925</c:v>
                </c:pt>
                <c:pt idx="136">
                  <c:v>1950</c:v>
                </c:pt>
                <c:pt idx="137">
                  <c:v>1950</c:v>
                </c:pt>
                <c:pt idx="138">
                  <c:v>1975</c:v>
                </c:pt>
                <c:pt idx="139">
                  <c:v>1975</c:v>
                </c:pt>
                <c:pt idx="140">
                  <c:v>2000</c:v>
                </c:pt>
                <c:pt idx="141">
                  <c:v>2000</c:v>
                </c:pt>
                <c:pt idx="142">
                  <c:v>2025</c:v>
                </c:pt>
                <c:pt idx="143">
                  <c:v>2025</c:v>
                </c:pt>
                <c:pt idx="144">
                  <c:v>2050</c:v>
                </c:pt>
                <c:pt idx="145">
                  <c:v>2050</c:v>
                </c:pt>
                <c:pt idx="146">
                  <c:v>2075</c:v>
                </c:pt>
                <c:pt idx="147">
                  <c:v>2075</c:v>
                </c:pt>
                <c:pt idx="148">
                  <c:v>2100</c:v>
                </c:pt>
                <c:pt idx="149">
                  <c:v>2100</c:v>
                </c:pt>
                <c:pt idx="150">
                  <c:v>2125</c:v>
                </c:pt>
                <c:pt idx="151">
                  <c:v>2125</c:v>
                </c:pt>
              </c:numCache>
            </c:numRef>
          </c:xVal>
          <c:yVal>
            <c:numRef>
              <c:f>'Marine Life 100 yrs'!$AM$2:$AM$153</c:f>
              <c:numCache>
                <c:formatCode>General</c:formatCode>
                <c:ptCount val="152"/>
                <c:pt idx="0">
                  <c:v>0</c:v>
                </c:pt>
                <c:pt idx="1">
                  <c:v>4</c:v>
                </c:pt>
                <c:pt idx="2">
                  <c:v>4</c:v>
                </c:pt>
                <c:pt idx="3">
                  <c:v>17</c:v>
                </c:pt>
                <c:pt idx="4">
                  <c:v>17</c:v>
                </c:pt>
                <c:pt idx="5">
                  <c:v>82</c:v>
                </c:pt>
                <c:pt idx="6">
                  <c:v>82</c:v>
                </c:pt>
                <c:pt idx="7">
                  <c:v>170</c:v>
                </c:pt>
                <c:pt idx="8">
                  <c:v>170</c:v>
                </c:pt>
                <c:pt idx="9">
                  <c:v>391</c:v>
                </c:pt>
                <c:pt idx="10">
                  <c:v>391</c:v>
                </c:pt>
                <c:pt idx="11">
                  <c:v>683</c:v>
                </c:pt>
                <c:pt idx="12">
                  <c:v>683</c:v>
                </c:pt>
                <c:pt idx="13">
                  <c:v>944</c:v>
                </c:pt>
                <c:pt idx="14">
                  <c:v>944</c:v>
                </c:pt>
                <c:pt idx="15">
                  <c:v>1090</c:v>
                </c:pt>
                <c:pt idx="16">
                  <c:v>1090</c:v>
                </c:pt>
                <c:pt idx="17">
                  <c:v>1242</c:v>
                </c:pt>
                <c:pt idx="18">
                  <c:v>1242</c:v>
                </c:pt>
                <c:pt idx="19">
                  <c:v>1158</c:v>
                </c:pt>
                <c:pt idx="20">
                  <c:v>1158</c:v>
                </c:pt>
                <c:pt idx="21">
                  <c:v>1111</c:v>
                </c:pt>
                <c:pt idx="22">
                  <c:v>1111</c:v>
                </c:pt>
                <c:pt idx="23">
                  <c:v>924</c:v>
                </c:pt>
                <c:pt idx="24">
                  <c:v>924</c:v>
                </c:pt>
                <c:pt idx="25">
                  <c:v>622</c:v>
                </c:pt>
                <c:pt idx="26">
                  <c:v>622</c:v>
                </c:pt>
                <c:pt idx="27">
                  <c:v>494</c:v>
                </c:pt>
                <c:pt idx="28">
                  <c:v>494</c:v>
                </c:pt>
                <c:pt idx="29">
                  <c:v>373</c:v>
                </c:pt>
                <c:pt idx="30">
                  <c:v>373</c:v>
                </c:pt>
                <c:pt idx="31">
                  <c:v>252</c:v>
                </c:pt>
                <c:pt idx="32">
                  <c:v>252</c:v>
                </c:pt>
                <c:pt idx="33">
                  <c:v>170</c:v>
                </c:pt>
                <c:pt idx="34">
                  <c:v>170</c:v>
                </c:pt>
                <c:pt idx="35">
                  <c:v>120</c:v>
                </c:pt>
                <c:pt idx="36">
                  <c:v>120</c:v>
                </c:pt>
                <c:pt idx="37">
                  <c:v>65</c:v>
                </c:pt>
                <c:pt idx="38">
                  <c:v>65</c:v>
                </c:pt>
                <c:pt idx="39">
                  <c:v>37</c:v>
                </c:pt>
                <c:pt idx="40">
                  <c:v>37</c:v>
                </c:pt>
                <c:pt idx="41">
                  <c:v>28</c:v>
                </c:pt>
                <c:pt idx="42">
                  <c:v>28</c:v>
                </c:pt>
                <c:pt idx="43">
                  <c:v>11</c:v>
                </c:pt>
                <c:pt idx="44">
                  <c:v>11</c:v>
                </c:pt>
                <c:pt idx="45">
                  <c:v>9</c:v>
                </c:pt>
                <c:pt idx="46">
                  <c:v>9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099-4170-8232-7C101ABB57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6063744"/>
        <c:axId val="706064304"/>
      </c:scatterChart>
      <c:valAx>
        <c:axId val="706063744"/>
        <c:scaling>
          <c:orientation val="minMax"/>
          <c:max val="2125"/>
          <c:min val="250"/>
        </c:scaling>
        <c:delete val="0"/>
        <c:axPos val="b"/>
        <c:numFmt formatCode="General" sourceLinked="1"/>
        <c:majorTickMark val="out"/>
        <c:minorTickMark val="none"/>
        <c:tickLblPos val="nextTo"/>
        <c:crossAx val="706064304"/>
        <c:crosses val="autoZero"/>
        <c:crossBetween val="midCat"/>
      </c:valAx>
      <c:valAx>
        <c:axId val="70606430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one"/>
        <c:spPr>
          <a:ln w="25400">
            <a:noFill/>
          </a:ln>
        </c:spPr>
        <c:crossAx val="7060637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'Atmosphere 100 yrs'!$AL$1</c:f>
              <c:strCache>
                <c:ptCount val="1"/>
                <c:pt idx="0">
                  <c:v>MCMC Madness'!$CW$17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'Atmosphere 100 yrs'!$AK$2:$AK$123</c:f>
              <c:numCache>
                <c:formatCode>General</c:formatCode>
                <c:ptCount val="122"/>
                <c:pt idx="0">
                  <c:v>300</c:v>
                </c:pt>
                <c:pt idx="1">
                  <c:v>300</c:v>
                </c:pt>
                <c:pt idx="2">
                  <c:v>350</c:v>
                </c:pt>
                <c:pt idx="3">
                  <c:v>350</c:v>
                </c:pt>
                <c:pt idx="4">
                  <c:v>400</c:v>
                </c:pt>
                <c:pt idx="5">
                  <c:v>400</c:v>
                </c:pt>
                <c:pt idx="6">
                  <c:v>450</c:v>
                </c:pt>
                <c:pt idx="7">
                  <c:v>450</c:v>
                </c:pt>
                <c:pt idx="8">
                  <c:v>500</c:v>
                </c:pt>
                <c:pt idx="9">
                  <c:v>500</c:v>
                </c:pt>
                <c:pt idx="10">
                  <c:v>550</c:v>
                </c:pt>
                <c:pt idx="11">
                  <c:v>550</c:v>
                </c:pt>
                <c:pt idx="12">
                  <c:v>600</c:v>
                </c:pt>
                <c:pt idx="13">
                  <c:v>600</c:v>
                </c:pt>
                <c:pt idx="14">
                  <c:v>650</c:v>
                </c:pt>
                <c:pt idx="15">
                  <c:v>650</c:v>
                </c:pt>
                <c:pt idx="16">
                  <c:v>700</c:v>
                </c:pt>
                <c:pt idx="17">
                  <c:v>700</c:v>
                </c:pt>
                <c:pt idx="18">
                  <c:v>750</c:v>
                </c:pt>
                <c:pt idx="19">
                  <c:v>750</c:v>
                </c:pt>
                <c:pt idx="20">
                  <c:v>800</c:v>
                </c:pt>
                <c:pt idx="21">
                  <c:v>800</c:v>
                </c:pt>
                <c:pt idx="22">
                  <c:v>850</c:v>
                </c:pt>
                <c:pt idx="23">
                  <c:v>850</c:v>
                </c:pt>
                <c:pt idx="24">
                  <c:v>900</c:v>
                </c:pt>
                <c:pt idx="25">
                  <c:v>900</c:v>
                </c:pt>
                <c:pt idx="26">
                  <c:v>950</c:v>
                </c:pt>
                <c:pt idx="27">
                  <c:v>950</c:v>
                </c:pt>
                <c:pt idx="28">
                  <c:v>1000</c:v>
                </c:pt>
                <c:pt idx="29">
                  <c:v>1000</c:v>
                </c:pt>
                <c:pt idx="30">
                  <c:v>1050</c:v>
                </c:pt>
                <c:pt idx="31">
                  <c:v>1050</c:v>
                </c:pt>
                <c:pt idx="32">
                  <c:v>1100</c:v>
                </c:pt>
                <c:pt idx="33">
                  <c:v>1100</c:v>
                </c:pt>
                <c:pt idx="34">
                  <c:v>1150</c:v>
                </c:pt>
                <c:pt idx="35">
                  <c:v>1150</c:v>
                </c:pt>
                <c:pt idx="36">
                  <c:v>1200</c:v>
                </c:pt>
                <c:pt idx="37">
                  <c:v>1200</c:v>
                </c:pt>
                <c:pt idx="38">
                  <c:v>1250</c:v>
                </c:pt>
                <c:pt idx="39">
                  <c:v>1250</c:v>
                </c:pt>
                <c:pt idx="40">
                  <c:v>1300</c:v>
                </c:pt>
                <c:pt idx="41">
                  <c:v>1300</c:v>
                </c:pt>
                <c:pt idx="42">
                  <c:v>1350</c:v>
                </c:pt>
                <c:pt idx="43">
                  <c:v>1350</c:v>
                </c:pt>
                <c:pt idx="44">
                  <c:v>1400</c:v>
                </c:pt>
                <c:pt idx="45">
                  <c:v>1400</c:v>
                </c:pt>
                <c:pt idx="46">
                  <c:v>1450</c:v>
                </c:pt>
                <c:pt idx="47">
                  <c:v>1450</c:v>
                </c:pt>
                <c:pt idx="48">
                  <c:v>1500</c:v>
                </c:pt>
                <c:pt idx="49">
                  <c:v>1500</c:v>
                </c:pt>
                <c:pt idx="50">
                  <c:v>1550</c:v>
                </c:pt>
                <c:pt idx="51">
                  <c:v>1550</c:v>
                </c:pt>
                <c:pt idx="52">
                  <c:v>1600</c:v>
                </c:pt>
                <c:pt idx="53">
                  <c:v>1600</c:v>
                </c:pt>
                <c:pt idx="54">
                  <c:v>1650</c:v>
                </c:pt>
                <c:pt idx="55">
                  <c:v>1650</c:v>
                </c:pt>
                <c:pt idx="56">
                  <c:v>1700</c:v>
                </c:pt>
                <c:pt idx="57">
                  <c:v>1700</c:v>
                </c:pt>
                <c:pt idx="58">
                  <c:v>1750</c:v>
                </c:pt>
                <c:pt idx="59">
                  <c:v>1750</c:v>
                </c:pt>
                <c:pt idx="60">
                  <c:v>1800</c:v>
                </c:pt>
                <c:pt idx="61">
                  <c:v>1800</c:v>
                </c:pt>
                <c:pt idx="62">
                  <c:v>1850</c:v>
                </c:pt>
                <c:pt idx="63">
                  <c:v>1850</c:v>
                </c:pt>
                <c:pt idx="64">
                  <c:v>1900</c:v>
                </c:pt>
                <c:pt idx="65">
                  <c:v>1900</c:v>
                </c:pt>
                <c:pt idx="66">
                  <c:v>1950</c:v>
                </c:pt>
                <c:pt idx="67">
                  <c:v>1950</c:v>
                </c:pt>
                <c:pt idx="68">
                  <c:v>2000</c:v>
                </c:pt>
                <c:pt idx="69">
                  <c:v>2000</c:v>
                </c:pt>
                <c:pt idx="70">
                  <c:v>2050</c:v>
                </c:pt>
                <c:pt idx="71">
                  <c:v>2050</c:v>
                </c:pt>
                <c:pt idx="72">
                  <c:v>2100</c:v>
                </c:pt>
                <c:pt idx="73">
                  <c:v>2100</c:v>
                </c:pt>
                <c:pt idx="74">
                  <c:v>2150</c:v>
                </c:pt>
                <c:pt idx="75">
                  <c:v>2150</c:v>
                </c:pt>
                <c:pt idx="76">
                  <c:v>2200</c:v>
                </c:pt>
                <c:pt idx="77">
                  <c:v>2200</c:v>
                </c:pt>
                <c:pt idx="78">
                  <c:v>2250</c:v>
                </c:pt>
                <c:pt idx="79">
                  <c:v>2250</c:v>
                </c:pt>
                <c:pt idx="80">
                  <c:v>2300</c:v>
                </c:pt>
                <c:pt idx="81">
                  <c:v>2300</c:v>
                </c:pt>
                <c:pt idx="82">
                  <c:v>2350</c:v>
                </c:pt>
                <c:pt idx="83">
                  <c:v>2350</c:v>
                </c:pt>
                <c:pt idx="84">
                  <c:v>2400</c:v>
                </c:pt>
                <c:pt idx="85">
                  <c:v>2400</c:v>
                </c:pt>
                <c:pt idx="86">
                  <c:v>2450</c:v>
                </c:pt>
                <c:pt idx="87">
                  <c:v>2450</c:v>
                </c:pt>
                <c:pt idx="88">
                  <c:v>2500</c:v>
                </c:pt>
                <c:pt idx="89">
                  <c:v>2500</c:v>
                </c:pt>
                <c:pt idx="90">
                  <c:v>2550</c:v>
                </c:pt>
                <c:pt idx="91">
                  <c:v>2550</c:v>
                </c:pt>
                <c:pt idx="92">
                  <c:v>2600</c:v>
                </c:pt>
                <c:pt idx="93">
                  <c:v>2600</c:v>
                </c:pt>
                <c:pt idx="94">
                  <c:v>2650</c:v>
                </c:pt>
                <c:pt idx="95">
                  <c:v>2650</c:v>
                </c:pt>
                <c:pt idx="96">
                  <c:v>2700</c:v>
                </c:pt>
                <c:pt idx="97">
                  <c:v>2700</c:v>
                </c:pt>
                <c:pt idx="98">
                  <c:v>2750</c:v>
                </c:pt>
                <c:pt idx="99">
                  <c:v>2750</c:v>
                </c:pt>
                <c:pt idx="100">
                  <c:v>2800</c:v>
                </c:pt>
                <c:pt idx="101">
                  <c:v>2800</c:v>
                </c:pt>
                <c:pt idx="102">
                  <c:v>2850</c:v>
                </c:pt>
                <c:pt idx="103">
                  <c:v>2850</c:v>
                </c:pt>
                <c:pt idx="104">
                  <c:v>2900</c:v>
                </c:pt>
                <c:pt idx="105">
                  <c:v>2900</c:v>
                </c:pt>
                <c:pt idx="106">
                  <c:v>2950</c:v>
                </c:pt>
                <c:pt idx="107">
                  <c:v>2950</c:v>
                </c:pt>
                <c:pt idx="108">
                  <c:v>3000</c:v>
                </c:pt>
                <c:pt idx="109">
                  <c:v>3000</c:v>
                </c:pt>
                <c:pt idx="110">
                  <c:v>3050</c:v>
                </c:pt>
                <c:pt idx="111">
                  <c:v>3050</c:v>
                </c:pt>
                <c:pt idx="112">
                  <c:v>3100</c:v>
                </c:pt>
                <c:pt idx="113">
                  <c:v>3100</c:v>
                </c:pt>
                <c:pt idx="114">
                  <c:v>3150</c:v>
                </c:pt>
                <c:pt idx="115">
                  <c:v>3150</c:v>
                </c:pt>
                <c:pt idx="116">
                  <c:v>3200</c:v>
                </c:pt>
                <c:pt idx="117">
                  <c:v>3200</c:v>
                </c:pt>
                <c:pt idx="118">
                  <c:v>3250</c:v>
                </c:pt>
                <c:pt idx="119">
                  <c:v>3250</c:v>
                </c:pt>
                <c:pt idx="120">
                  <c:v>3300</c:v>
                </c:pt>
                <c:pt idx="121">
                  <c:v>3300</c:v>
                </c:pt>
              </c:numCache>
            </c:numRef>
          </c:xVal>
          <c:yVal>
            <c:numRef>
              <c:f>'Atmosphere 100 yrs'!$AL$2:$AL$123</c:f>
              <c:numCache>
                <c:formatCode>General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3</c:v>
                </c:pt>
                <c:pt idx="4">
                  <c:v>3</c:v>
                </c:pt>
                <c:pt idx="5">
                  <c:v>22</c:v>
                </c:pt>
                <c:pt idx="6">
                  <c:v>22</c:v>
                </c:pt>
                <c:pt idx="7">
                  <c:v>91</c:v>
                </c:pt>
                <c:pt idx="8">
                  <c:v>91</c:v>
                </c:pt>
                <c:pt idx="9">
                  <c:v>342</c:v>
                </c:pt>
                <c:pt idx="10">
                  <c:v>342</c:v>
                </c:pt>
                <c:pt idx="11">
                  <c:v>903</c:v>
                </c:pt>
                <c:pt idx="12">
                  <c:v>903</c:v>
                </c:pt>
                <c:pt idx="13">
                  <c:v>1410</c:v>
                </c:pt>
                <c:pt idx="14">
                  <c:v>1410</c:v>
                </c:pt>
                <c:pt idx="15">
                  <c:v>1833</c:v>
                </c:pt>
                <c:pt idx="16">
                  <c:v>1833</c:v>
                </c:pt>
                <c:pt idx="17">
                  <c:v>1751</c:v>
                </c:pt>
                <c:pt idx="18">
                  <c:v>1751</c:v>
                </c:pt>
                <c:pt idx="19">
                  <c:v>1454</c:v>
                </c:pt>
                <c:pt idx="20">
                  <c:v>1454</c:v>
                </c:pt>
                <c:pt idx="21">
                  <c:v>1019</c:v>
                </c:pt>
                <c:pt idx="22">
                  <c:v>1019</c:v>
                </c:pt>
                <c:pt idx="23">
                  <c:v>592</c:v>
                </c:pt>
                <c:pt idx="24">
                  <c:v>592</c:v>
                </c:pt>
                <c:pt idx="25">
                  <c:v>324</c:v>
                </c:pt>
                <c:pt idx="26">
                  <c:v>324</c:v>
                </c:pt>
                <c:pt idx="27">
                  <c:v>151</c:v>
                </c:pt>
                <c:pt idx="28">
                  <c:v>151</c:v>
                </c:pt>
                <c:pt idx="29">
                  <c:v>63</c:v>
                </c:pt>
                <c:pt idx="30">
                  <c:v>63</c:v>
                </c:pt>
                <c:pt idx="31">
                  <c:v>19</c:v>
                </c:pt>
                <c:pt idx="32">
                  <c:v>19</c:v>
                </c:pt>
                <c:pt idx="33">
                  <c:v>16</c:v>
                </c:pt>
                <c:pt idx="34">
                  <c:v>16</c:v>
                </c:pt>
                <c:pt idx="35">
                  <c:v>4</c:v>
                </c:pt>
                <c:pt idx="36">
                  <c:v>4</c:v>
                </c:pt>
                <c:pt idx="37">
                  <c:v>2</c:v>
                </c:pt>
                <c:pt idx="38">
                  <c:v>2</c:v>
                </c:pt>
                <c:pt idx="3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93-440C-A290-47B79AAFE82B}"/>
            </c:ext>
          </c:extLst>
        </c:ser>
        <c:ser>
          <c:idx val="1"/>
          <c:order val="1"/>
          <c:tx>
            <c:strRef>
              <c:f>'Atmosphere 100 yrs'!$AM$1</c:f>
              <c:strCache>
                <c:ptCount val="1"/>
                <c:pt idx="0">
                  <c:v>MCMC Madness'!$CW$44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'Atmosphere 100 yrs'!$AK$2:$AK$123</c:f>
              <c:numCache>
                <c:formatCode>General</c:formatCode>
                <c:ptCount val="122"/>
                <c:pt idx="0">
                  <c:v>300</c:v>
                </c:pt>
                <c:pt idx="1">
                  <c:v>300</c:v>
                </c:pt>
                <c:pt idx="2">
                  <c:v>350</c:v>
                </c:pt>
                <c:pt idx="3">
                  <c:v>350</c:v>
                </c:pt>
                <c:pt idx="4">
                  <c:v>400</c:v>
                </c:pt>
                <c:pt idx="5">
                  <c:v>400</c:v>
                </c:pt>
                <c:pt idx="6">
                  <c:v>450</c:v>
                </c:pt>
                <c:pt idx="7">
                  <c:v>450</c:v>
                </c:pt>
                <c:pt idx="8">
                  <c:v>500</c:v>
                </c:pt>
                <c:pt idx="9">
                  <c:v>500</c:v>
                </c:pt>
                <c:pt idx="10">
                  <c:v>550</c:v>
                </c:pt>
                <c:pt idx="11">
                  <c:v>550</c:v>
                </c:pt>
                <c:pt idx="12">
                  <c:v>600</c:v>
                </c:pt>
                <c:pt idx="13">
                  <c:v>600</c:v>
                </c:pt>
                <c:pt idx="14">
                  <c:v>650</c:v>
                </c:pt>
                <c:pt idx="15">
                  <c:v>650</c:v>
                </c:pt>
                <c:pt idx="16">
                  <c:v>700</c:v>
                </c:pt>
                <c:pt idx="17">
                  <c:v>700</c:v>
                </c:pt>
                <c:pt idx="18">
                  <c:v>750</c:v>
                </c:pt>
                <c:pt idx="19">
                  <c:v>750</c:v>
                </c:pt>
                <c:pt idx="20">
                  <c:v>800</c:v>
                </c:pt>
                <c:pt idx="21">
                  <c:v>800</c:v>
                </c:pt>
                <c:pt idx="22">
                  <c:v>850</c:v>
                </c:pt>
                <c:pt idx="23">
                  <c:v>850</c:v>
                </c:pt>
                <c:pt idx="24">
                  <c:v>900</c:v>
                </c:pt>
                <c:pt idx="25">
                  <c:v>900</c:v>
                </c:pt>
                <c:pt idx="26">
                  <c:v>950</c:v>
                </c:pt>
                <c:pt idx="27">
                  <c:v>950</c:v>
                </c:pt>
                <c:pt idx="28">
                  <c:v>1000</c:v>
                </c:pt>
                <c:pt idx="29">
                  <c:v>1000</c:v>
                </c:pt>
                <c:pt idx="30">
                  <c:v>1050</c:v>
                </c:pt>
                <c:pt idx="31">
                  <c:v>1050</c:v>
                </c:pt>
                <c:pt idx="32">
                  <c:v>1100</c:v>
                </c:pt>
                <c:pt idx="33">
                  <c:v>1100</c:v>
                </c:pt>
                <c:pt idx="34">
                  <c:v>1150</c:v>
                </c:pt>
                <c:pt idx="35">
                  <c:v>1150</c:v>
                </c:pt>
                <c:pt idx="36">
                  <c:v>1200</c:v>
                </c:pt>
                <c:pt idx="37">
                  <c:v>1200</c:v>
                </c:pt>
                <c:pt idx="38">
                  <c:v>1250</c:v>
                </c:pt>
                <c:pt idx="39">
                  <c:v>1250</c:v>
                </c:pt>
                <c:pt idx="40">
                  <c:v>1300</c:v>
                </c:pt>
                <c:pt idx="41">
                  <c:v>1300</c:v>
                </c:pt>
                <c:pt idx="42">
                  <c:v>1350</c:v>
                </c:pt>
                <c:pt idx="43">
                  <c:v>1350</c:v>
                </c:pt>
                <c:pt idx="44">
                  <c:v>1400</c:v>
                </c:pt>
                <c:pt idx="45">
                  <c:v>1400</c:v>
                </c:pt>
                <c:pt idx="46">
                  <c:v>1450</c:v>
                </c:pt>
                <c:pt idx="47">
                  <c:v>1450</c:v>
                </c:pt>
                <c:pt idx="48">
                  <c:v>1500</c:v>
                </c:pt>
                <c:pt idx="49">
                  <c:v>1500</c:v>
                </c:pt>
                <c:pt idx="50">
                  <c:v>1550</c:v>
                </c:pt>
                <c:pt idx="51">
                  <c:v>1550</c:v>
                </c:pt>
                <c:pt idx="52">
                  <c:v>1600</c:v>
                </c:pt>
                <c:pt idx="53">
                  <c:v>1600</c:v>
                </c:pt>
                <c:pt idx="54">
                  <c:v>1650</c:v>
                </c:pt>
                <c:pt idx="55">
                  <c:v>1650</c:v>
                </c:pt>
                <c:pt idx="56">
                  <c:v>1700</c:v>
                </c:pt>
                <c:pt idx="57">
                  <c:v>1700</c:v>
                </c:pt>
                <c:pt idx="58">
                  <c:v>1750</c:v>
                </c:pt>
                <c:pt idx="59">
                  <c:v>1750</c:v>
                </c:pt>
                <c:pt idx="60">
                  <c:v>1800</c:v>
                </c:pt>
                <c:pt idx="61">
                  <c:v>1800</c:v>
                </c:pt>
                <c:pt idx="62">
                  <c:v>1850</c:v>
                </c:pt>
                <c:pt idx="63">
                  <c:v>1850</c:v>
                </c:pt>
                <c:pt idx="64">
                  <c:v>1900</c:v>
                </c:pt>
                <c:pt idx="65">
                  <c:v>1900</c:v>
                </c:pt>
                <c:pt idx="66">
                  <c:v>1950</c:v>
                </c:pt>
                <c:pt idx="67">
                  <c:v>1950</c:v>
                </c:pt>
                <c:pt idx="68">
                  <c:v>2000</c:v>
                </c:pt>
                <c:pt idx="69">
                  <c:v>2000</c:v>
                </c:pt>
                <c:pt idx="70">
                  <c:v>2050</c:v>
                </c:pt>
                <c:pt idx="71">
                  <c:v>2050</c:v>
                </c:pt>
                <c:pt idx="72">
                  <c:v>2100</c:v>
                </c:pt>
                <c:pt idx="73">
                  <c:v>2100</c:v>
                </c:pt>
                <c:pt idx="74">
                  <c:v>2150</c:v>
                </c:pt>
                <c:pt idx="75">
                  <c:v>2150</c:v>
                </c:pt>
                <c:pt idx="76">
                  <c:v>2200</c:v>
                </c:pt>
                <c:pt idx="77">
                  <c:v>2200</c:v>
                </c:pt>
                <c:pt idx="78">
                  <c:v>2250</c:v>
                </c:pt>
                <c:pt idx="79">
                  <c:v>2250</c:v>
                </c:pt>
                <c:pt idx="80">
                  <c:v>2300</c:v>
                </c:pt>
                <c:pt idx="81">
                  <c:v>2300</c:v>
                </c:pt>
                <c:pt idx="82">
                  <c:v>2350</c:v>
                </c:pt>
                <c:pt idx="83">
                  <c:v>2350</c:v>
                </c:pt>
                <c:pt idx="84">
                  <c:v>2400</c:v>
                </c:pt>
                <c:pt idx="85">
                  <c:v>2400</c:v>
                </c:pt>
                <c:pt idx="86">
                  <c:v>2450</c:v>
                </c:pt>
                <c:pt idx="87">
                  <c:v>2450</c:v>
                </c:pt>
                <c:pt idx="88">
                  <c:v>2500</c:v>
                </c:pt>
                <c:pt idx="89">
                  <c:v>2500</c:v>
                </c:pt>
                <c:pt idx="90">
                  <c:v>2550</c:v>
                </c:pt>
                <c:pt idx="91">
                  <c:v>2550</c:v>
                </c:pt>
                <c:pt idx="92">
                  <c:v>2600</c:v>
                </c:pt>
                <c:pt idx="93">
                  <c:v>2600</c:v>
                </c:pt>
                <c:pt idx="94">
                  <c:v>2650</c:v>
                </c:pt>
                <c:pt idx="95">
                  <c:v>2650</c:v>
                </c:pt>
                <c:pt idx="96">
                  <c:v>2700</c:v>
                </c:pt>
                <c:pt idx="97">
                  <c:v>2700</c:v>
                </c:pt>
                <c:pt idx="98">
                  <c:v>2750</c:v>
                </c:pt>
                <c:pt idx="99">
                  <c:v>2750</c:v>
                </c:pt>
                <c:pt idx="100">
                  <c:v>2800</c:v>
                </c:pt>
                <c:pt idx="101">
                  <c:v>2800</c:v>
                </c:pt>
                <c:pt idx="102">
                  <c:v>2850</c:v>
                </c:pt>
                <c:pt idx="103">
                  <c:v>2850</c:v>
                </c:pt>
                <c:pt idx="104">
                  <c:v>2900</c:v>
                </c:pt>
                <c:pt idx="105">
                  <c:v>2900</c:v>
                </c:pt>
                <c:pt idx="106">
                  <c:v>2950</c:v>
                </c:pt>
                <c:pt idx="107">
                  <c:v>2950</c:v>
                </c:pt>
                <c:pt idx="108">
                  <c:v>3000</c:v>
                </c:pt>
                <c:pt idx="109">
                  <c:v>3000</c:v>
                </c:pt>
                <c:pt idx="110">
                  <c:v>3050</c:v>
                </c:pt>
                <c:pt idx="111">
                  <c:v>3050</c:v>
                </c:pt>
                <c:pt idx="112">
                  <c:v>3100</c:v>
                </c:pt>
                <c:pt idx="113">
                  <c:v>3100</c:v>
                </c:pt>
                <c:pt idx="114">
                  <c:v>3150</c:v>
                </c:pt>
                <c:pt idx="115">
                  <c:v>3150</c:v>
                </c:pt>
                <c:pt idx="116">
                  <c:v>3200</c:v>
                </c:pt>
                <c:pt idx="117">
                  <c:v>3200</c:v>
                </c:pt>
                <c:pt idx="118">
                  <c:v>3250</c:v>
                </c:pt>
                <c:pt idx="119">
                  <c:v>3250</c:v>
                </c:pt>
                <c:pt idx="120">
                  <c:v>3300</c:v>
                </c:pt>
                <c:pt idx="121">
                  <c:v>3300</c:v>
                </c:pt>
              </c:numCache>
            </c:numRef>
          </c:xVal>
          <c:yVal>
            <c:numRef>
              <c:f>'Atmosphere 100 yrs'!$AM$2:$AM$123</c:f>
              <c:numCache>
                <c:formatCode>General</c:formatCode>
                <c:ptCount val="1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2</c:v>
                </c:pt>
                <c:pt idx="34">
                  <c:v>2</c:v>
                </c:pt>
                <c:pt idx="35">
                  <c:v>4</c:v>
                </c:pt>
                <c:pt idx="36">
                  <c:v>4</c:v>
                </c:pt>
                <c:pt idx="37">
                  <c:v>8</c:v>
                </c:pt>
                <c:pt idx="38">
                  <c:v>8</c:v>
                </c:pt>
                <c:pt idx="39">
                  <c:v>23</c:v>
                </c:pt>
                <c:pt idx="40">
                  <c:v>23</c:v>
                </c:pt>
                <c:pt idx="41">
                  <c:v>51</c:v>
                </c:pt>
                <c:pt idx="42">
                  <c:v>51</c:v>
                </c:pt>
                <c:pt idx="43">
                  <c:v>91</c:v>
                </c:pt>
                <c:pt idx="44">
                  <c:v>91</c:v>
                </c:pt>
                <c:pt idx="45">
                  <c:v>167</c:v>
                </c:pt>
                <c:pt idx="46">
                  <c:v>167</c:v>
                </c:pt>
                <c:pt idx="47">
                  <c:v>236</c:v>
                </c:pt>
                <c:pt idx="48">
                  <c:v>236</c:v>
                </c:pt>
                <c:pt idx="49">
                  <c:v>374</c:v>
                </c:pt>
                <c:pt idx="50">
                  <c:v>374</c:v>
                </c:pt>
                <c:pt idx="51">
                  <c:v>496</c:v>
                </c:pt>
                <c:pt idx="52">
                  <c:v>496</c:v>
                </c:pt>
                <c:pt idx="53">
                  <c:v>575</c:v>
                </c:pt>
                <c:pt idx="54">
                  <c:v>575</c:v>
                </c:pt>
                <c:pt idx="55">
                  <c:v>652</c:v>
                </c:pt>
                <c:pt idx="56">
                  <c:v>652</c:v>
                </c:pt>
                <c:pt idx="57">
                  <c:v>747</c:v>
                </c:pt>
                <c:pt idx="58">
                  <c:v>747</c:v>
                </c:pt>
                <c:pt idx="59">
                  <c:v>790</c:v>
                </c:pt>
                <c:pt idx="60">
                  <c:v>790</c:v>
                </c:pt>
                <c:pt idx="61">
                  <c:v>822</c:v>
                </c:pt>
                <c:pt idx="62">
                  <c:v>822</c:v>
                </c:pt>
                <c:pt idx="63">
                  <c:v>778</c:v>
                </c:pt>
                <c:pt idx="64">
                  <c:v>778</c:v>
                </c:pt>
                <c:pt idx="65">
                  <c:v>727</c:v>
                </c:pt>
                <c:pt idx="66">
                  <c:v>727</c:v>
                </c:pt>
                <c:pt idx="67">
                  <c:v>673</c:v>
                </c:pt>
                <c:pt idx="68">
                  <c:v>673</c:v>
                </c:pt>
                <c:pt idx="69">
                  <c:v>572</c:v>
                </c:pt>
                <c:pt idx="70">
                  <c:v>572</c:v>
                </c:pt>
                <c:pt idx="71">
                  <c:v>508</c:v>
                </c:pt>
                <c:pt idx="72">
                  <c:v>508</c:v>
                </c:pt>
                <c:pt idx="73">
                  <c:v>374</c:v>
                </c:pt>
                <c:pt idx="74">
                  <c:v>374</c:v>
                </c:pt>
                <c:pt idx="75">
                  <c:v>333</c:v>
                </c:pt>
                <c:pt idx="76">
                  <c:v>333</c:v>
                </c:pt>
                <c:pt idx="77">
                  <c:v>265</c:v>
                </c:pt>
                <c:pt idx="78">
                  <c:v>265</c:v>
                </c:pt>
                <c:pt idx="79">
                  <c:v>196</c:v>
                </c:pt>
                <c:pt idx="80">
                  <c:v>196</c:v>
                </c:pt>
                <c:pt idx="81">
                  <c:v>154</c:v>
                </c:pt>
                <c:pt idx="82">
                  <c:v>154</c:v>
                </c:pt>
                <c:pt idx="83">
                  <c:v>113</c:v>
                </c:pt>
                <c:pt idx="84">
                  <c:v>113</c:v>
                </c:pt>
                <c:pt idx="85">
                  <c:v>86</c:v>
                </c:pt>
                <c:pt idx="86">
                  <c:v>86</c:v>
                </c:pt>
                <c:pt idx="87">
                  <c:v>45</c:v>
                </c:pt>
                <c:pt idx="88">
                  <c:v>45</c:v>
                </c:pt>
                <c:pt idx="89">
                  <c:v>45</c:v>
                </c:pt>
                <c:pt idx="90">
                  <c:v>45</c:v>
                </c:pt>
                <c:pt idx="91">
                  <c:v>31</c:v>
                </c:pt>
                <c:pt idx="92">
                  <c:v>31</c:v>
                </c:pt>
                <c:pt idx="93">
                  <c:v>26</c:v>
                </c:pt>
                <c:pt idx="94">
                  <c:v>26</c:v>
                </c:pt>
                <c:pt idx="95">
                  <c:v>11</c:v>
                </c:pt>
                <c:pt idx="96">
                  <c:v>11</c:v>
                </c:pt>
                <c:pt idx="97">
                  <c:v>10</c:v>
                </c:pt>
                <c:pt idx="98">
                  <c:v>10</c:v>
                </c:pt>
                <c:pt idx="99">
                  <c:v>5</c:v>
                </c:pt>
                <c:pt idx="100">
                  <c:v>5</c:v>
                </c:pt>
                <c:pt idx="101">
                  <c:v>3</c:v>
                </c:pt>
                <c:pt idx="102">
                  <c:v>3</c:v>
                </c:pt>
                <c:pt idx="103">
                  <c:v>4</c:v>
                </c:pt>
                <c:pt idx="104">
                  <c:v>4</c:v>
                </c:pt>
                <c:pt idx="105">
                  <c:v>0</c:v>
                </c:pt>
                <c:pt idx="106">
                  <c:v>0</c:v>
                </c:pt>
                <c:pt idx="107">
                  <c:v>1</c:v>
                </c:pt>
                <c:pt idx="108">
                  <c:v>1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93-440C-A290-47B79AAFE8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6067664"/>
        <c:axId val="706068224"/>
      </c:scatterChart>
      <c:valAx>
        <c:axId val="706067664"/>
        <c:scaling>
          <c:orientation val="minMax"/>
          <c:max val="3300"/>
          <c:min val="300"/>
        </c:scaling>
        <c:delete val="0"/>
        <c:axPos val="b"/>
        <c:numFmt formatCode="General" sourceLinked="1"/>
        <c:majorTickMark val="out"/>
        <c:minorTickMark val="none"/>
        <c:tickLblPos val="nextTo"/>
        <c:crossAx val="706068224"/>
        <c:crosses val="autoZero"/>
        <c:crossBetween val="midCat"/>
      </c:valAx>
      <c:valAx>
        <c:axId val="7060682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one"/>
        <c:spPr>
          <a:ln w="25400">
            <a:noFill/>
          </a:ln>
        </c:spPr>
        <c:crossAx val="7060676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'Atmosphere 150 yrs'!$AL$1</c:f>
              <c:strCache>
                <c:ptCount val="1"/>
                <c:pt idx="0">
                  <c:v>MCMC Madness'!$EU$17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'Atmosphere 150 yrs'!$AK$2:$AK$129</c:f>
              <c:numCache>
                <c:formatCode>General</c:formatCode>
                <c:ptCount val="128"/>
                <c:pt idx="0">
                  <c:v>250</c:v>
                </c:pt>
                <c:pt idx="1">
                  <c:v>250</c:v>
                </c:pt>
                <c:pt idx="2">
                  <c:v>300</c:v>
                </c:pt>
                <c:pt idx="3">
                  <c:v>300</c:v>
                </c:pt>
                <c:pt idx="4">
                  <c:v>350</c:v>
                </c:pt>
                <c:pt idx="5">
                  <c:v>350</c:v>
                </c:pt>
                <c:pt idx="6">
                  <c:v>400</c:v>
                </c:pt>
                <c:pt idx="7">
                  <c:v>400</c:v>
                </c:pt>
                <c:pt idx="8">
                  <c:v>450</c:v>
                </c:pt>
                <c:pt idx="9">
                  <c:v>450</c:v>
                </c:pt>
                <c:pt idx="10">
                  <c:v>500</c:v>
                </c:pt>
                <c:pt idx="11">
                  <c:v>500</c:v>
                </c:pt>
                <c:pt idx="12">
                  <c:v>550</c:v>
                </c:pt>
                <c:pt idx="13">
                  <c:v>550</c:v>
                </c:pt>
                <c:pt idx="14">
                  <c:v>600</c:v>
                </c:pt>
                <c:pt idx="15">
                  <c:v>600</c:v>
                </c:pt>
                <c:pt idx="16">
                  <c:v>650</c:v>
                </c:pt>
                <c:pt idx="17">
                  <c:v>650</c:v>
                </c:pt>
                <c:pt idx="18">
                  <c:v>700</c:v>
                </c:pt>
                <c:pt idx="19">
                  <c:v>700</c:v>
                </c:pt>
                <c:pt idx="20">
                  <c:v>750</c:v>
                </c:pt>
                <c:pt idx="21">
                  <c:v>750</c:v>
                </c:pt>
                <c:pt idx="22">
                  <c:v>800</c:v>
                </c:pt>
                <c:pt idx="23">
                  <c:v>800</c:v>
                </c:pt>
                <c:pt idx="24">
                  <c:v>850</c:v>
                </c:pt>
                <c:pt idx="25">
                  <c:v>850</c:v>
                </c:pt>
                <c:pt idx="26">
                  <c:v>900</c:v>
                </c:pt>
                <c:pt idx="27">
                  <c:v>900</c:v>
                </c:pt>
                <c:pt idx="28">
                  <c:v>950</c:v>
                </c:pt>
                <c:pt idx="29">
                  <c:v>950</c:v>
                </c:pt>
                <c:pt idx="30">
                  <c:v>1000</c:v>
                </c:pt>
                <c:pt idx="31">
                  <c:v>1000</c:v>
                </c:pt>
                <c:pt idx="32">
                  <c:v>1050</c:v>
                </c:pt>
                <c:pt idx="33">
                  <c:v>1050</c:v>
                </c:pt>
                <c:pt idx="34">
                  <c:v>1100</c:v>
                </c:pt>
                <c:pt idx="35">
                  <c:v>1100</c:v>
                </c:pt>
                <c:pt idx="36">
                  <c:v>1150</c:v>
                </c:pt>
                <c:pt idx="37">
                  <c:v>1150</c:v>
                </c:pt>
                <c:pt idx="38">
                  <c:v>1200</c:v>
                </c:pt>
                <c:pt idx="39">
                  <c:v>1200</c:v>
                </c:pt>
                <c:pt idx="40">
                  <c:v>1250</c:v>
                </c:pt>
                <c:pt idx="41">
                  <c:v>1250</c:v>
                </c:pt>
                <c:pt idx="42">
                  <c:v>1300</c:v>
                </c:pt>
                <c:pt idx="43">
                  <c:v>1300</c:v>
                </c:pt>
                <c:pt idx="44">
                  <c:v>1350</c:v>
                </c:pt>
                <c:pt idx="45">
                  <c:v>1350</c:v>
                </c:pt>
                <c:pt idx="46">
                  <c:v>1400</c:v>
                </c:pt>
                <c:pt idx="47">
                  <c:v>1400</c:v>
                </c:pt>
                <c:pt idx="48">
                  <c:v>1450</c:v>
                </c:pt>
                <c:pt idx="49">
                  <c:v>1450</c:v>
                </c:pt>
                <c:pt idx="50">
                  <c:v>1500</c:v>
                </c:pt>
                <c:pt idx="51">
                  <c:v>1500</c:v>
                </c:pt>
                <c:pt idx="52">
                  <c:v>1550</c:v>
                </c:pt>
                <c:pt idx="53">
                  <c:v>1550</c:v>
                </c:pt>
                <c:pt idx="54">
                  <c:v>1600</c:v>
                </c:pt>
                <c:pt idx="55">
                  <c:v>1600</c:v>
                </c:pt>
                <c:pt idx="56">
                  <c:v>1650</c:v>
                </c:pt>
                <c:pt idx="57">
                  <c:v>1650</c:v>
                </c:pt>
                <c:pt idx="58">
                  <c:v>1700</c:v>
                </c:pt>
                <c:pt idx="59">
                  <c:v>1700</c:v>
                </c:pt>
                <c:pt idx="60">
                  <c:v>1750</c:v>
                </c:pt>
                <c:pt idx="61">
                  <c:v>1750</c:v>
                </c:pt>
                <c:pt idx="62">
                  <c:v>1800</c:v>
                </c:pt>
                <c:pt idx="63">
                  <c:v>1800</c:v>
                </c:pt>
                <c:pt idx="64">
                  <c:v>1850</c:v>
                </c:pt>
                <c:pt idx="65">
                  <c:v>1850</c:v>
                </c:pt>
                <c:pt idx="66">
                  <c:v>1900</c:v>
                </c:pt>
                <c:pt idx="67">
                  <c:v>1900</c:v>
                </c:pt>
                <c:pt idx="68">
                  <c:v>1950</c:v>
                </c:pt>
                <c:pt idx="69">
                  <c:v>1950</c:v>
                </c:pt>
                <c:pt idx="70">
                  <c:v>2000</c:v>
                </c:pt>
                <c:pt idx="71">
                  <c:v>2000</c:v>
                </c:pt>
                <c:pt idx="72">
                  <c:v>2050</c:v>
                </c:pt>
                <c:pt idx="73">
                  <c:v>2050</c:v>
                </c:pt>
                <c:pt idx="74">
                  <c:v>2100</c:v>
                </c:pt>
                <c:pt idx="75">
                  <c:v>2100</c:v>
                </c:pt>
                <c:pt idx="76">
                  <c:v>2150</c:v>
                </c:pt>
                <c:pt idx="77">
                  <c:v>2150</c:v>
                </c:pt>
                <c:pt idx="78">
                  <c:v>2200</c:v>
                </c:pt>
                <c:pt idx="79">
                  <c:v>2200</c:v>
                </c:pt>
                <c:pt idx="80">
                  <c:v>2250</c:v>
                </c:pt>
                <c:pt idx="81">
                  <c:v>2250</c:v>
                </c:pt>
                <c:pt idx="82">
                  <c:v>2300</c:v>
                </c:pt>
                <c:pt idx="83">
                  <c:v>2300</c:v>
                </c:pt>
                <c:pt idx="84">
                  <c:v>2350</c:v>
                </c:pt>
                <c:pt idx="85">
                  <c:v>2350</c:v>
                </c:pt>
                <c:pt idx="86">
                  <c:v>2400</c:v>
                </c:pt>
                <c:pt idx="87">
                  <c:v>2400</c:v>
                </c:pt>
                <c:pt idx="88">
                  <c:v>2450</c:v>
                </c:pt>
                <c:pt idx="89">
                  <c:v>2450</c:v>
                </c:pt>
                <c:pt idx="90">
                  <c:v>2500</c:v>
                </c:pt>
                <c:pt idx="91">
                  <c:v>2500</c:v>
                </c:pt>
                <c:pt idx="92">
                  <c:v>2550</c:v>
                </c:pt>
                <c:pt idx="93">
                  <c:v>2550</c:v>
                </c:pt>
                <c:pt idx="94">
                  <c:v>2600</c:v>
                </c:pt>
                <c:pt idx="95">
                  <c:v>2600</c:v>
                </c:pt>
                <c:pt idx="96">
                  <c:v>2650</c:v>
                </c:pt>
                <c:pt idx="97">
                  <c:v>2650</c:v>
                </c:pt>
                <c:pt idx="98">
                  <c:v>2700</c:v>
                </c:pt>
                <c:pt idx="99">
                  <c:v>2700</c:v>
                </c:pt>
                <c:pt idx="100">
                  <c:v>2750</c:v>
                </c:pt>
                <c:pt idx="101">
                  <c:v>2750</c:v>
                </c:pt>
                <c:pt idx="102">
                  <c:v>2800</c:v>
                </c:pt>
                <c:pt idx="103">
                  <c:v>2800</c:v>
                </c:pt>
                <c:pt idx="104">
                  <c:v>2850</c:v>
                </c:pt>
                <c:pt idx="105">
                  <c:v>2850</c:v>
                </c:pt>
                <c:pt idx="106">
                  <c:v>2900</c:v>
                </c:pt>
                <c:pt idx="107">
                  <c:v>2900</c:v>
                </c:pt>
                <c:pt idx="108">
                  <c:v>2950</c:v>
                </c:pt>
                <c:pt idx="109">
                  <c:v>2950</c:v>
                </c:pt>
                <c:pt idx="110">
                  <c:v>3000</c:v>
                </c:pt>
                <c:pt idx="111">
                  <c:v>3000</c:v>
                </c:pt>
                <c:pt idx="112">
                  <c:v>3050</c:v>
                </c:pt>
                <c:pt idx="113">
                  <c:v>3050</c:v>
                </c:pt>
                <c:pt idx="114">
                  <c:v>3100</c:v>
                </c:pt>
                <c:pt idx="115">
                  <c:v>3100</c:v>
                </c:pt>
                <c:pt idx="116">
                  <c:v>3150</c:v>
                </c:pt>
                <c:pt idx="117">
                  <c:v>3150</c:v>
                </c:pt>
                <c:pt idx="118">
                  <c:v>3200</c:v>
                </c:pt>
                <c:pt idx="119">
                  <c:v>3200</c:v>
                </c:pt>
                <c:pt idx="120">
                  <c:v>3250</c:v>
                </c:pt>
                <c:pt idx="121">
                  <c:v>3250</c:v>
                </c:pt>
                <c:pt idx="122">
                  <c:v>3300</c:v>
                </c:pt>
                <c:pt idx="123">
                  <c:v>3300</c:v>
                </c:pt>
                <c:pt idx="124">
                  <c:v>3350</c:v>
                </c:pt>
                <c:pt idx="125">
                  <c:v>3350</c:v>
                </c:pt>
                <c:pt idx="126">
                  <c:v>3400</c:v>
                </c:pt>
                <c:pt idx="127">
                  <c:v>3400</c:v>
                </c:pt>
              </c:numCache>
            </c:numRef>
          </c:xVal>
          <c:yVal>
            <c:numRef>
              <c:f>'Atmosphere 150 yrs'!$AL$2:$AL$129</c:f>
              <c:numCache>
                <c:formatCode>General</c:formatCode>
                <c:ptCount val="128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9</c:v>
                </c:pt>
                <c:pt idx="6">
                  <c:v>9</c:v>
                </c:pt>
                <c:pt idx="7">
                  <c:v>59</c:v>
                </c:pt>
                <c:pt idx="8">
                  <c:v>59</c:v>
                </c:pt>
                <c:pt idx="9">
                  <c:v>235</c:v>
                </c:pt>
                <c:pt idx="10">
                  <c:v>235</c:v>
                </c:pt>
                <c:pt idx="11">
                  <c:v>575</c:v>
                </c:pt>
                <c:pt idx="12">
                  <c:v>575</c:v>
                </c:pt>
                <c:pt idx="13">
                  <c:v>1095</c:v>
                </c:pt>
                <c:pt idx="14">
                  <c:v>1095</c:v>
                </c:pt>
                <c:pt idx="15">
                  <c:v>1536</c:v>
                </c:pt>
                <c:pt idx="16">
                  <c:v>1536</c:v>
                </c:pt>
                <c:pt idx="17">
                  <c:v>1609</c:v>
                </c:pt>
                <c:pt idx="18">
                  <c:v>1609</c:v>
                </c:pt>
                <c:pt idx="19">
                  <c:v>1665</c:v>
                </c:pt>
                <c:pt idx="20">
                  <c:v>1665</c:v>
                </c:pt>
                <c:pt idx="21">
                  <c:v>1231</c:v>
                </c:pt>
                <c:pt idx="22">
                  <c:v>1231</c:v>
                </c:pt>
                <c:pt idx="23">
                  <c:v>851</c:v>
                </c:pt>
                <c:pt idx="24">
                  <c:v>851</c:v>
                </c:pt>
                <c:pt idx="25">
                  <c:v>563</c:v>
                </c:pt>
                <c:pt idx="26">
                  <c:v>563</c:v>
                </c:pt>
                <c:pt idx="27">
                  <c:v>274</c:v>
                </c:pt>
                <c:pt idx="28">
                  <c:v>274</c:v>
                </c:pt>
                <c:pt idx="29">
                  <c:v>157</c:v>
                </c:pt>
                <c:pt idx="30">
                  <c:v>157</c:v>
                </c:pt>
                <c:pt idx="31">
                  <c:v>76</c:v>
                </c:pt>
                <c:pt idx="32">
                  <c:v>76</c:v>
                </c:pt>
                <c:pt idx="33">
                  <c:v>38</c:v>
                </c:pt>
                <c:pt idx="34">
                  <c:v>38</c:v>
                </c:pt>
                <c:pt idx="35">
                  <c:v>16</c:v>
                </c:pt>
                <c:pt idx="36">
                  <c:v>16</c:v>
                </c:pt>
                <c:pt idx="37">
                  <c:v>6</c:v>
                </c:pt>
                <c:pt idx="38">
                  <c:v>6</c:v>
                </c:pt>
                <c:pt idx="39">
                  <c:v>3</c:v>
                </c:pt>
                <c:pt idx="40">
                  <c:v>3</c:v>
                </c:pt>
                <c:pt idx="4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D1-4470-94AC-2FE0A190CAF5}"/>
            </c:ext>
          </c:extLst>
        </c:ser>
        <c:ser>
          <c:idx val="1"/>
          <c:order val="1"/>
          <c:tx>
            <c:strRef>
              <c:f>'Atmosphere 150 yrs'!$AM$1</c:f>
              <c:strCache>
                <c:ptCount val="1"/>
                <c:pt idx="0">
                  <c:v>MCMC Madness'!$EU$44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'Atmosphere 150 yrs'!$AK$2:$AK$129</c:f>
              <c:numCache>
                <c:formatCode>General</c:formatCode>
                <c:ptCount val="128"/>
                <c:pt idx="0">
                  <c:v>250</c:v>
                </c:pt>
                <c:pt idx="1">
                  <c:v>250</c:v>
                </c:pt>
                <c:pt idx="2">
                  <c:v>300</c:v>
                </c:pt>
                <c:pt idx="3">
                  <c:v>300</c:v>
                </c:pt>
                <c:pt idx="4">
                  <c:v>350</c:v>
                </c:pt>
                <c:pt idx="5">
                  <c:v>350</c:v>
                </c:pt>
                <c:pt idx="6">
                  <c:v>400</c:v>
                </c:pt>
                <c:pt idx="7">
                  <c:v>400</c:v>
                </c:pt>
                <c:pt idx="8">
                  <c:v>450</c:v>
                </c:pt>
                <c:pt idx="9">
                  <c:v>450</c:v>
                </c:pt>
                <c:pt idx="10">
                  <c:v>500</c:v>
                </c:pt>
                <c:pt idx="11">
                  <c:v>500</c:v>
                </c:pt>
                <c:pt idx="12">
                  <c:v>550</c:v>
                </c:pt>
                <c:pt idx="13">
                  <c:v>550</c:v>
                </c:pt>
                <c:pt idx="14">
                  <c:v>600</c:v>
                </c:pt>
                <c:pt idx="15">
                  <c:v>600</c:v>
                </c:pt>
                <c:pt idx="16">
                  <c:v>650</c:v>
                </c:pt>
                <c:pt idx="17">
                  <c:v>650</c:v>
                </c:pt>
                <c:pt idx="18">
                  <c:v>700</c:v>
                </c:pt>
                <c:pt idx="19">
                  <c:v>700</c:v>
                </c:pt>
                <c:pt idx="20">
                  <c:v>750</c:v>
                </c:pt>
                <c:pt idx="21">
                  <c:v>750</c:v>
                </c:pt>
                <c:pt idx="22">
                  <c:v>800</c:v>
                </c:pt>
                <c:pt idx="23">
                  <c:v>800</c:v>
                </c:pt>
                <c:pt idx="24">
                  <c:v>850</c:v>
                </c:pt>
                <c:pt idx="25">
                  <c:v>850</c:v>
                </c:pt>
                <c:pt idx="26">
                  <c:v>900</c:v>
                </c:pt>
                <c:pt idx="27">
                  <c:v>900</c:v>
                </c:pt>
                <c:pt idx="28">
                  <c:v>950</c:v>
                </c:pt>
                <c:pt idx="29">
                  <c:v>950</c:v>
                </c:pt>
                <c:pt idx="30">
                  <c:v>1000</c:v>
                </c:pt>
                <c:pt idx="31">
                  <c:v>1000</c:v>
                </c:pt>
                <c:pt idx="32">
                  <c:v>1050</c:v>
                </c:pt>
                <c:pt idx="33">
                  <c:v>1050</c:v>
                </c:pt>
                <c:pt idx="34">
                  <c:v>1100</c:v>
                </c:pt>
                <c:pt idx="35">
                  <c:v>1100</c:v>
                </c:pt>
                <c:pt idx="36">
                  <c:v>1150</c:v>
                </c:pt>
                <c:pt idx="37">
                  <c:v>1150</c:v>
                </c:pt>
                <c:pt idx="38">
                  <c:v>1200</c:v>
                </c:pt>
                <c:pt idx="39">
                  <c:v>1200</c:v>
                </c:pt>
                <c:pt idx="40">
                  <c:v>1250</c:v>
                </c:pt>
                <c:pt idx="41">
                  <c:v>1250</c:v>
                </c:pt>
                <c:pt idx="42">
                  <c:v>1300</c:v>
                </c:pt>
                <c:pt idx="43">
                  <c:v>1300</c:v>
                </c:pt>
                <c:pt idx="44">
                  <c:v>1350</c:v>
                </c:pt>
                <c:pt idx="45">
                  <c:v>1350</c:v>
                </c:pt>
                <c:pt idx="46">
                  <c:v>1400</c:v>
                </c:pt>
                <c:pt idx="47">
                  <c:v>1400</c:v>
                </c:pt>
                <c:pt idx="48">
                  <c:v>1450</c:v>
                </c:pt>
                <c:pt idx="49">
                  <c:v>1450</c:v>
                </c:pt>
                <c:pt idx="50">
                  <c:v>1500</c:v>
                </c:pt>
                <c:pt idx="51">
                  <c:v>1500</c:v>
                </c:pt>
                <c:pt idx="52">
                  <c:v>1550</c:v>
                </c:pt>
                <c:pt idx="53">
                  <c:v>1550</c:v>
                </c:pt>
                <c:pt idx="54">
                  <c:v>1600</c:v>
                </c:pt>
                <c:pt idx="55">
                  <c:v>1600</c:v>
                </c:pt>
                <c:pt idx="56">
                  <c:v>1650</c:v>
                </c:pt>
                <c:pt idx="57">
                  <c:v>1650</c:v>
                </c:pt>
                <c:pt idx="58">
                  <c:v>1700</c:v>
                </c:pt>
                <c:pt idx="59">
                  <c:v>1700</c:v>
                </c:pt>
                <c:pt idx="60">
                  <c:v>1750</c:v>
                </c:pt>
                <c:pt idx="61">
                  <c:v>1750</c:v>
                </c:pt>
                <c:pt idx="62">
                  <c:v>1800</c:v>
                </c:pt>
                <c:pt idx="63">
                  <c:v>1800</c:v>
                </c:pt>
                <c:pt idx="64">
                  <c:v>1850</c:v>
                </c:pt>
                <c:pt idx="65">
                  <c:v>1850</c:v>
                </c:pt>
                <c:pt idx="66">
                  <c:v>1900</c:v>
                </c:pt>
                <c:pt idx="67">
                  <c:v>1900</c:v>
                </c:pt>
                <c:pt idx="68">
                  <c:v>1950</c:v>
                </c:pt>
                <c:pt idx="69">
                  <c:v>1950</c:v>
                </c:pt>
                <c:pt idx="70">
                  <c:v>2000</c:v>
                </c:pt>
                <c:pt idx="71">
                  <c:v>2000</c:v>
                </c:pt>
                <c:pt idx="72">
                  <c:v>2050</c:v>
                </c:pt>
                <c:pt idx="73">
                  <c:v>2050</c:v>
                </c:pt>
                <c:pt idx="74">
                  <c:v>2100</c:v>
                </c:pt>
                <c:pt idx="75">
                  <c:v>2100</c:v>
                </c:pt>
                <c:pt idx="76">
                  <c:v>2150</c:v>
                </c:pt>
                <c:pt idx="77">
                  <c:v>2150</c:v>
                </c:pt>
                <c:pt idx="78">
                  <c:v>2200</c:v>
                </c:pt>
                <c:pt idx="79">
                  <c:v>2200</c:v>
                </c:pt>
                <c:pt idx="80">
                  <c:v>2250</c:v>
                </c:pt>
                <c:pt idx="81">
                  <c:v>2250</c:v>
                </c:pt>
                <c:pt idx="82">
                  <c:v>2300</c:v>
                </c:pt>
                <c:pt idx="83">
                  <c:v>2300</c:v>
                </c:pt>
                <c:pt idx="84">
                  <c:v>2350</c:v>
                </c:pt>
                <c:pt idx="85">
                  <c:v>2350</c:v>
                </c:pt>
                <c:pt idx="86">
                  <c:v>2400</c:v>
                </c:pt>
                <c:pt idx="87">
                  <c:v>2400</c:v>
                </c:pt>
                <c:pt idx="88">
                  <c:v>2450</c:v>
                </c:pt>
                <c:pt idx="89">
                  <c:v>2450</c:v>
                </c:pt>
                <c:pt idx="90">
                  <c:v>2500</c:v>
                </c:pt>
                <c:pt idx="91">
                  <c:v>2500</c:v>
                </c:pt>
                <c:pt idx="92">
                  <c:v>2550</c:v>
                </c:pt>
                <c:pt idx="93">
                  <c:v>2550</c:v>
                </c:pt>
                <c:pt idx="94">
                  <c:v>2600</c:v>
                </c:pt>
                <c:pt idx="95">
                  <c:v>2600</c:v>
                </c:pt>
                <c:pt idx="96">
                  <c:v>2650</c:v>
                </c:pt>
                <c:pt idx="97">
                  <c:v>2650</c:v>
                </c:pt>
                <c:pt idx="98">
                  <c:v>2700</c:v>
                </c:pt>
                <c:pt idx="99">
                  <c:v>2700</c:v>
                </c:pt>
                <c:pt idx="100">
                  <c:v>2750</c:v>
                </c:pt>
                <c:pt idx="101">
                  <c:v>2750</c:v>
                </c:pt>
                <c:pt idx="102">
                  <c:v>2800</c:v>
                </c:pt>
                <c:pt idx="103">
                  <c:v>2800</c:v>
                </c:pt>
                <c:pt idx="104">
                  <c:v>2850</c:v>
                </c:pt>
                <c:pt idx="105">
                  <c:v>2850</c:v>
                </c:pt>
                <c:pt idx="106">
                  <c:v>2900</c:v>
                </c:pt>
                <c:pt idx="107">
                  <c:v>2900</c:v>
                </c:pt>
                <c:pt idx="108">
                  <c:v>2950</c:v>
                </c:pt>
                <c:pt idx="109">
                  <c:v>2950</c:v>
                </c:pt>
                <c:pt idx="110">
                  <c:v>3000</c:v>
                </c:pt>
                <c:pt idx="111">
                  <c:v>3000</c:v>
                </c:pt>
                <c:pt idx="112">
                  <c:v>3050</c:v>
                </c:pt>
                <c:pt idx="113">
                  <c:v>3050</c:v>
                </c:pt>
                <c:pt idx="114">
                  <c:v>3100</c:v>
                </c:pt>
                <c:pt idx="115">
                  <c:v>3100</c:v>
                </c:pt>
                <c:pt idx="116">
                  <c:v>3150</c:v>
                </c:pt>
                <c:pt idx="117">
                  <c:v>3150</c:v>
                </c:pt>
                <c:pt idx="118">
                  <c:v>3200</c:v>
                </c:pt>
                <c:pt idx="119">
                  <c:v>3200</c:v>
                </c:pt>
                <c:pt idx="120">
                  <c:v>3250</c:v>
                </c:pt>
                <c:pt idx="121">
                  <c:v>3250</c:v>
                </c:pt>
                <c:pt idx="122">
                  <c:v>3300</c:v>
                </c:pt>
                <c:pt idx="123">
                  <c:v>3300</c:v>
                </c:pt>
                <c:pt idx="124">
                  <c:v>3350</c:v>
                </c:pt>
                <c:pt idx="125">
                  <c:v>3350</c:v>
                </c:pt>
                <c:pt idx="126">
                  <c:v>3400</c:v>
                </c:pt>
                <c:pt idx="127">
                  <c:v>3400</c:v>
                </c:pt>
              </c:numCache>
            </c:numRef>
          </c:xVal>
          <c:yVal>
            <c:numRef>
              <c:f>'Atmosphere 150 yrs'!$AM$2:$AM$129</c:f>
              <c:numCache>
                <c:formatCode>General</c:formatCode>
                <c:ptCount val="1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1</c:v>
                </c:pt>
                <c:pt idx="34">
                  <c:v>1</c:v>
                </c:pt>
                <c:pt idx="35">
                  <c:v>4</c:v>
                </c:pt>
                <c:pt idx="36">
                  <c:v>4</c:v>
                </c:pt>
                <c:pt idx="37">
                  <c:v>5</c:v>
                </c:pt>
                <c:pt idx="38">
                  <c:v>5</c:v>
                </c:pt>
                <c:pt idx="39">
                  <c:v>14</c:v>
                </c:pt>
                <c:pt idx="40">
                  <c:v>14</c:v>
                </c:pt>
                <c:pt idx="41">
                  <c:v>41</c:v>
                </c:pt>
                <c:pt idx="42">
                  <c:v>41</c:v>
                </c:pt>
                <c:pt idx="43">
                  <c:v>50</c:v>
                </c:pt>
                <c:pt idx="44">
                  <c:v>50</c:v>
                </c:pt>
                <c:pt idx="45">
                  <c:v>114</c:v>
                </c:pt>
                <c:pt idx="46">
                  <c:v>114</c:v>
                </c:pt>
                <c:pt idx="47">
                  <c:v>195</c:v>
                </c:pt>
                <c:pt idx="48">
                  <c:v>195</c:v>
                </c:pt>
                <c:pt idx="49">
                  <c:v>293</c:v>
                </c:pt>
                <c:pt idx="50">
                  <c:v>293</c:v>
                </c:pt>
                <c:pt idx="51">
                  <c:v>377</c:v>
                </c:pt>
                <c:pt idx="52">
                  <c:v>377</c:v>
                </c:pt>
                <c:pt idx="53">
                  <c:v>464</c:v>
                </c:pt>
                <c:pt idx="54">
                  <c:v>464</c:v>
                </c:pt>
                <c:pt idx="55">
                  <c:v>550</c:v>
                </c:pt>
                <c:pt idx="56">
                  <c:v>550</c:v>
                </c:pt>
                <c:pt idx="57">
                  <c:v>603</c:v>
                </c:pt>
                <c:pt idx="58">
                  <c:v>603</c:v>
                </c:pt>
                <c:pt idx="59">
                  <c:v>685</c:v>
                </c:pt>
                <c:pt idx="60">
                  <c:v>685</c:v>
                </c:pt>
                <c:pt idx="61">
                  <c:v>770</c:v>
                </c:pt>
                <c:pt idx="62">
                  <c:v>770</c:v>
                </c:pt>
                <c:pt idx="63">
                  <c:v>791</c:v>
                </c:pt>
                <c:pt idx="64">
                  <c:v>791</c:v>
                </c:pt>
                <c:pt idx="65">
                  <c:v>731</c:v>
                </c:pt>
                <c:pt idx="66">
                  <c:v>731</c:v>
                </c:pt>
                <c:pt idx="67">
                  <c:v>693</c:v>
                </c:pt>
                <c:pt idx="68">
                  <c:v>693</c:v>
                </c:pt>
                <c:pt idx="69">
                  <c:v>654</c:v>
                </c:pt>
                <c:pt idx="70">
                  <c:v>654</c:v>
                </c:pt>
                <c:pt idx="71">
                  <c:v>572</c:v>
                </c:pt>
                <c:pt idx="72">
                  <c:v>572</c:v>
                </c:pt>
                <c:pt idx="73">
                  <c:v>490</c:v>
                </c:pt>
                <c:pt idx="74">
                  <c:v>490</c:v>
                </c:pt>
                <c:pt idx="75">
                  <c:v>424</c:v>
                </c:pt>
                <c:pt idx="76">
                  <c:v>424</c:v>
                </c:pt>
                <c:pt idx="77">
                  <c:v>322</c:v>
                </c:pt>
                <c:pt idx="78">
                  <c:v>322</c:v>
                </c:pt>
                <c:pt idx="79">
                  <c:v>267</c:v>
                </c:pt>
                <c:pt idx="80">
                  <c:v>267</c:v>
                </c:pt>
                <c:pt idx="81">
                  <c:v>185</c:v>
                </c:pt>
                <c:pt idx="82">
                  <c:v>185</c:v>
                </c:pt>
                <c:pt idx="83">
                  <c:v>177</c:v>
                </c:pt>
                <c:pt idx="84">
                  <c:v>177</c:v>
                </c:pt>
                <c:pt idx="85">
                  <c:v>144</c:v>
                </c:pt>
                <c:pt idx="86">
                  <c:v>144</c:v>
                </c:pt>
                <c:pt idx="87">
                  <c:v>108</c:v>
                </c:pt>
                <c:pt idx="88">
                  <c:v>108</c:v>
                </c:pt>
                <c:pt idx="89">
                  <c:v>74</c:v>
                </c:pt>
                <c:pt idx="90">
                  <c:v>74</c:v>
                </c:pt>
                <c:pt idx="91">
                  <c:v>48</c:v>
                </c:pt>
                <c:pt idx="92">
                  <c:v>48</c:v>
                </c:pt>
                <c:pt idx="93">
                  <c:v>48</c:v>
                </c:pt>
                <c:pt idx="94">
                  <c:v>48</c:v>
                </c:pt>
                <c:pt idx="95">
                  <c:v>26</c:v>
                </c:pt>
                <c:pt idx="96">
                  <c:v>26</c:v>
                </c:pt>
                <c:pt idx="97">
                  <c:v>19</c:v>
                </c:pt>
                <c:pt idx="98">
                  <c:v>19</c:v>
                </c:pt>
                <c:pt idx="99">
                  <c:v>21</c:v>
                </c:pt>
                <c:pt idx="100">
                  <c:v>21</c:v>
                </c:pt>
                <c:pt idx="101">
                  <c:v>11</c:v>
                </c:pt>
                <c:pt idx="102">
                  <c:v>11</c:v>
                </c:pt>
                <c:pt idx="103">
                  <c:v>8</c:v>
                </c:pt>
                <c:pt idx="104">
                  <c:v>8</c:v>
                </c:pt>
                <c:pt idx="105">
                  <c:v>5</c:v>
                </c:pt>
                <c:pt idx="106">
                  <c:v>5</c:v>
                </c:pt>
                <c:pt idx="107">
                  <c:v>4</c:v>
                </c:pt>
                <c:pt idx="108">
                  <c:v>4</c:v>
                </c:pt>
                <c:pt idx="109">
                  <c:v>3</c:v>
                </c:pt>
                <c:pt idx="110">
                  <c:v>3</c:v>
                </c:pt>
                <c:pt idx="111">
                  <c:v>1</c:v>
                </c:pt>
                <c:pt idx="112">
                  <c:v>1</c:v>
                </c:pt>
                <c:pt idx="113">
                  <c:v>2</c:v>
                </c:pt>
                <c:pt idx="114">
                  <c:v>2</c:v>
                </c:pt>
                <c:pt idx="115">
                  <c:v>3</c:v>
                </c:pt>
                <c:pt idx="116">
                  <c:v>3</c:v>
                </c:pt>
                <c:pt idx="117">
                  <c:v>1</c:v>
                </c:pt>
                <c:pt idx="118">
                  <c:v>1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1</c:v>
                </c:pt>
                <c:pt idx="123">
                  <c:v>0</c:v>
                </c:pt>
                <c:pt idx="124">
                  <c:v>0</c:v>
                </c:pt>
                <c:pt idx="125">
                  <c:v>1</c:v>
                </c:pt>
                <c:pt idx="126">
                  <c:v>1</c:v>
                </c:pt>
                <c:pt idx="12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FD1-4470-94AC-2FE0A190CA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6071584"/>
        <c:axId val="706072144"/>
      </c:scatterChart>
      <c:valAx>
        <c:axId val="706071584"/>
        <c:scaling>
          <c:orientation val="minMax"/>
          <c:max val="3400"/>
          <c:min val="250"/>
        </c:scaling>
        <c:delete val="0"/>
        <c:axPos val="b"/>
        <c:numFmt formatCode="General" sourceLinked="1"/>
        <c:majorTickMark val="out"/>
        <c:minorTickMark val="none"/>
        <c:tickLblPos val="nextTo"/>
        <c:crossAx val="706072144"/>
        <c:crosses val="autoZero"/>
        <c:crossBetween val="midCat"/>
      </c:valAx>
      <c:valAx>
        <c:axId val="7060721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one"/>
        <c:spPr>
          <a:ln w="25400">
            <a:noFill/>
          </a:ln>
        </c:spPr>
        <c:crossAx val="7060715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'Marine Biota 150 yrs'!$AL$1</c:f>
              <c:strCache>
                <c:ptCount val="1"/>
                <c:pt idx="0">
                  <c:v>$EU$22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'Marine Biota 150 yrs'!$AK$2:$AK$145</c:f>
              <c:numCache>
                <c:formatCode>General</c:formatCode>
                <c:ptCount val="144"/>
                <c:pt idx="0">
                  <c:v>200</c:v>
                </c:pt>
                <c:pt idx="1">
                  <c:v>200</c:v>
                </c:pt>
                <c:pt idx="2">
                  <c:v>225</c:v>
                </c:pt>
                <c:pt idx="3">
                  <c:v>225</c:v>
                </c:pt>
                <c:pt idx="4">
                  <c:v>250</c:v>
                </c:pt>
                <c:pt idx="5">
                  <c:v>250</c:v>
                </c:pt>
                <c:pt idx="6">
                  <c:v>275</c:v>
                </c:pt>
                <c:pt idx="7">
                  <c:v>275</c:v>
                </c:pt>
                <c:pt idx="8">
                  <c:v>300</c:v>
                </c:pt>
                <c:pt idx="9">
                  <c:v>300</c:v>
                </c:pt>
                <c:pt idx="10">
                  <c:v>325</c:v>
                </c:pt>
                <c:pt idx="11">
                  <c:v>325</c:v>
                </c:pt>
                <c:pt idx="12">
                  <c:v>350</c:v>
                </c:pt>
                <c:pt idx="13">
                  <c:v>350</c:v>
                </c:pt>
                <c:pt idx="14">
                  <c:v>375</c:v>
                </c:pt>
                <c:pt idx="15">
                  <c:v>375</c:v>
                </c:pt>
                <c:pt idx="16">
                  <c:v>400</c:v>
                </c:pt>
                <c:pt idx="17">
                  <c:v>400</c:v>
                </c:pt>
                <c:pt idx="18">
                  <c:v>425</c:v>
                </c:pt>
                <c:pt idx="19">
                  <c:v>425</c:v>
                </c:pt>
                <c:pt idx="20">
                  <c:v>450</c:v>
                </c:pt>
                <c:pt idx="21">
                  <c:v>450</c:v>
                </c:pt>
                <c:pt idx="22">
                  <c:v>475</c:v>
                </c:pt>
                <c:pt idx="23">
                  <c:v>475</c:v>
                </c:pt>
                <c:pt idx="24">
                  <c:v>500</c:v>
                </c:pt>
                <c:pt idx="25">
                  <c:v>500</c:v>
                </c:pt>
                <c:pt idx="26">
                  <c:v>525</c:v>
                </c:pt>
                <c:pt idx="27">
                  <c:v>525</c:v>
                </c:pt>
                <c:pt idx="28">
                  <c:v>550</c:v>
                </c:pt>
                <c:pt idx="29">
                  <c:v>550</c:v>
                </c:pt>
                <c:pt idx="30">
                  <c:v>575</c:v>
                </c:pt>
                <c:pt idx="31">
                  <c:v>575</c:v>
                </c:pt>
                <c:pt idx="32">
                  <c:v>600</c:v>
                </c:pt>
                <c:pt idx="33">
                  <c:v>600</c:v>
                </c:pt>
                <c:pt idx="34">
                  <c:v>625</c:v>
                </c:pt>
                <c:pt idx="35">
                  <c:v>625</c:v>
                </c:pt>
                <c:pt idx="36">
                  <c:v>650</c:v>
                </c:pt>
                <c:pt idx="37">
                  <c:v>650</c:v>
                </c:pt>
                <c:pt idx="38">
                  <c:v>675</c:v>
                </c:pt>
                <c:pt idx="39">
                  <c:v>675</c:v>
                </c:pt>
                <c:pt idx="40">
                  <c:v>700</c:v>
                </c:pt>
                <c:pt idx="41">
                  <c:v>700</c:v>
                </c:pt>
                <c:pt idx="42">
                  <c:v>725</c:v>
                </c:pt>
                <c:pt idx="43">
                  <c:v>725</c:v>
                </c:pt>
                <c:pt idx="44">
                  <c:v>750</c:v>
                </c:pt>
                <c:pt idx="45">
                  <c:v>750</c:v>
                </c:pt>
                <c:pt idx="46">
                  <c:v>775</c:v>
                </c:pt>
                <c:pt idx="47">
                  <c:v>775</c:v>
                </c:pt>
                <c:pt idx="48">
                  <c:v>800</c:v>
                </c:pt>
                <c:pt idx="49">
                  <c:v>800</c:v>
                </c:pt>
                <c:pt idx="50">
                  <c:v>825</c:v>
                </c:pt>
                <c:pt idx="51">
                  <c:v>825</c:v>
                </c:pt>
                <c:pt idx="52">
                  <c:v>850</c:v>
                </c:pt>
                <c:pt idx="53">
                  <c:v>850</c:v>
                </c:pt>
                <c:pt idx="54">
                  <c:v>875</c:v>
                </c:pt>
                <c:pt idx="55">
                  <c:v>875</c:v>
                </c:pt>
                <c:pt idx="56">
                  <c:v>900</c:v>
                </c:pt>
                <c:pt idx="57">
                  <c:v>900</c:v>
                </c:pt>
                <c:pt idx="58">
                  <c:v>925</c:v>
                </c:pt>
                <c:pt idx="59">
                  <c:v>925</c:v>
                </c:pt>
                <c:pt idx="60">
                  <c:v>950</c:v>
                </c:pt>
                <c:pt idx="61">
                  <c:v>950</c:v>
                </c:pt>
                <c:pt idx="62">
                  <c:v>975</c:v>
                </c:pt>
                <c:pt idx="63">
                  <c:v>975</c:v>
                </c:pt>
                <c:pt idx="64">
                  <c:v>1000</c:v>
                </c:pt>
                <c:pt idx="65">
                  <c:v>1000</c:v>
                </c:pt>
                <c:pt idx="66">
                  <c:v>1025</c:v>
                </c:pt>
                <c:pt idx="67">
                  <c:v>1025</c:v>
                </c:pt>
                <c:pt idx="68">
                  <c:v>1050</c:v>
                </c:pt>
                <c:pt idx="69">
                  <c:v>1050</c:v>
                </c:pt>
                <c:pt idx="70">
                  <c:v>1075</c:v>
                </c:pt>
                <c:pt idx="71">
                  <c:v>1075</c:v>
                </c:pt>
                <c:pt idx="72">
                  <c:v>1100</c:v>
                </c:pt>
                <c:pt idx="73">
                  <c:v>1100</c:v>
                </c:pt>
                <c:pt idx="74">
                  <c:v>1125</c:v>
                </c:pt>
                <c:pt idx="75">
                  <c:v>1125</c:v>
                </c:pt>
                <c:pt idx="76">
                  <c:v>1150</c:v>
                </c:pt>
                <c:pt idx="77">
                  <c:v>1150</c:v>
                </c:pt>
                <c:pt idx="78">
                  <c:v>1175</c:v>
                </c:pt>
                <c:pt idx="79">
                  <c:v>1175</c:v>
                </c:pt>
                <c:pt idx="80">
                  <c:v>1200</c:v>
                </c:pt>
                <c:pt idx="81">
                  <c:v>1200</c:v>
                </c:pt>
                <c:pt idx="82">
                  <c:v>1225</c:v>
                </c:pt>
                <c:pt idx="83">
                  <c:v>1225</c:v>
                </c:pt>
                <c:pt idx="84">
                  <c:v>1250</c:v>
                </c:pt>
                <c:pt idx="85">
                  <c:v>1250</c:v>
                </c:pt>
                <c:pt idx="86">
                  <c:v>1275</c:v>
                </c:pt>
                <c:pt idx="87">
                  <c:v>1275</c:v>
                </c:pt>
                <c:pt idx="88">
                  <c:v>1300</c:v>
                </c:pt>
                <c:pt idx="89">
                  <c:v>1300</c:v>
                </c:pt>
                <c:pt idx="90">
                  <c:v>1325</c:v>
                </c:pt>
                <c:pt idx="91">
                  <c:v>1325</c:v>
                </c:pt>
                <c:pt idx="92">
                  <c:v>1350</c:v>
                </c:pt>
                <c:pt idx="93">
                  <c:v>1350</c:v>
                </c:pt>
                <c:pt idx="94">
                  <c:v>1375</c:v>
                </c:pt>
                <c:pt idx="95">
                  <c:v>1375</c:v>
                </c:pt>
                <c:pt idx="96">
                  <c:v>1400</c:v>
                </c:pt>
                <c:pt idx="97">
                  <c:v>1400</c:v>
                </c:pt>
                <c:pt idx="98">
                  <c:v>1425</c:v>
                </c:pt>
                <c:pt idx="99">
                  <c:v>1425</c:v>
                </c:pt>
                <c:pt idx="100">
                  <c:v>1450</c:v>
                </c:pt>
                <c:pt idx="101">
                  <c:v>1450</c:v>
                </c:pt>
                <c:pt idx="102">
                  <c:v>1475</c:v>
                </c:pt>
                <c:pt idx="103">
                  <c:v>1475</c:v>
                </c:pt>
                <c:pt idx="104">
                  <c:v>1500</c:v>
                </c:pt>
                <c:pt idx="105">
                  <c:v>1500</c:v>
                </c:pt>
                <c:pt idx="106">
                  <c:v>1525</c:v>
                </c:pt>
                <c:pt idx="107">
                  <c:v>1525</c:v>
                </c:pt>
                <c:pt idx="108">
                  <c:v>1550</c:v>
                </c:pt>
                <c:pt idx="109">
                  <c:v>1550</c:v>
                </c:pt>
                <c:pt idx="110">
                  <c:v>1575</c:v>
                </c:pt>
                <c:pt idx="111">
                  <c:v>1575</c:v>
                </c:pt>
                <c:pt idx="112">
                  <c:v>1600</c:v>
                </c:pt>
                <c:pt idx="113">
                  <c:v>1600</c:v>
                </c:pt>
                <c:pt idx="114">
                  <c:v>1625</c:v>
                </c:pt>
                <c:pt idx="115">
                  <c:v>1625</c:v>
                </c:pt>
                <c:pt idx="116">
                  <c:v>1650</c:v>
                </c:pt>
                <c:pt idx="117">
                  <c:v>1650</c:v>
                </c:pt>
                <c:pt idx="118">
                  <c:v>1675</c:v>
                </c:pt>
                <c:pt idx="119">
                  <c:v>1675</c:v>
                </c:pt>
                <c:pt idx="120">
                  <c:v>1700</c:v>
                </c:pt>
                <c:pt idx="121">
                  <c:v>1700</c:v>
                </c:pt>
                <c:pt idx="122">
                  <c:v>1725</c:v>
                </c:pt>
                <c:pt idx="123">
                  <c:v>1725</c:v>
                </c:pt>
                <c:pt idx="124">
                  <c:v>1750</c:v>
                </c:pt>
                <c:pt idx="125">
                  <c:v>1750</c:v>
                </c:pt>
                <c:pt idx="126">
                  <c:v>1775</c:v>
                </c:pt>
                <c:pt idx="127">
                  <c:v>1775</c:v>
                </c:pt>
                <c:pt idx="128">
                  <c:v>1800</c:v>
                </c:pt>
                <c:pt idx="129">
                  <c:v>1800</c:v>
                </c:pt>
                <c:pt idx="130">
                  <c:v>1825</c:v>
                </c:pt>
                <c:pt idx="131">
                  <c:v>1825</c:v>
                </c:pt>
                <c:pt idx="132">
                  <c:v>1850</c:v>
                </c:pt>
                <c:pt idx="133">
                  <c:v>1850</c:v>
                </c:pt>
                <c:pt idx="134">
                  <c:v>1875</c:v>
                </c:pt>
                <c:pt idx="135">
                  <c:v>1875</c:v>
                </c:pt>
                <c:pt idx="136">
                  <c:v>1900</c:v>
                </c:pt>
                <c:pt idx="137">
                  <c:v>1900</c:v>
                </c:pt>
                <c:pt idx="138">
                  <c:v>1925</c:v>
                </c:pt>
                <c:pt idx="139">
                  <c:v>1925</c:v>
                </c:pt>
                <c:pt idx="140">
                  <c:v>1950</c:v>
                </c:pt>
                <c:pt idx="141">
                  <c:v>1950</c:v>
                </c:pt>
                <c:pt idx="142">
                  <c:v>1975</c:v>
                </c:pt>
                <c:pt idx="143">
                  <c:v>1975</c:v>
                </c:pt>
              </c:numCache>
            </c:numRef>
          </c:xVal>
          <c:yVal>
            <c:numRef>
              <c:f>'Marine Biota 150 yrs'!$AL$2:$AL$145</c:f>
              <c:numCache>
                <c:formatCode>General</c:formatCode>
                <c:ptCount val="1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3</c:v>
                </c:pt>
                <c:pt idx="34">
                  <c:v>3</c:v>
                </c:pt>
                <c:pt idx="35">
                  <c:v>3</c:v>
                </c:pt>
                <c:pt idx="36">
                  <c:v>3</c:v>
                </c:pt>
                <c:pt idx="37">
                  <c:v>5</c:v>
                </c:pt>
                <c:pt idx="38">
                  <c:v>5</c:v>
                </c:pt>
                <c:pt idx="39">
                  <c:v>12</c:v>
                </c:pt>
                <c:pt idx="40">
                  <c:v>12</c:v>
                </c:pt>
                <c:pt idx="41">
                  <c:v>15</c:v>
                </c:pt>
                <c:pt idx="42">
                  <c:v>15</c:v>
                </c:pt>
                <c:pt idx="43">
                  <c:v>30</c:v>
                </c:pt>
                <c:pt idx="44">
                  <c:v>30</c:v>
                </c:pt>
                <c:pt idx="45">
                  <c:v>45</c:v>
                </c:pt>
                <c:pt idx="46">
                  <c:v>45</c:v>
                </c:pt>
                <c:pt idx="47">
                  <c:v>53</c:v>
                </c:pt>
                <c:pt idx="48">
                  <c:v>53</c:v>
                </c:pt>
                <c:pt idx="49">
                  <c:v>101</c:v>
                </c:pt>
                <c:pt idx="50">
                  <c:v>101</c:v>
                </c:pt>
                <c:pt idx="51">
                  <c:v>116</c:v>
                </c:pt>
                <c:pt idx="52">
                  <c:v>116</c:v>
                </c:pt>
                <c:pt idx="53">
                  <c:v>169</c:v>
                </c:pt>
                <c:pt idx="54">
                  <c:v>169</c:v>
                </c:pt>
                <c:pt idx="55">
                  <c:v>190</c:v>
                </c:pt>
                <c:pt idx="56">
                  <c:v>190</c:v>
                </c:pt>
                <c:pt idx="57">
                  <c:v>234</c:v>
                </c:pt>
                <c:pt idx="58">
                  <c:v>234</c:v>
                </c:pt>
                <c:pt idx="59">
                  <c:v>335</c:v>
                </c:pt>
                <c:pt idx="60">
                  <c:v>335</c:v>
                </c:pt>
                <c:pt idx="61">
                  <c:v>379</c:v>
                </c:pt>
                <c:pt idx="62">
                  <c:v>379</c:v>
                </c:pt>
                <c:pt idx="63">
                  <c:v>437</c:v>
                </c:pt>
                <c:pt idx="64">
                  <c:v>437</c:v>
                </c:pt>
                <c:pt idx="65">
                  <c:v>501</c:v>
                </c:pt>
                <c:pt idx="66">
                  <c:v>501</c:v>
                </c:pt>
                <c:pt idx="67">
                  <c:v>461</c:v>
                </c:pt>
                <c:pt idx="68">
                  <c:v>461</c:v>
                </c:pt>
                <c:pt idx="69">
                  <c:v>507</c:v>
                </c:pt>
                <c:pt idx="70">
                  <c:v>507</c:v>
                </c:pt>
                <c:pt idx="71">
                  <c:v>561</c:v>
                </c:pt>
                <c:pt idx="72">
                  <c:v>561</c:v>
                </c:pt>
                <c:pt idx="73">
                  <c:v>524</c:v>
                </c:pt>
                <c:pt idx="74">
                  <c:v>524</c:v>
                </c:pt>
                <c:pt idx="75">
                  <c:v>531</c:v>
                </c:pt>
                <c:pt idx="76">
                  <c:v>531</c:v>
                </c:pt>
                <c:pt idx="77">
                  <c:v>556</c:v>
                </c:pt>
                <c:pt idx="78">
                  <c:v>556</c:v>
                </c:pt>
                <c:pt idx="79">
                  <c:v>490</c:v>
                </c:pt>
                <c:pt idx="80">
                  <c:v>490</c:v>
                </c:pt>
                <c:pt idx="81">
                  <c:v>499</c:v>
                </c:pt>
                <c:pt idx="82">
                  <c:v>499</c:v>
                </c:pt>
                <c:pt idx="83">
                  <c:v>460</c:v>
                </c:pt>
                <c:pt idx="84">
                  <c:v>460</c:v>
                </c:pt>
                <c:pt idx="85">
                  <c:v>434</c:v>
                </c:pt>
                <c:pt idx="86">
                  <c:v>434</c:v>
                </c:pt>
                <c:pt idx="87">
                  <c:v>360</c:v>
                </c:pt>
                <c:pt idx="88">
                  <c:v>360</c:v>
                </c:pt>
                <c:pt idx="89">
                  <c:v>280</c:v>
                </c:pt>
                <c:pt idx="90">
                  <c:v>280</c:v>
                </c:pt>
                <c:pt idx="91">
                  <c:v>294</c:v>
                </c:pt>
                <c:pt idx="92">
                  <c:v>294</c:v>
                </c:pt>
                <c:pt idx="93">
                  <c:v>237</c:v>
                </c:pt>
                <c:pt idx="94">
                  <c:v>237</c:v>
                </c:pt>
                <c:pt idx="95">
                  <c:v>213</c:v>
                </c:pt>
                <c:pt idx="96">
                  <c:v>213</c:v>
                </c:pt>
                <c:pt idx="97">
                  <c:v>181</c:v>
                </c:pt>
                <c:pt idx="98">
                  <c:v>181</c:v>
                </c:pt>
                <c:pt idx="99">
                  <c:v>157</c:v>
                </c:pt>
                <c:pt idx="100">
                  <c:v>157</c:v>
                </c:pt>
                <c:pt idx="101">
                  <c:v>102</c:v>
                </c:pt>
                <c:pt idx="102">
                  <c:v>102</c:v>
                </c:pt>
                <c:pt idx="103">
                  <c:v>115</c:v>
                </c:pt>
                <c:pt idx="104">
                  <c:v>115</c:v>
                </c:pt>
                <c:pt idx="105">
                  <c:v>79</c:v>
                </c:pt>
                <c:pt idx="106">
                  <c:v>79</c:v>
                </c:pt>
                <c:pt idx="107">
                  <c:v>67</c:v>
                </c:pt>
                <c:pt idx="108">
                  <c:v>67</c:v>
                </c:pt>
                <c:pt idx="109">
                  <c:v>50</c:v>
                </c:pt>
                <c:pt idx="110">
                  <c:v>50</c:v>
                </c:pt>
                <c:pt idx="111">
                  <c:v>55</c:v>
                </c:pt>
                <c:pt idx="112">
                  <c:v>55</c:v>
                </c:pt>
                <c:pt idx="113">
                  <c:v>29</c:v>
                </c:pt>
                <c:pt idx="114">
                  <c:v>29</c:v>
                </c:pt>
                <c:pt idx="115">
                  <c:v>32</c:v>
                </c:pt>
                <c:pt idx="116">
                  <c:v>32</c:v>
                </c:pt>
                <c:pt idx="117">
                  <c:v>22</c:v>
                </c:pt>
                <c:pt idx="118">
                  <c:v>22</c:v>
                </c:pt>
                <c:pt idx="119">
                  <c:v>21</c:v>
                </c:pt>
                <c:pt idx="120">
                  <c:v>21</c:v>
                </c:pt>
                <c:pt idx="121">
                  <c:v>11</c:v>
                </c:pt>
                <c:pt idx="122">
                  <c:v>11</c:v>
                </c:pt>
                <c:pt idx="123">
                  <c:v>9</c:v>
                </c:pt>
                <c:pt idx="124">
                  <c:v>9</c:v>
                </c:pt>
                <c:pt idx="125">
                  <c:v>9</c:v>
                </c:pt>
                <c:pt idx="126">
                  <c:v>9</c:v>
                </c:pt>
                <c:pt idx="127">
                  <c:v>8</c:v>
                </c:pt>
                <c:pt idx="128">
                  <c:v>8</c:v>
                </c:pt>
                <c:pt idx="129">
                  <c:v>5</c:v>
                </c:pt>
                <c:pt idx="130">
                  <c:v>5</c:v>
                </c:pt>
                <c:pt idx="131">
                  <c:v>5</c:v>
                </c:pt>
                <c:pt idx="132">
                  <c:v>5</c:v>
                </c:pt>
                <c:pt idx="133">
                  <c:v>2</c:v>
                </c:pt>
                <c:pt idx="134">
                  <c:v>2</c:v>
                </c:pt>
                <c:pt idx="135">
                  <c:v>1</c:v>
                </c:pt>
                <c:pt idx="136">
                  <c:v>1</c:v>
                </c:pt>
                <c:pt idx="137">
                  <c:v>0</c:v>
                </c:pt>
                <c:pt idx="138">
                  <c:v>0</c:v>
                </c:pt>
                <c:pt idx="139">
                  <c:v>2</c:v>
                </c:pt>
                <c:pt idx="140">
                  <c:v>2</c:v>
                </c:pt>
                <c:pt idx="141">
                  <c:v>2</c:v>
                </c:pt>
                <c:pt idx="142">
                  <c:v>2</c:v>
                </c:pt>
                <c:pt idx="14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B9-4C49-8B45-027831E4C2D7}"/>
            </c:ext>
          </c:extLst>
        </c:ser>
        <c:ser>
          <c:idx val="1"/>
          <c:order val="1"/>
          <c:tx>
            <c:strRef>
              <c:f>'Marine Biota 150 yrs'!$AM$1</c:f>
              <c:strCache>
                <c:ptCount val="1"/>
                <c:pt idx="0">
                  <c:v>MCMC Madness'!$EU$49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'Marine Biota 150 yrs'!$AK$2:$AK$145</c:f>
              <c:numCache>
                <c:formatCode>General</c:formatCode>
                <c:ptCount val="144"/>
                <c:pt idx="0">
                  <c:v>200</c:v>
                </c:pt>
                <c:pt idx="1">
                  <c:v>200</c:v>
                </c:pt>
                <c:pt idx="2">
                  <c:v>225</c:v>
                </c:pt>
                <c:pt idx="3">
                  <c:v>225</c:v>
                </c:pt>
                <c:pt idx="4">
                  <c:v>250</c:v>
                </c:pt>
                <c:pt idx="5">
                  <c:v>250</c:v>
                </c:pt>
                <c:pt idx="6">
                  <c:v>275</c:v>
                </c:pt>
                <c:pt idx="7">
                  <c:v>275</c:v>
                </c:pt>
                <c:pt idx="8">
                  <c:v>300</c:v>
                </c:pt>
                <c:pt idx="9">
                  <c:v>300</c:v>
                </c:pt>
                <c:pt idx="10">
                  <c:v>325</c:v>
                </c:pt>
                <c:pt idx="11">
                  <c:v>325</c:v>
                </c:pt>
                <c:pt idx="12">
                  <c:v>350</c:v>
                </c:pt>
                <c:pt idx="13">
                  <c:v>350</c:v>
                </c:pt>
                <c:pt idx="14">
                  <c:v>375</c:v>
                </c:pt>
                <c:pt idx="15">
                  <c:v>375</c:v>
                </c:pt>
                <c:pt idx="16">
                  <c:v>400</c:v>
                </c:pt>
                <c:pt idx="17">
                  <c:v>400</c:v>
                </c:pt>
                <c:pt idx="18">
                  <c:v>425</c:v>
                </c:pt>
                <c:pt idx="19">
                  <c:v>425</c:v>
                </c:pt>
                <c:pt idx="20">
                  <c:v>450</c:v>
                </c:pt>
                <c:pt idx="21">
                  <c:v>450</c:v>
                </c:pt>
                <c:pt idx="22">
                  <c:v>475</c:v>
                </c:pt>
                <c:pt idx="23">
                  <c:v>475</c:v>
                </c:pt>
                <c:pt idx="24">
                  <c:v>500</c:v>
                </c:pt>
                <c:pt idx="25">
                  <c:v>500</c:v>
                </c:pt>
                <c:pt idx="26">
                  <c:v>525</c:v>
                </c:pt>
                <c:pt idx="27">
                  <c:v>525</c:v>
                </c:pt>
                <c:pt idx="28">
                  <c:v>550</c:v>
                </c:pt>
                <c:pt idx="29">
                  <c:v>550</c:v>
                </c:pt>
                <c:pt idx="30">
                  <c:v>575</c:v>
                </c:pt>
                <c:pt idx="31">
                  <c:v>575</c:v>
                </c:pt>
                <c:pt idx="32">
                  <c:v>600</c:v>
                </c:pt>
                <c:pt idx="33">
                  <c:v>600</c:v>
                </c:pt>
                <c:pt idx="34">
                  <c:v>625</c:v>
                </c:pt>
                <c:pt idx="35">
                  <c:v>625</c:v>
                </c:pt>
                <c:pt idx="36">
                  <c:v>650</c:v>
                </c:pt>
                <c:pt idx="37">
                  <c:v>650</c:v>
                </c:pt>
                <c:pt idx="38">
                  <c:v>675</c:v>
                </c:pt>
                <c:pt idx="39">
                  <c:v>675</c:v>
                </c:pt>
                <c:pt idx="40">
                  <c:v>700</c:v>
                </c:pt>
                <c:pt idx="41">
                  <c:v>700</c:v>
                </c:pt>
                <c:pt idx="42">
                  <c:v>725</c:v>
                </c:pt>
                <c:pt idx="43">
                  <c:v>725</c:v>
                </c:pt>
                <c:pt idx="44">
                  <c:v>750</c:v>
                </c:pt>
                <c:pt idx="45">
                  <c:v>750</c:v>
                </c:pt>
                <c:pt idx="46">
                  <c:v>775</c:v>
                </c:pt>
                <c:pt idx="47">
                  <c:v>775</c:v>
                </c:pt>
                <c:pt idx="48">
                  <c:v>800</c:v>
                </c:pt>
                <c:pt idx="49">
                  <c:v>800</c:v>
                </c:pt>
                <c:pt idx="50">
                  <c:v>825</c:v>
                </c:pt>
                <c:pt idx="51">
                  <c:v>825</c:v>
                </c:pt>
                <c:pt idx="52">
                  <c:v>850</c:v>
                </c:pt>
                <c:pt idx="53">
                  <c:v>850</c:v>
                </c:pt>
                <c:pt idx="54">
                  <c:v>875</c:v>
                </c:pt>
                <c:pt idx="55">
                  <c:v>875</c:v>
                </c:pt>
                <c:pt idx="56">
                  <c:v>900</c:v>
                </c:pt>
                <c:pt idx="57">
                  <c:v>900</c:v>
                </c:pt>
                <c:pt idx="58">
                  <c:v>925</c:v>
                </c:pt>
                <c:pt idx="59">
                  <c:v>925</c:v>
                </c:pt>
                <c:pt idx="60">
                  <c:v>950</c:v>
                </c:pt>
                <c:pt idx="61">
                  <c:v>950</c:v>
                </c:pt>
                <c:pt idx="62">
                  <c:v>975</c:v>
                </c:pt>
                <c:pt idx="63">
                  <c:v>975</c:v>
                </c:pt>
                <c:pt idx="64">
                  <c:v>1000</c:v>
                </c:pt>
                <c:pt idx="65">
                  <c:v>1000</c:v>
                </c:pt>
                <c:pt idx="66">
                  <c:v>1025</c:v>
                </c:pt>
                <c:pt idx="67">
                  <c:v>1025</c:v>
                </c:pt>
                <c:pt idx="68">
                  <c:v>1050</c:v>
                </c:pt>
                <c:pt idx="69">
                  <c:v>1050</c:v>
                </c:pt>
                <c:pt idx="70">
                  <c:v>1075</c:v>
                </c:pt>
                <c:pt idx="71">
                  <c:v>1075</c:v>
                </c:pt>
                <c:pt idx="72">
                  <c:v>1100</c:v>
                </c:pt>
                <c:pt idx="73">
                  <c:v>1100</c:v>
                </c:pt>
                <c:pt idx="74">
                  <c:v>1125</c:v>
                </c:pt>
                <c:pt idx="75">
                  <c:v>1125</c:v>
                </c:pt>
                <c:pt idx="76">
                  <c:v>1150</c:v>
                </c:pt>
                <c:pt idx="77">
                  <c:v>1150</c:v>
                </c:pt>
                <c:pt idx="78">
                  <c:v>1175</c:v>
                </c:pt>
                <c:pt idx="79">
                  <c:v>1175</c:v>
                </c:pt>
                <c:pt idx="80">
                  <c:v>1200</c:v>
                </c:pt>
                <c:pt idx="81">
                  <c:v>1200</c:v>
                </c:pt>
                <c:pt idx="82">
                  <c:v>1225</c:v>
                </c:pt>
                <c:pt idx="83">
                  <c:v>1225</c:v>
                </c:pt>
                <c:pt idx="84">
                  <c:v>1250</c:v>
                </c:pt>
                <c:pt idx="85">
                  <c:v>1250</c:v>
                </c:pt>
                <c:pt idx="86">
                  <c:v>1275</c:v>
                </c:pt>
                <c:pt idx="87">
                  <c:v>1275</c:v>
                </c:pt>
                <c:pt idx="88">
                  <c:v>1300</c:v>
                </c:pt>
                <c:pt idx="89">
                  <c:v>1300</c:v>
                </c:pt>
                <c:pt idx="90">
                  <c:v>1325</c:v>
                </c:pt>
                <c:pt idx="91">
                  <c:v>1325</c:v>
                </c:pt>
                <c:pt idx="92">
                  <c:v>1350</c:v>
                </c:pt>
                <c:pt idx="93">
                  <c:v>1350</c:v>
                </c:pt>
                <c:pt idx="94">
                  <c:v>1375</c:v>
                </c:pt>
                <c:pt idx="95">
                  <c:v>1375</c:v>
                </c:pt>
                <c:pt idx="96">
                  <c:v>1400</c:v>
                </c:pt>
                <c:pt idx="97">
                  <c:v>1400</c:v>
                </c:pt>
                <c:pt idx="98">
                  <c:v>1425</c:v>
                </c:pt>
                <c:pt idx="99">
                  <c:v>1425</c:v>
                </c:pt>
                <c:pt idx="100">
                  <c:v>1450</c:v>
                </c:pt>
                <c:pt idx="101">
                  <c:v>1450</c:v>
                </c:pt>
                <c:pt idx="102">
                  <c:v>1475</c:v>
                </c:pt>
                <c:pt idx="103">
                  <c:v>1475</c:v>
                </c:pt>
                <c:pt idx="104">
                  <c:v>1500</c:v>
                </c:pt>
                <c:pt idx="105">
                  <c:v>1500</c:v>
                </c:pt>
                <c:pt idx="106">
                  <c:v>1525</c:v>
                </c:pt>
                <c:pt idx="107">
                  <c:v>1525</c:v>
                </c:pt>
                <c:pt idx="108">
                  <c:v>1550</c:v>
                </c:pt>
                <c:pt idx="109">
                  <c:v>1550</c:v>
                </c:pt>
                <c:pt idx="110">
                  <c:v>1575</c:v>
                </c:pt>
                <c:pt idx="111">
                  <c:v>1575</c:v>
                </c:pt>
                <c:pt idx="112">
                  <c:v>1600</c:v>
                </c:pt>
                <c:pt idx="113">
                  <c:v>1600</c:v>
                </c:pt>
                <c:pt idx="114">
                  <c:v>1625</c:v>
                </c:pt>
                <c:pt idx="115">
                  <c:v>1625</c:v>
                </c:pt>
                <c:pt idx="116">
                  <c:v>1650</c:v>
                </c:pt>
                <c:pt idx="117">
                  <c:v>1650</c:v>
                </c:pt>
                <c:pt idx="118">
                  <c:v>1675</c:v>
                </c:pt>
                <c:pt idx="119">
                  <c:v>1675</c:v>
                </c:pt>
                <c:pt idx="120">
                  <c:v>1700</c:v>
                </c:pt>
                <c:pt idx="121">
                  <c:v>1700</c:v>
                </c:pt>
                <c:pt idx="122">
                  <c:v>1725</c:v>
                </c:pt>
                <c:pt idx="123">
                  <c:v>1725</c:v>
                </c:pt>
                <c:pt idx="124">
                  <c:v>1750</c:v>
                </c:pt>
                <c:pt idx="125">
                  <c:v>1750</c:v>
                </c:pt>
                <c:pt idx="126">
                  <c:v>1775</c:v>
                </c:pt>
                <c:pt idx="127">
                  <c:v>1775</c:v>
                </c:pt>
                <c:pt idx="128">
                  <c:v>1800</c:v>
                </c:pt>
                <c:pt idx="129">
                  <c:v>1800</c:v>
                </c:pt>
                <c:pt idx="130">
                  <c:v>1825</c:v>
                </c:pt>
                <c:pt idx="131">
                  <c:v>1825</c:v>
                </c:pt>
                <c:pt idx="132">
                  <c:v>1850</c:v>
                </c:pt>
                <c:pt idx="133">
                  <c:v>1850</c:v>
                </c:pt>
                <c:pt idx="134">
                  <c:v>1875</c:v>
                </c:pt>
                <c:pt idx="135">
                  <c:v>1875</c:v>
                </c:pt>
                <c:pt idx="136">
                  <c:v>1900</c:v>
                </c:pt>
                <c:pt idx="137">
                  <c:v>1900</c:v>
                </c:pt>
                <c:pt idx="138">
                  <c:v>1925</c:v>
                </c:pt>
                <c:pt idx="139">
                  <c:v>1925</c:v>
                </c:pt>
                <c:pt idx="140">
                  <c:v>1950</c:v>
                </c:pt>
                <c:pt idx="141">
                  <c:v>1950</c:v>
                </c:pt>
                <c:pt idx="142">
                  <c:v>1975</c:v>
                </c:pt>
                <c:pt idx="143">
                  <c:v>1975</c:v>
                </c:pt>
              </c:numCache>
            </c:numRef>
          </c:xVal>
          <c:yVal>
            <c:numRef>
              <c:f>'Marine Biota 150 yrs'!$AM$2:$AM$145</c:f>
              <c:numCache>
                <c:formatCode>General</c:formatCode>
                <c:ptCount val="1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3</c:v>
                </c:pt>
                <c:pt idx="5">
                  <c:v>6</c:v>
                </c:pt>
                <c:pt idx="6">
                  <c:v>6</c:v>
                </c:pt>
                <c:pt idx="7">
                  <c:v>15</c:v>
                </c:pt>
                <c:pt idx="8">
                  <c:v>15</c:v>
                </c:pt>
                <c:pt idx="9">
                  <c:v>67</c:v>
                </c:pt>
                <c:pt idx="10">
                  <c:v>67</c:v>
                </c:pt>
                <c:pt idx="11">
                  <c:v>170</c:v>
                </c:pt>
                <c:pt idx="12">
                  <c:v>170</c:v>
                </c:pt>
                <c:pt idx="13">
                  <c:v>320</c:v>
                </c:pt>
                <c:pt idx="14">
                  <c:v>320</c:v>
                </c:pt>
                <c:pt idx="15">
                  <c:v>529</c:v>
                </c:pt>
                <c:pt idx="16">
                  <c:v>529</c:v>
                </c:pt>
                <c:pt idx="17">
                  <c:v>839</c:v>
                </c:pt>
                <c:pt idx="18">
                  <c:v>839</c:v>
                </c:pt>
                <c:pt idx="19">
                  <c:v>966</c:v>
                </c:pt>
                <c:pt idx="20">
                  <c:v>966</c:v>
                </c:pt>
                <c:pt idx="21">
                  <c:v>1167</c:v>
                </c:pt>
                <c:pt idx="22">
                  <c:v>1167</c:v>
                </c:pt>
                <c:pt idx="23">
                  <c:v>1159</c:v>
                </c:pt>
                <c:pt idx="24">
                  <c:v>1159</c:v>
                </c:pt>
                <c:pt idx="25">
                  <c:v>1113</c:v>
                </c:pt>
                <c:pt idx="26">
                  <c:v>1113</c:v>
                </c:pt>
                <c:pt idx="27">
                  <c:v>945</c:v>
                </c:pt>
                <c:pt idx="28">
                  <c:v>945</c:v>
                </c:pt>
                <c:pt idx="29">
                  <c:v>794</c:v>
                </c:pt>
                <c:pt idx="30">
                  <c:v>794</c:v>
                </c:pt>
                <c:pt idx="31">
                  <c:v>583</c:v>
                </c:pt>
                <c:pt idx="32">
                  <c:v>583</c:v>
                </c:pt>
                <c:pt idx="33">
                  <c:v>445</c:v>
                </c:pt>
                <c:pt idx="34">
                  <c:v>445</c:v>
                </c:pt>
                <c:pt idx="35">
                  <c:v>325</c:v>
                </c:pt>
                <c:pt idx="36">
                  <c:v>325</c:v>
                </c:pt>
                <c:pt idx="37">
                  <c:v>206</c:v>
                </c:pt>
                <c:pt idx="38">
                  <c:v>206</c:v>
                </c:pt>
                <c:pt idx="39">
                  <c:v>134</c:v>
                </c:pt>
                <c:pt idx="40">
                  <c:v>134</c:v>
                </c:pt>
                <c:pt idx="41">
                  <c:v>76</c:v>
                </c:pt>
                <c:pt idx="42">
                  <c:v>76</c:v>
                </c:pt>
                <c:pt idx="43">
                  <c:v>54</c:v>
                </c:pt>
                <c:pt idx="44">
                  <c:v>54</c:v>
                </c:pt>
                <c:pt idx="45">
                  <c:v>34</c:v>
                </c:pt>
                <c:pt idx="46">
                  <c:v>34</c:v>
                </c:pt>
                <c:pt idx="47">
                  <c:v>24</c:v>
                </c:pt>
                <c:pt idx="48">
                  <c:v>24</c:v>
                </c:pt>
                <c:pt idx="49">
                  <c:v>13</c:v>
                </c:pt>
                <c:pt idx="50">
                  <c:v>13</c:v>
                </c:pt>
                <c:pt idx="51">
                  <c:v>4</c:v>
                </c:pt>
                <c:pt idx="52">
                  <c:v>4</c:v>
                </c:pt>
                <c:pt idx="53">
                  <c:v>2</c:v>
                </c:pt>
                <c:pt idx="54">
                  <c:v>2</c:v>
                </c:pt>
                <c:pt idx="55">
                  <c:v>2</c:v>
                </c:pt>
                <c:pt idx="56">
                  <c:v>2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2</c:v>
                </c:pt>
                <c:pt idx="62">
                  <c:v>2</c:v>
                </c:pt>
                <c:pt idx="63">
                  <c:v>0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5B9-4C49-8B45-027831E4C2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6075504"/>
        <c:axId val="706076064"/>
      </c:scatterChart>
      <c:valAx>
        <c:axId val="706075504"/>
        <c:scaling>
          <c:orientation val="minMax"/>
          <c:max val="1975"/>
          <c:min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706076064"/>
        <c:crosses val="autoZero"/>
        <c:crossBetween val="midCat"/>
      </c:valAx>
      <c:valAx>
        <c:axId val="7060760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one"/>
        <c:spPr>
          <a:ln w="25400">
            <a:noFill/>
          </a:ln>
        </c:spPr>
        <c:crossAx val="706075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'Fossil 150 yrs'!$AL$1</c:f>
              <c:strCache>
                <c:ptCount val="1"/>
                <c:pt idx="0">
                  <c:v>MCMC Madness'!$EU$23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'Fossil 150 yrs'!$AK$2:$AK$827</c:f>
              <c:numCache>
                <c:formatCode>General</c:formatCode>
                <c:ptCount val="826"/>
                <c:pt idx="0">
                  <c:v>120</c:v>
                </c:pt>
                <c:pt idx="1">
                  <c:v>120</c:v>
                </c:pt>
                <c:pt idx="2">
                  <c:v>130</c:v>
                </c:pt>
                <c:pt idx="3">
                  <c:v>130</c:v>
                </c:pt>
                <c:pt idx="4">
                  <c:v>140</c:v>
                </c:pt>
                <c:pt idx="5">
                  <c:v>140</c:v>
                </c:pt>
                <c:pt idx="6">
                  <c:v>150</c:v>
                </c:pt>
                <c:pt idx="7">
                  <c:v>150</c:v>
                </c:pt>
                <c:pt idx="8">
                  <c:v>160</c:v>
                </c:pt>
                <c:pt idx="9">
                  <c:v>160</c:v>
                </c:pt>
                <c:pt idx="10">
                  <c:v>170</c:v>
                </c:pt>
                <c:pt idx="11">
                  <c:v>170</c:v>
                </c:pt>
                <c:pt idx="12">
                  <c:v>180</c:v>
                </c:pt>
                <c:pt idx="13">
                  <c:v>180</c:v>
                </c:pt>
                <c:pt idx="14">
                  <c:v>190</c:v>
                </c:pt>
                <c:pt idx="15">
                  <c:v>190</c:v>
                </c:pt>
                <c:pt idx="16">
                  <c:v>200</c:v>
                </c:pt>
                <c:pt idx="17">
                  <c:v>200</c:v>
                </c:pt>
                <c:pt idx="18">
                  <c:v>210</c:v>
                </c:pt>
                <c:pt idx="19">
                  <c:v>210</c:v>
                </c:pt>
                <c:pt idx="20">
                  <c:v>220</c:v>
                </c:pt>
                <c:pt idx="21">
                  <c:v>220</c:v>
                </c:pt>
                <c:pt idx="22">
                  <c:v>230</c:v>
                </c:pt>
                <c:pt idx="23">
                  <c:v>230</c:v>
                </c:pt>
                <c:pt idx="24">
                  <c:v>240</c:v>
                </c:pt>
                <c:pt idx="25">
                  <c:v>240</c:v>
                </c:pt>
                <c:pt idx="26">
                  <c:v>250</c:v>
                </c:pt>
                <c:pt idx="27">
                  <c:v>250</c:v>
                </c:pt>
                <c:pt idx="28">
                  <c:v>260</c:v>
                </c:pt>
                <c:pt idx="29">
                  <c:v>260</c:v>
                </c:pt>
                <c:pt idx="30">
                  <c:v>270</c:v>
                </c:pt>
                <c:pt idx="31">
                  <c:v>270</c:v>
                </c:pt>
                <c:pt idx="32">
                  <c:v>280</c:v>
                </c:pt>
                <c:pt idx="33">
                  <c:v>280</c:v>
                </c:pt>
                <c:pt idx="34">
                  <c:v>290</c:v>
                </c:pt>
                <c:pt idx="35">
                  <c:v>290</c:v>
                </c:pt>
                <c:pt idx="36">
                  <c:v>300</c:v>
                </c:pt>
                <c:pt idx="37">
                  <c:v>300</c:v>
                </c:pt>
                <c:pt idx="38">
                  <c:v>310</c:v>
                </c:pt>
                <c:pt idx="39">
                  <c:v>310</c:v>
                </c:pt>
                <c:pt idx="40">
                  <c:v>320</c:v>
                </c:pt>
                <c:pt idx="41">
                  <c:v>320</c:v>
                </c:pt>
                <c:pt idx="42">
                  <c:v>330</c:v>
                </c:pt>
                <c:pt idx="43">
                  <c:v>330</c:v>
                </c:pt>
                <c:pt idx="44">
                  <c:v>340</c:v>
                </c:pt>
                <c:pt idx="45">
                  <c:v>340</c:v>
                </c:pt>
                <c:pt idx="46">
                  <c:v>350</c:v>
                </c:pt>
                <c:pt idx="47">
                  <c:v>350</c:v>
                </c:pt>
                <c:pt idx="48">
                  <c:v>360</c:v>
                </c:pt>
                <c:pt idx="49">
                  <c:v>360</c:v>
                </c:pt>
                <c:pt idx="50">
                  <c:v>370</c:v>
                </c:pt>
                <c:pt idx="51">
                  <c:v>370</c:v>
                </c:pt>
                <c:pt idx="52">
                  <c:v>380</c:v>
                </c:pt>
                <c:pt idx="53">
                  <c:v>380</c:v>
                </c:pt>
                <c:pt idx="54">
                  <c:v>390</c:v>
                </c:pt>
                <c:pt idx="55">
                  <c:v>390</c:v>
                </c:pt>
                <c:pt idx="56">
                  <c:v>400</c:v>
                </c:pt>
                <c:pt idx="57">
                  <c:v>400</c:v>
                </c:pt>
                <c:pt idx="58">
                  <c:v>410</c:v>
                </c:pt>
                <c:pt idx="59">
                  <c:v>410</c:v>
                </c:pt>
                <c:pt idx="60">
                  <c:v>420</c:v>
                </c:pt>
                <c:pt idx="61">
                  <c:v>420</c:v>
                </c:pt>
                <c:pt idx="62">
                  <c:v>430</c:v>
                </c:pt>
                <c:pt idx="63">
                  <c:v>430</c:v>
                </c:pt>
                <c:pt idx="64">
                  <c:v>440</c:v>
                </c:pt>
                <c:pt idx="65">
                  <c:v>440</c:v>
                </c:pt>
                <c:pt idx="66">
                  <c:v>450</c:v>
                </c:pt>
                <c:pt idx="67">
                  <c:v>450</c:v>
                </c:pt>
                <c:pt idx="68">
                  <c:v>460</c:v>
                </c:pt>
                <c:pt idx="69">
                  <c:v>460</c:v>
                </c:pt>
                <c:pt idx="70">
                  <c:v>470</c:v>
                </c:pt>
                <c:pt idx="71">
                  <c:v>470</c:v>
                </c:pt>
                <c:pt idx="72">
                  <c:v>480</c:v>
                </c:pt>
                <c:pt idx="73">
                  <c:v>480</c:v>
                </c:pt>
                <c:pt idx="74">
                  <c:v>490</c:v>
                </c:pt>
                <c:pt idx="75">
                  <c:v>490</c:v>
                </c:pt>
                <c:pt idx="76">
                  <c:v>500</c:v>
                </c:pt>
                <c:pt idx="77">
                  <c:v>500</c:v>
                </c:pt>
                <c:pt idx="78">
                  <c:v>510</c:v>
                </c:pt>
                <c:pt idx="79">
                  <c:v>510</c:v>
                </c:pt>
                <c:pt idx="80">
                  <c:v>520</c:v>
                </c:pt>
                <c:pt idx="81">
                  <c:v>520</c:v>
                </c:pt>
                <c:pt idx="82">
                  <c:v>530</c:v>
                </c:pt>
                <c:pt idx="83">
                  <c:v>530</c:v>
                </c:pt>
                <c:pt idx="84">
                  <c:v>540</c:v>
                </c:pt>
                <c:pt idx="85">
                  <c:v>540</c:v>
                </c:pt>
                <c:pt idx="86">
                  <c:v>550</c:v>
                </c:pt>
                <c:pt idx="87">
                  <c:v>550</c:v>
                </c:pt>
                <c:pt idx="88">
                  <c:v>560</c:v>
                </c:pt>
                <c:pt idx="89">
                  <c:v>560</c:v>
                </c:pt>
                <c:pt idx="90">
                  <c:v>570</c:v>
                </c:pt>
                <c:pt idx="91">
                  <c:v>570</c:v>
                </c:pt>
                <c:pt idx="92">
                  <c:v>580</c:v>
                </c:pt>
                <c:pt idx="93">
                  <c:v>580</c:v>
                </c:pt>
                <c:pt idx="94">
                  <c:v>590</c:v>
                </c:pt>
                <c:pt idx="95">
                  <c:v>590</c:v>
                </c:pt>
                <c:pt idx="96">
                  <c:v>600</c:v>
                </c:pt>
                <c:pt idx="97">
                  <c:v>600</c:v>
                </c:pt>
                <c:pt idx="98">
                  <c:v>610</c:v>
                </c:pt>
                <c:pt idx="99">
                  <c:v>610</c:v>
                </c:pt>
                <c:pt idx="100">
                  <c:v>620</c:v>
                </c:pt>
                <c:pt idx="101">
                  <c:v>620</c:v>
                </c:pt>
                <c:pt idx="102">
                  <c:v>630</c:v>
                </c:pt>
                <c:pt idx="103">
                  <c:v>630</c:v>
                </c:pt>
                <c:pt idx="104">
                  <c:v>640</c:v>
                </c:pt>
                <c:pt idx="105">
                  <c:v>640</c:v>
                </c:pt>
                <c:pt idx="106">
                  <c:v>650</c:v>
                </c:pt>
                <c:pt idx="107">
                  <c:v>650</c:v>
                </c:pt>
                <c:pt idx="108">
                  <c:v>660</c:v>
                </c:pt>
                <c:pt idx="109">
                  <c:v>660</c:v>
                </c:pt>
                <c:pt idx="110">
                  <c:v>670</c:v>
                </c:pt>
                <c:pt idx="111">
                  <c:v>670</c:v>
                </c:pt>
                <c:pt idx="112">
                  <c:v>680</c:v>
                </c:pt>
                <c:pt idx="113">
                  <c:v>680</c:v>
                </c:pt>
                <c:pt idx="114">
                  <c:v>690</c:v>
                </c:pt>
                <c:pt idx="115">
                  <c:v>690</c:v>
                </c:pt>
                <c:pt idx="116">
                  <c:v>700</c:v>
                </c:pt>
                <c:pt idx="117">
                  <c:v>700</c:v>
                </c:pt>
                <c:pt idx="118">
                  <c:v>710</c:v>
                </c:pt>
                <c:pt idx="119">
                  <c:v>710</c:v>
                </c:pt>
                <c:pt idx="120">
                  <c:v>720</c:v>
                </c:pt>
                <c:pt idx="121">
                  <c:v>720</c:v>
                </c:pt>
                <c:pt idx="122">
                  <c:v>730</c:v>
                </c:pt>
                <c:pt idx="123">
                  <c:v>730</c:v>
                </c:pt>
                <c:pt idx="124">
                  <c:v>740</c:v>
                </c:pt>
                <c:pt idx="125">
                  <c:v>740</c:v>
                </c:pt>
                <c:pt idx="126">
                  <c:v>750</c:v>
                </c:pt>
                <c:pt idx="127">
                  <c:v>750</c:v>
                </c:pt>
                <c:pt idx="128">
                  <c:v>760</c:v>
                </c:pt>
                <c:pt idx="129">
                  <c:v>760</c:v>
                </c:pt>
                <c:pt idx="130">
                  <c:v>770</c:v>
                </c:pt>
                <c:pt idx="131">
                  <c:v>770</c:v>
                </c:pt>
                <c:pt idx="132">
                  <c:v>780</c:v>
                </c:pt>
                <c:pt idx="133">
                  <c:v>780</c:v>
                </c:pt>
                <c:pt idx="134">
                  <c:v>790</c:v>
                </c:pt>
                <c:pt idx="135">
                  <c:v>790</c:v>
                </c:pt>
                <c:pt idx="136">
                  <c:v>800</c:v>
                </c:pt>
                <c:pt idx="137">
                  <c:v>800</c:v>
                </c:pt>
                <c:pt idx="138">
                  <c:v>810</c:v>
                </c:pt>
                <c:pt idx="139">
                  <c:v>810</c:v>
                </c:pt>
                <c:pt idx="140">
                  <c:v>820</c:v>
                </c:pt>
                <c:pt idx="141">
                  <c:v>820</c:v>
                </c:pt>
                <c:pt idx="142">
                  <c:v>830</c:v>
                </c:pt>
                <c:pt idx="143">
                  <c:v>830</c:v>
                </c:pt>
                <c:pt idx="144">
                  <c:v>840</c:v>
                </c:pt>
                <c:pt idx="145">
                  <c:v>840</c:v>
                </c:pt>
                <c:pt idx="146">
                  <c:v>850</c:v>
                </c:pt>
                <c:pt idx="147">
                  <c:v>850</c:v>
                </c:pt>
                <c:pt idx="148">
                  <c:v>860</c:v>
                </c:pt>
                <c:pt idx="149">
                  <c:v>860</c:v>
                </c:pt>
                <c:pt idx="150">
                  <c:v>870</c:v>
                </c:pt>
                <c:pt idx="151">
                  <c:v>870</c:v>
                </c:pt>
                <c:pt idx="152">
                  <c:v>880</c:v>
                </c:pt>
                <c:pt idx="153">
                  <c:v>880</c:v>
                </c:pt>
                <c:pt idx="154">
                  <c:v>890</c:v>
                </c:pt>
                <c:pt idx="155">
                  <c:v>890</c:v>
                </c:pt>
                <c:pt idx="156">
                  <c:v>900</c:v>
                </c:pt>
                <c:pt idx="157">
                  <c:v>900</c:v>
                </c:pt>
                <c:pt idx="158">
                  <c:v>910</c:v>
                </c:pt>
                <c:pt idx="159">
                  <c:v>910</c:v>
                </c:pt>
                <c:pt idx="160">
                  <c:v>920</c:v>
                </c:pt>
                <c:pt idx="161">
                  <c:v>920</c:v>
                </c:pt>
                <c:pt idx="162">
                  <c:v>930</c:v>
                </c:pt>
                <c:pt idx="163">
                  <c:v>930</c:v>
                </c:pt>
                <c:pt idx="164">
                  <c:v>940</c:v>
                </c:pt>
                <c:pt idx="165">
                  <c:v>940</c:v>
                </c:pt>
                <c:pt idx="166">
                  <c:v>950</c:v>
                </c:pt>
                <c:pt idx="167">
                  <c:v>950</c:v>
                </c:pt>
                <c:pt idx="168">
                  <c:v>960</c:v>
                </c:pt>
                <c:pt idx="169">
                  <c:v>960</c:v>
                </c:pt>
                <c:pt idx="170">
                  <c:v>970</c:v>
                </c:pt>
                <c:pt idx="171">
                  <c:v>970</c:v>
                </c:pt>
                <c:pt idx="172">
                  <c:v>980</c:v>
                </c:pt>
                <c:pt idx="173">
                  <c:v>980</c:v>
                </c:pt>
                <c:pt idx="174">
                  <c:v>990</c:v>
                </c:pt>
                <c:pt idx="175">
                  <c:v>990</c:v>
                </c:pt>
                <c:pt idx="176">
                  <c:v>1000</c:v>
                </c:pt>
                <c:pt idx="177">
                  <c:v>1000</c:v>
                </c:pt>
                <c:pt idx="178">
                  <c:v>1010</c:v>
                </c:pt>
                <c:pt idx="179">
                  <c:v>1010</c:v>
                </c:pt>
                <c:pt idx="180">
                  <c:v>1020</c:v>
                </c:pt>
                <c:pt idx="181">
                  <c:v>1020</c:v>
                </c:pt>
                <c:pt idx="182">
                  <c:v>1030</c:v>
                </c:pt>
                <c:pt idx="183">
                  <c:v>1030</c:v>
                </c:pt>
                <c:pt idx="184">
                  <c:v>1040</c:v>
                </c:pt>
                <c:pt idx="185">
                  <c:v>1040</c:v>
                </c:pt>
                <c:pt idx="186">
                  <c:v>1050</c:v>
                </c:pt>
                <c:pt idx="187">
                  <c:v>1050</c:v>
                </c:pt>
                <c:pt idx="188">
                  <c:v>1060</c:v>
                </c:pt>
                <c:pt idx="189">
                  <c:v>1060</c:v>
                </c:pt>
                <c:pt idx="190">
                  <c:v>1070</c:v>
                </c:pt>
                <c:pt idx="191">
                  <c:v>1070</c:v>
                </c:pt>
                <c:pt idx="192">
                  <c:v>1080</c:v>
                </c:pt>
                <c:pt idx="193">
                  <c:v>1080</c:v>
                </c:pt>
                <c:pt idx="194">
                  <c:v>1090</c:v>
                </c:pt>
                <c:pt idx="195">
                  <c:v>1090</c:v>
                </c:pt>
                <c:pt idx="196">
                  <c:v>1100</c:v>
                </c:pt>
                <c:pt idx="197">
                  <c:v>1100</c:v>
                </c:pt>
                <c:pt idx="198">
                  <c:v>1110</c:v>
                </c:pt>
                <c:pt idx="199">
                  <c:v>1110</c:v>
                </c:pt>
                <c:pt idx="200">
                  <c:v>1120</c:v>
                </c:pt>
                <c:pt idx="201">
                  <c:v>1120</c:v>
                </c:pt>
                <c:pt idx="202">
                  <c:v>1130</c:v>
                </c:pt>
                <c:pt idx="203">
                  <c:v>1130</c:v>
                </c:pt>
                <c:pt idx="204">
                  <c:v>1140</c:v>
                </c:pt>
                <c:pt idx="205">
                  <c:v>1140</c:v>
                </c:pt>
                <c:pt idx="206">
                  <c:v>1150</c:v>
                </c:pt>
                <c:pt idx="207">
                  <c:v>1150</c:v>
                </c:pt>
                <c:pt idx="208">
                  <c:v>1160</c:v>
                </c:pt>
                <c:pt idx="209">
                  <c:v>1160</c:v>
                </c:pt>
                <c:pt idx="210">
                  <c:v>1170</c:v>
                </c:pt>
                <c:pt idx="211">
                  <c:v>1170</c:v>
                </c:pt>
                <c:pt idx="212">
                  <c:v>1180</c:v>
                </c:pt>
                <c:pt idx="213">
                  <c:v>1180</c:v>
                </c:pt>
                <c:pt idx="214">
                  <c:v>1190</c:v>
                </c:pt>
                <c:pt idx="215">
                  <c:v>1190</c:v>
                </c:pt>
                <c:pt idx="216">
                  <c:v>1200</c:v>
                </c:pt>
                <c:pt idx="217">
                  <c:v>1200</c:v>
                </c:pt>
                <c:pt idx="218">
                  <c:v>1210</c:v>
                </c:pt>
                <c:pt idx="219">
                  <c:v>1210</c:v>
                </c:pt>
                <c:pt idx="220">
                  <c:v>1220</c:v>
                </c:pt>
                <c:pt idx="221">
                  <c:v>1220</c:v>
                </c:pt>
                <c:pt idx="222">
                  <c:v>1230</c:v>
                </c:pt>
                <c:pt idx="223">
                  <c:v>1230</c:v>
                </c:pt>
                <c:pt idx="224">
                  <c:v>1240</c:v>
                </c:pt>
                <c:pt idx="225">
                  <c:v>1240</c:v>
                </c:pt>
                <c:pt idx="226">
                  <c:v>1250</c:v>
                </c:pt>
                <c:pt idx="227">
                  <c:v>1250</c:v>
                </c:pt>
                <c:pt idx="228">
                  <c:v>1260</c:v>
                </c:pt>
                <c:pt idx="229">
                  <c:v>1260</c:v>
                </c:pt>
                <c:pt idx="230">
                  <c:v>1270</c:v>
                </c:pt>
                <c:pt idx="231">
                  <c:v>1270</c:v>
                </c:pt>
                <c:pt idx="232">
                  <c:v>1280</c:v>
                </c:pt>
                <c:pt idx="233">
                  <c:v>1280</c:v>
                </c:pt>
                <c:pt idx="234">
                  <c:v>1290</c:v>
                </c:pt>
                <c:pt idx="235">
                  <c:v>1290</c:v>
                </c:pt>
                <c:pt idx="236">
                  <c:v>1300</c:v>
                </c:pt>
                <c:pt idx="237">
                  <c:v>1300</c:v>
                </c:pt>
                <c:pt idx="238">
                  <c:v>1310</c:v>
                </c:pt>
                <c:pt idx="239">
                  <c:v>1310</c:v>
                </c:pt>
                <c:pt idx="240">
                  <c:v>1320</c:v>
                </c:pt>
                <c:pt idx="241">
                  <c:v>1320</c:v>
                </c:pt>
                <c:pt idx="242">
                  <c:v>1330</c:v>
                </c:pt>
                <c:pt idx="243">
                  <c:v>1330</c:v>
                </c:pt>
                <c:pt idx="244">
                  <c:v>1340</c:v>
                </c:pt>
                <c:pt idx="245">
                  <c:v>1340</c:v>
                </c:pt>
                <c:pt idx="246">
                  <c:v>1350</c:v>
                </c:pt>
                <c:pt idx="247">
                  <c:v>1350</c:v>
                </c:pt>
                <c:pt idx="248">
                  <c:v>1360</c:v>
                </c:pt>
                <c:pt idx="249">
                  <c:v>1360</c:v>
                </c:pt>
                <c:pt idx="250">
                  <c:v>1370</c:v>
                </c:pt>
                <c:pt idx="251">
                  <c:v>1370</c:v>
                </c:pt>
                <c:pt idx="252">
                  <c:v>1380</c:v>
                </c:pt>
                <c:pt idx="253">
                  <c:v>1380</c:v>
                </c:pt>
                <c:pt idx="254">
                  <c:v>1390</c:v>
                </c:pt>
                <c:pt idx="255">
                  <c:v>1390</c:v>
                </c:pt>
                <c:pt idx="256">
                  <c:v>1400</c:v>
                </c:pt>
                <c:pt idx="257">
                  <c:v>1400</c:v>
                </c:pt>
                <c:pt idx="258">
                  <c:v>1410</c:v>
                </c:pt>
                <c:pt idx="259">
                  <c:v>1410</c:v>
                </c:pt>
                <c:pt idx="260">
                  <c:v>1420</c:v>
                </c:pt>
                <c:pt idx="261">
                  <c:v>1420</c:v>
                </c:pt>
                <c:pt idx="262">
                  <c:v>1430</c:v>
                </c:pt>
                <c:pt idx="263">
                  <c:v>1430</c:v>
                </c:pt>
                <c:pt idx="264">
                  <c:v>1440</c:v>
                </c:pt>
                <c:pt idx="265">
                  <c:v>1440</c:v>
                </c:pt>
                <c:pt idx="266">
                  <c:v>1450</c:v>
                </c:pt>
                <c:pt idx="267">
                  <c:v>1450</c:v>
                </c:pt>
                <c:pt idx="268">
                  <c:v>1460</c:v>
                </c:pt>
                <c:pt idx="269">
                  <c:v>1460</c:v>
                </c:pt>
                <c:pt idx="270">
                  <c:v>1470</c:v>
                </c:pt>
                <c:pt idx="271">
                  <c:v>1470</c:v>
                </c:pt>
                <c:pt idx="272">
                  <c:v>1480</c:v>
                </c:pt>
                <c:pt idx="273">
                  <c:v>1480</c:v>
                </c:pt>
                <c:pt idx="274">
                  <c:v>1490</c:v>
                </c:pt>
                <c:pt idx="275">
                  <c:v>1490</c:v>
                </c:pt>
                <c:pt idx="276">
                  <c:v>1500</c:v>
                </c:pt>
                <c:pt idx="277">
                  <c:v>1500</c:v>
                </c:pt>
                <c:pt idx="278">
                  <c:v>1510</c:v>
                </c:pt>
                <c:pt idx="279">
                  <c:v>1510</c:v>
                </c:pt>
                <c:pt idx="280">
                  <c:v>1520</c:v>
                </c:pt>
                <c:pt idx="281">
                  <c:v>1520</c:v>
                </c:pt>
                <c:pt idx="282">
                  <c:v>1530</c:v>
                </c:pt>
                <c:pt idx="283">
                  <c:v>1530</c:v>
                </c:pt>
                <c:pt idx="284">
                  <c:v>1540</c:v>
                </c:pt>
                <c:pt idx="285">
                  <c:v>1540</c:v>
                </c:pt>
                <c:pt idx="286">
                  <c:v>1550</c:v>
                </c:pt>
                <c:pt idx="287">
                  <c:v>1550</c:v>
                </c:pt>
                <c:pt idx="288">
                  <c:v>1560</c:v>
                </c:pt>
                <c:pt idx="289">
                  <c:v>1560</c:v>
                </c:pt>
                <c:pt idx="290">
                  <c:v>1570</c:v>
                </c:pt>
                <c:pt idx="291">
                  <c:v>1570</c:v>
                </c:pt>
                <c:pt idx="292">
                  <c:v>1580</c:v>
                </c:pt>
                <c:pt idx="293">
                  <c:v>1580</c:v>
                </c:pt>
                <c:pt idx="294">
                  <c:v>1590</c:v>
                </c:pt>
                <c:pt idx="295">
                  <c:v>1590</c:v>
                </c:pt>
                <c:pt idx="296">
                  <c:v>1600</c:v>
                </c:pt>
                <c:pt idx="297">
                  <c:v>1600</c:v>
                </c:pt>
                <c:pt idx="298">
                  <c:v>1610</c:v>
                </c:pt>
                <c:pt idx="299">
                  <c:v>1610</c:v>
                </c:pt>
                <c:pt idx="300">
                  <c:v>1620</c:v>
                </c:pt>
                <c:pt idx="301">
                  <c:v>1620</c:v>
                </c:pt>
                <c:pt idx="302">
                  <c:v>1630</c:v>
                </c:pt>
                <c:pt idx="303">
                  <c:v>1630</c:v>
                </c:pt>
                <c:pt idx="304">
                  <c:v>1640</c:v>
                </c:pt>
                <c:pt idx="305">
                  <c:v>1640</c:v>
                </c:pt>
                <c:pt idx="306">
                  <c:v>1650</c:v>
                </c:pt>
                <c:pt idx="307">
                  <c:v>1650</c:v>
                </c:pt>
                <c:pt idx="308">
                  <c:v>1660</c:v>
                </c:pt>
                <c:pt idx="309">
                  <c:v>1660</c:v>
                </c:pt>
                <c:pt idx="310">
                  <c:v>1670</c:v>
                </c:pt>
                <c:pt idx="311">
                  <c:v>1670</c:v>
                </c:pt>
                <c:pt idx="312">
                  <c:v>1680</c:v>
                </c:pt>
                <c:pt idx="313">
                  <c:v>1680</c:v>
                </c:pt>
                <c:pt idx="314">
                  <c:v>1690</c:v>
                </c:pt>
                <c:pt idx="315">
                  <c:v>1690</c:v>
                </c:pt>
                <c:pt idx="316">
                  <c:v>1700</c:v>
                </c:pt>
                <c:pt idx="317">
                  <c:v>1700</c:v>
                </c:pt>
                <c:pt idx="318">
                  <c:v>1710</c:v>
                </c:pt>
                <c:pt idx="319">
                  <c:v>1710</c:v>
                </c:pt>
                <c:pt idx="320">
                  <c:v>1720</c:v>
                </c:pt>
                <c:pt idx="321">
                  <c:v>1720</c:v>
                </c:pt>
                <c:pt idx="322">
                  <c:v>1730</c:v>
                </c:pt>
                <c:pt idx="323">
                  <c:v>1730</c:v>
                </c:pt>
                <c:pt idx="324">
                  <c:v>1740</c:v>
                </c:pt>
                <c:pt idx="325">
                  <c:v>1740</c:v>
                </c:pt>
                <c:pt idx="326">
                  <c:v>1750</c:v>
                </c:pt>
                <c:pt idx="327">
                  <c:v>1750</c:v>
                </c:pt>
                <c:pt idx="328">
                  <c:v>1760</c:v>
                </c:pt>
                <c:pt idx="329">
                  <c:v>1760</c:v>
                </c:pt>
                <c:pt idx="330">
                  <c:v>1770</c:v>
                </c:pt>
                <c:pt idx="331">
                  <c:v>1770</c:v>
                </c:pt>
                <c:pt idx="332">
                  <c:v>1780</c:v>
                </c:pt>
                <c:pt idx="333">
                  <c:v>1780</c:v>
                </c:pt>
                <c:pt idx="334">
                  <c:v>1790</c:v>
                </c:pt>
                <c:pt idx="335">
                  <c:v>1790</c:v>
                </c:pt>
                <c:pt idx="336">
                  <c:v>1800</c:v>
                </c:pt>
                <c:pt idx="337">
                  <c:v>1800</c:v>
                </c:pt>
                <c:pt idx="338">
                  <c:v>1810</c:v>
                </c:pt>
                <c:pt idx="339">
                  <c:v>1810</c:v>
                </c:pt>
                <c:pt idx="340">
                  <c:v>1820</c:v>
                </c:pt>
                <c:pt idx="341">
                  <c:v>1820</c:v>
                </c:pt>
                <c:pt idx="342">
                  <c:v>1830</c:v>
                </c:pt>
                <c:pt idx="343">
                  <c:v>1830</c:v>
                </c:pt>
                <c:pt idx="344">
                  <c:v>1840</c:v>
                </c:pt>
                <c:pt idx="345">
                  <c:v>1840</c:v>
                </c:pt>
                <c:pt idx="346">
                  <c:v>1850</c:v>
                </c:pt>
                <c:pt idx="347">
                  <c:v>1850</c:v>
                </c:pt>
                <c:pt idx="348">
                  <c:v>1860</c:v>
                </c:pt>
                <c:pt idx="349">
                  <c:v>1860</c:v>
                </c:pt>
                <c:pt idx="350">
                  <c:v>1870</c:v>
                </c:pt>
                <c:pt idx="351">
                  <c:v>1870</c:v>
                </c:pt>
                <c:pt idx="352">
                  <c:v>1880</c:v>
                </c:pt>
                <c:pt idx="353">
                  <c:v>1880</c:v>
                </c:pt>
                <c:pt idx="354">
                  <c:v>1890</c:v>
                </c:pt>
                <c:pt idx="355">
                  <c:v>1890</c:v>
                </c:pt>
                <c:pt idx="356">
                  <c:v>1900</c:v>
                </c:pt>
                <c:pt idx="357">
                  <c:v>1900</c:v>
                </c:pt>
                <c:pt idx="358">
                  <c:v>1910</c:v>
                </c:pt>
                <c:pt idx="359">
                  <c:v>1910</c:v>
                </c:pt>
                <c:pt idx="360">
                  <c:v>1920</c:v>
                </c:pt>
                <c:pt idx="361">
                  <c:v>1920</c:v>
                </c:pt>
                <c:pt idx="362">
                  <c:v>1930</c:v>
                </c:pt>
                <c:pt idx="363">
                  <c:v>1930</c:v>
                </c:pt>
                <c:pt idx="364">
                  <c:v>1940</c:v>
                </c:pt>
                <c:pt idx="365">
                  <c:v>1940</c:v>
                </c:pt>
                <c:pt idx="366">
                  <c:v>1950</c:v>
                </c:pt>
                <c:pt idx="367">
                  <c:v>1950</c:v>
                </c:pt>
                <c:pt idx="368">
                  <c:v>1960</c:v>
                </c:pt>
                <c:pt idx="369">
                  <c:v>1960</c:v>
                </c:pt>
                <c:pt idx="370">
                  <c:v>1970</c:v>
                </c:pt>
                <c:pt idx="371">
                  <c:v>1970</c:v>
                </c:pt>
                <c:pt idx="372">
                  <c:v>1980</c:v>
                </c:pt>
                <c:pt idx="373">
                  <c:v>1980</c:v>
                </c:pt>
                <c:pt idx="374">
                  <c:v>1990</c:v>
                </c:pt>
                <c:pt idx="375">
                  <c:v>1990</c:v>
                </c:pt>
                <c:pt idx="376">
                  <c:v>2000</c:v>
                </c:pt>
                <c:pt idx="377">
                  <c:v>2000</c:v>
                </c:pt>
                <c:pt idx="378">
                  <c:v>2010</c:v>
                </c:pt>
                <c:pt idx="379">
                  <c:v>2010</c:v>
                </c:pt>
                <c:pt idx="380">
                  <c:v>2020</c:v>
                </c:pt>
                <c:pt idx="381">
                  <c:v>2020</c:v>
                </c:pt>
                <c:pt idx="382">
                  <c:v>2030</c:v>
                </c:pt>
                <c:pt idx="383">
                  <c:v>2030</c:v>
                </c:pt>
                <c:pt idx="384">
                  <c:v>2040</c:v>
                </c:pt>
                <c:pt idx="385">
                  <c:v>2040</c:v>
                </c:pt>
                <c:pt idx="386">
                  <c:v>2050</c:v>
                </c:pt>
                <c:pt idx="387">
                  <c:v>2050</c:v>
                </c:pt>
                <c:pt idx="388">
                  <c:v>2060</c:v>
                </c:pt>
                <c:pt idx="389">
                  <c:v>2060</c:v>
                </c:pt>
                <c:pt idx="390">
                  <c:v>2070</c:v>
                </c:pt>
                <c:pt idx="391">
                  <c:v>2070</c:v>
                </c:pt>
                <c:pt idx="392">
                  <c:v>2080</c:v>
                </c:pt>
                <c:pt idx="393">
                  <c:v>2080</c:v>
                </c:pt>
                <c:pt idx="394">
                  <c:v>2090</c:v>
                </c:pt>
                <c:pt idx="395">
                  <c:v>2090</c:v>
                </c:pt>
                <c:pt idx="396">
                  <c:v>2100</c:v>
                </c:pt>
                <c:pt idx="397">
                  <c:v>2100</c:v>
                </c:pt>
                <c:pt idx="398">
                  <c:v>2110</c:v>
                </c:pt>
                <c:pt idx="399">
                  <c:v>2110</c:v>
                </c:pt>
                <c:pt idx="400">
                  <c:v>2120</c:v>
                </c:pt>
                <c:pt idx="401">
                  <c:v>2120</c:v>
                </c:pt>
                <c:pt idx="402">
                  <c:v>2130</c:v>
                </c:pt>
                <c:pt idx="403">
                  <c:v>2130</c:v>
                </c:pt>
                <c:pt idx="404">
                  <c:v>2140</c:v>
                </c:pt>
                <c:pt idx="405">
                  <c:v>2140</c:v>
                </c:pt>
                <c:pt idx="406">
                  <c:v>2150</c:v>
                </c:pt>
                <c:pt idx="407">
                  <c:v>2150</c:v>
                </c:pt>
                <c:pt idx="408">
                  <c:v>2160</c:v>
                </c:pt>
                <c:pt idx="409">
                  <c:v>2160</c:v>
                </c:pt>
                <c:pt idx="410">
                  <c:v>2170</c:v>
                </c:pt>
                <c:pt idx="411">
                  <c:v>2170</c:v>
                </c:pt>
                <c:pt idx="412">
                  <c:v>2180</c:v>
                </c:pt>
                <c:pt idx="413">
                  <c:v>2180</c:v>
                </c:pt>
                <c:pt idx="414">
                  <c:v>2190</c:v>
                </c:pt>
                <c:pt idx="415">
                  <c:v>2190</c:v>
                </c:pt>
                <c:pt idx="416">
                  <c:v>2200</c:v>
                </c:pt>
                <c:pt idx="417">
                  <c:v>2200</c:v>
                </c:pt>
                <c:pt idx="418">
                  <c:v>2210</c:v>
                </c:pt>
                <c:pt idx="419">
                  <c:v>2210</c:v>
                </c:pt>
                <c:pt idx="420">
                  <c:v>2220</c:v>
                </c:pt>
                <c:pt idx="421">
                  <c:v>2220</c:v>
                </c:pt>
                <c:pt idx="422">
                  <c:v>2230</c:v>
                </c:pt>
                <c:pt idx="423">
                  <c:v>2230</c:v>
                </c:pt>
                <c:pt idx="424">
                  <c:v>2240</c:v>
                </c:pt>
                <c:pt idx="425">
                  <c:v>2240</c:v>
                </c:pt>
                <c:pt idx="426">
                  <c:v>2250</c:v>
                </c:pt>
                <c:pt idx="427">
                  <c:v>2250</c:v>
                </c:pt>
                <c:pt idx="428">
                  <c:v>2260</c:v>
                </c:pt>
                <c:pt idx="429">
                  <c:v>2260</c:v>
                </c:pt>
                <c:pt idx="430">
                  <c:v>2270</c:v>
                </c:pt>
                <c:pt idx="431">
                  <c:v>2270</c:v>
                </c:pt>
                <c:pt idx="432">
                  <c:v>2280</c:v>
                </c:pt>
                <c:pt idx="433">
                  <c:v>2280</c:v>
                </c:pt>
                <c:pt idx="434">
                  <c:v>2290</c:v>
                </c:pt>
                <c:pt idx="435">
                  <c:v>2290</c:v>
                </c:pt>
                <c:pt idx="436">
                  <c:v>2300</c:v>
                </c:pt>
                <c:pt idx="437">
                  <c:v>2300</c:v>
                </c:pt>
                <c:pt idx="438">
                  <c:v>2310</c:v>
                </c:pt>
                <c:pt idx="439">
                  <c:v>2310</c:v>
                </c:pt>
                <c:pt idx="440">
                  <c:v>2320</c:v>
                </c:pt>
                <c:pt idx="441">
                  <c:v>2320</c:v>
                </c:pt>
                <c:pt idx="442">
                  <c:v>2330</c:v>
                </c:pt>
                <c:pt idx="443">
                  <c:v>2330</c:v>
                </c:pt>
                <c:pt idx="444">
                  <c:v>2340</c:v>
                </c:pt>
                <c:pt idx="445">
                  <c:v>2340</c:v>
                </c:pt>
                <c:pt idx="446">
                  <c:v>2350</c:v>
                </c:pt>
                <c:pt idx="447">
                  <c:v>2350</c:v>
                </c:pt>
                <c:pt idx="448">
                  <c:v>2360</c:v>
                </c:pt>
                <c:pt idx="449">
                  <c:v>2360</c:v>
                </c:pt>
                <c:pt idx="450">
                  <c:v>2370</c:v>
                </c:pt>
                <c:pt idx="451">
                  <c:v>2370</c:v>
                </c:pt>
                <c:pt idx="452">
                  <c:v>2380</c:v>
                </c:pt>
                <c:pt idx="453">
                  <c:v>2380</c:v>
                </c:pt>
                <c:pt idx="454">
                  <c:v>2390</c:v>
                </c:pt>
                <c:pt idx="455">
                  <c:v>2390</c:v>
                </c:pt>
                <c:pt idx="456">
                  <c:v>2400</c:v>
                </c:pt>
                <c:pt idx="457">
                  <c:v>2400</c:v>
                </c:pt>
                <c:pt idx="458">
                  <c:v>2410</c:v>
                </c:pt>
                <c:pt idx="459">
                  <c:v>2410</c:v>
                </c:pt>
                <c:pt idx="460">
                  <c:v>2420</c:v>
                </c:pt>
                <c:pt idx="461">
                  <c:v>2420</c:v>
                </c:pt>
                <c:pt idx="462">
                  <c:v>2430</c:v>
                </c:pt>
                <c:pt idx="463">
                  <c:v>2430</c:v>
                </c:pt>
                <c:pt idx="464">
                  <c:v>2440</c:v>
                </c:pt>
                <c:pt idx="465">
                  <c:v>2440</c:v>
                </c:pt>
                <c:pt idx="466">
                  <c:v>2450</c:v>
                </c:pt>
                <c:pt idx="467">
                  <c:v>2450</c:v>
                </c:pt>
                <c:pt idx="468">
                  <c:v>2460</c:v>
                </c:pt>
                <c:pt idx="469">
                  <c:v>2460</c:v>
                </c:pt>
                <c:pt idx="470">
                  <c:v>2470</c:v>
                </c:pt>
                <c:pt idx="471">
                  <c:v>2470</c:v>
                </c:pt>
                <c:pt idx="472">
                  <c:v>2480</c:v>
                </c:pt>
                <c:pt idx="473">
                  <c:v>2480</c:v>
                </c:pt>
                <c:pt idx="474">
                  <c:v>2490</c:v>
                </c:pt>
                <c:pt idx="475">
                  <c:v>2490</c:v>
                </c:pt>
                <c:pt idx="476">
                  <c:v>2500</c:v>
                </c:pt>
                <c:pt idx="477">
                  <c:v>2500</c:v>
                </c:pt>
                <c:pt idx="478">
                  <c:v>2510</c:v>
                </c:pt>
                <c:pt idx="479">
                  <c:v>2510</c:v>
                </c:pt>
                <c:pt idx="480">
                  <c:v>2520</c:v>
                </c:pt>
                <c:pt idx="481">
                  <c:v>2520</c:v>
                </c:pt>
                <c:pt idx="482">
                  <c:v>2530</c:v>
                </c:pt>
                <c:pt idx="483">
                  <c:v>2530</c:v>
                </c:pt>
                <c:pt idx="484">
                  <c:v>2540</c:v>
                </c:pt>
                <c:pt idx="485">
                  <c:v>2540</c:v>
                </c:pt>
                <c:pt idx="486">
                  <c:v>2550</c:v>
                </c:pt>
                <c:pt idx="487">
                  <c:v>2550</c:v>
                </c:pt>
                <c:pt idx="488">
                  <c:v>2560</c:v>
                </c:pt>
                <c:pt idx="489">
                  <c:v>2560</c:v>
                </c:pt>
                <c:pt idx="490">
                  <c:v>2570</c:v>
                </c:pt>
                <c:pt idx="491">
                  <c:v>2570</c:v>
                </c:pt>
                <c:pt idx="492">
                  <c:v>2580</c:v>
                </c:pt>
                <c:pt idx="493">
                  <c:v>2580</c:v>
                </c:pt>
                <c:pt idx="494">
                  <c:v>2590</c:v>
                </c:pt>
                <c:pt idx="495">
                  <c:v>2590</c:v>
                </c:pt>
                <c:pt idx="496">
                  <c:v>2600</c:v>
                </c:pt>
                <c:pt idx="497">
                  <c:v>2600</c:v>
                </c:pt>
                <c:pt idx="498">
                  <c:v>2610</c:v>
                </c:pt>
                <c:pt idx="499">
                  <c:v>2610</c:v>
                </c:pt>
                <c:pt idx="500">
                  <c:v>2620</c:v>
                </c:pt>
                <c:pt idx="501">
                  <c:v>2620</c:v>
                </c:pt>
                <c:pt idx="502">
                  <c:v>2630</c:v>
                </c:pt>
                <c:pt idx="503">
                  <c:v>2630</c:v>
                </c:pt>
                <c:pt idx="504">
                  <c:v>2640</c:v>
                </c:pt>
                <c:pt idx="505">
                  <c:v>2640</c:v>
                </c:pt>
                <c:pt idx="506">
                  <c:v>2650</c:v>
                </c:pt>
                <c:pt idx="507">
                  <c:v>2650</c:v>
                </c:pt>
                <c:pt idx="508">
                  <c:v>2660</c:v>
                </c:pt>
                <c:pt idx="509">
                  <c:v>2660</c:v>
                </c:pt>
                <c:pt idx="510">
                  <c:v>2670</c:v>
                </c:pt>
                <c:pt idx="511">
                  <c:v>2670</c:v>
                </c:pt>
                <c:pt idx="512">
                  <c:v>2680</c:v>
                </c:pt>
                <c:pt idx="513">
                  <c:v>2680</c:v>
                </c:pt>
                <c:pt idx="514">
                  <c:v>2690</c:v>
                </c:pt>
                <c:pt idx="515">
                  <c:v>2690</c:v>
                </c:pt>
                <c:pt idx="516">
                  <c:v>2700</c:v>
                </c:pt>
                <c:pt idx="517">
                  <c:v>2700</c:v>
                </c:pt>
                <c:pt idx="518">
                  <c:v>2710</c:v>
                </c:pt>
                <c:pt idx="519">
                  <c:v>2710</c:v>
                </c:pt>
                <c:pt idx="520">
                  <c:v>2720</c:v>
                </c:pt>
                <c:pt idx="521">
                  <c:v>2720</c:v>
                </c:pt>
                <c:pt idx="522">
                  <c:v>2730</c:v>
                </c:pt>
                <c:pt idx="523">
                  <c:v>2730</c:v>
                </c:pt>
                <c:pt idx="524">
                  <c:v>2740</c:v>
                </c:pt>
                <c:pt idx="525">
                  <c:v>2740</c:v>
                </c:pt>
                <c:pt idx="526">
                  <c:v>2750</c:v>
                </c:pt>
                <c:pt idx="527">
                  <c:v>2750</c:v>
                </c:pt>
                <c:pt idx="528">
                  <c:v>2760</c:v>
                </c:pt>
                <c:pt idx="529">
                  <c:v>2760</c:v>
                </c:pt>
                <c:pt idx="530">
                  <c:v>2770</c:v>
                </c:pt>
                <c:pt idx="531">
                  <c:v>2770</c:v>
                </c:pt>
                <c:pt idx="532">
                  <c:v>2780</c:v>
                </c:pt>
                <c:pt idx="533">
                  <c:v>2780</c:v>
                </c:pt>
                <c:pt idx="534">
                  <c:v>2790</c:v>
                </c:pt>
                <c:pt idx="535">
                  <c:v>2790</c:v>
                </c:pt>
                <c:pt idx="536">
                  <c:v>2800</c:v>
                </c:pt>
                <c:pt idx="537">
                  <c:v>2800</c:v>
                </c:pt>
                <c:pt idx="538">
                  <c:v>2810</c:v>
                </c:pt>
                <c:pt idx="539">
                  <c:v>2810</c:v>
                </c:pt>
                <c:pt idx="540">
                  <c:v>2820</c:v>
                </c:pt>
                <c:pt idx="541">
                  <c:v>2820</c:v>
                </c:pt>
                <c:pt idx="542">
                  <c:v>2830</c:v>
                </c:pt>
                <c:pt idx="543">
                  <c:v>2830</c:v>
                </c:pt>
                <c:pt idx="544">
                  <c:v>2840</c:v>
                </c:pt>
                <c:pt idx="545">
                  <c:v>2840</c:v>
                </c:pt>
                <c:pt idx="546">
                  <c:v>2850</c:v>
                </c:pt>
                <c:pt idx="547">
                  <c:v>2850</c:v>
                </c:pt>
                <c:pt idx="548">
                  <c:v>2860</c:v>
                </c:pt>
                <c:pt idx="549">
                  <c:v>2860</c:v>
                </c:pt>
                <c:pt idx="550">
                  <c:v>2870</c:v>
                </c:pt>
                <c:pt idx="551">
                  <c:v>2870</c:v>
                </c:pt>
                <c:pt idx="552">
                  <c:v>2880</c:v>
                </c:pt>
                <c:pt idx="553">
                  <c:v>2880</c:v>
                </c:pt>
                <c:pt idx="554">
                  <c:v>2890</c:v>
                </c:pt>
                <c:pt idx="555">
                  <c:v>2890</c:v>
                </c:pt>
                <c:pt idx="556">
                  <c:v>2900</c:v>
                </c:pt>
                <c:pt idx="557">
                  <c:v>2900</c:v>
                </c:pt>
                <c:pt idx="558">
                  <c:v>2910</c:v>
                </c:pt>
                <c:pt idx="559">
                  <c:v>2910</c:v>
                </c:pt>
                <c:pt idx="560">
                  <c:v>2920</c:v>
                </c:pt>
                <c:pt idx="561">
                  <c:v>2920</c:v>
                </c:pt>
                <c:pt idx="562">
                  <c:v>2930</c:v>
                </c:pt>
                <c:pt idx="563">
                  <c:v>2930</c:v>
                </c:pt>
                <c:pt idx="564">
                  <c:v>2940</c:v>
                </c:pt>
                <c:pt idx="565">
                  <c:v>2940</c:v>
                </c:pt>
                <c:pt idx="566">
                  <c:v>2950</c:v>
                </c:pt>
                <c:pt idx="567">
                  <c:v>2950</c:v>
                </c:pt>
                <c:pt idx="568">
                  <c:v>2960</c:v>
                </c:pt>
                <c:pt idx="569">
                  <c:v>2960</c:v>
                </c:pt>
                <c:pt idx="570">
                  <c:v>2970</c:v>
                </c:pt>
                <c:pt idx="571">
                  <c:v>2970</c:v>
                </c:pt>
                <c:pt idx="572">
                  <c:v>2980</c:v>
                </c:pt>
                <c:pt idx="573">
                  <c:v>2980</c:v>
                </c:pt>
                <c:pt idx="574">
                  <c:v>2990</c:v>
                </c:pt>
                <c:pt idx="575">
                  <c:v>2990</c:v>
                </c:pt>
                <c:pt idx="576">
                  <c:v>3000</c:v>
                </c:pt>
                <c:pt idx="577">
                  <c:v>3000</c:v>
                </c:pt>
                <c:pt idx="578">
                  <c:v>3010</c:v>
                </c:pt>
                <c:pt idx="579">
                  <c:v>3010</c:v>
                </c:pt>
                <c:pt idx="580">
                  <c:v>3020</c:v>
                </c:pt>
                <c:pt idx="581">
                  <c:v>3020</c:v>
                </c:pt>
                <c:pt idx="582">
                  <c:v>3030</c:v>
                </c:pt>
                <c:pt idx="583">
                  <c:v>3030</c:v>
                </c:pt>
                <c:pt idx="584">
                  <c:v>3040</c:v>
                </c:pt>
                <c:pt idx="585">
                  <c:v>3040</c:v>
                </c:pt>
                <c:pt idx="586">
                  <c:v>3050</c:v>
                </c:pt>
                <c:pt idx="587">
                  <c:v>3050</c:v>
                </c:pt>
                <c:pt idx="588">
                  <c:v>3060</c:v>
                </c:pt>
                <c:pt idx="589">
                  <c:v>3060</c:v>
                </c:pt>
                <c:pt idx="590">
                  <c:v>3070</c:v>
                </c:pt>
                <c:pt idx="591">
                  <c:v>3070</c:v>
                </c:pt>
                <c:pt idx="592">
                  <c:v>3080</c:v>
                </c:pt>
                <c:pt idx="593">
                  <c:v>3080</c:v>
                </c:pt>
                <c:pt idx="594">
                  <c:v>3090</c:v>
                </c:pt>
                <c:pt idx="595">
                  <c:v>3090</c:v>
                </c:pt>
                <c:pt idx="596">
                  <c:v>3100</c:v>
                </c:pt>
                <c:pt idx="597">
                  <c:v>3100</c:v>
                </c:pt>
                <c:pt idx="598">
                  <c:v>3110</c:v>
                </c:pt>
                <c:pt idx="599">
                  <c:v>3110</c:v>
                </c:pt>
                <c:pt idx="600">
                  <c:v>3120</c:v>
                </c:pt>
                <c:pt idx="601">
                  <c:v>3120</c:v>
                </c:pt>
                <c:pt idx="602">
                  <c:v>3130</c:v>
                </c:pt>
                <c:pt idx="603">
                  <c:v>3130</c:v>
                </c:pt>
                <c:pt idx="604">
                  <c:v>3140</c:v>
                </c:pt>
                <c:pt idx="605">
                  <c:v>3140</c:v>
                </c:pt>
                <c:pt idx="606">
                  <c:v>3150</c:v>
                </c:pt>
                <c:pt idx="607">
                  <c:v>3150</c:v>
                </c:pt>
                <c:pt idx="608">
                  <c:v>3160</c:v>
                </c:pt>
                <c:pt idx="609">
                  <c:v>3160</c:v>
                </c:pt>
                <c:pt idx="610">
                  <c:v>3170</c:v>
                </c:pt>
                <c:pt idx="611">
                  <c:v>3170</c:v>
                </c:pt>
                <c:pt idx="612">
                  <c:v>3180</c:v>
                </c:pt>
                <c:pt idx="613">
                  <c:v>3180</c:v>
                </c:pt>
                <c:pt idx="614">
                  <c:v>3190</c:v>
                </c:pt>
                <c:pt idx="615">
                  <c:v>3190</c:v>
                </c:pt>
                <c:pt idx="616">
                  <c:v>3200</c:v>
                </c:pt>
                <c:pt idx="617">
                  <c:v>3200</c:v>
                </c:pt>
                <c:pt idx="618">
                  <c:v>3210</c:v>
                </c:pt>
                <c:pt idx="619">
                  <c:v>3210</c:v>
                </c:pt>
                <c:pt idx="620">
                  <c:v>3220</c:v>
                </c:pt>
                <c:pt idx="621">
                  <c:v>3220</c:v>
                </c:pt>
                <c:pt idx="622">
                  <c:v>3230</c:v>
                </c:pt>
                <c:pt idx="623">
                  <c:v>3230</c:v>
                </c:pt>
                <c:pt idx="624">
                  <c:v>3240</c:v>
                </c:pt>
                <c:pt idx="625">
                  <c:v>3240</c:v>
                </c:pt>
                <c:pt idx="626">
                  <c:v>3250</c:v>
                </c:pt>
                <c:pt idx="627">
                  <c:v>3250</c:v>
                </c:pt>
                <c:pt idx="628">
                  <c:v>3260</c:v>
                </c:pt>
                <c:pt idx="629">
                  <c:v>3260</c:v>
                </c:pt>
                <c:pt idx="630">
                  <c:v>3270</c:v>
                </c:pt>
                <c:pt idx="631">
                  <c:v>3270</c:v>
                </c:pt>
                <c:pt idx="632">
                  <c:v>3280</c:v>
                </c:pt>
                <c:pt idx="633">
                  <c:v>3280</c:v>
                </c:pt>
                <c:pt idx="634">
                  <c:v>3290</c:v>
                </c:pt>
                <c:pt idx="635">
                  <c:v>3290</c:v>
                </c:pt>
                <c:pt idx="636">
                  <c:v>3300</c:v>
                </c:pt>
                <c:pt idx="637">
                  <c:v>3300</c:v>
                </c:pt>
                <c:pt idx="638">
                  <c:v>3310</c:v>
                </c:pt>
                <c:pt idx="639">
                  <c:v>3310</c:v>
                </c:pt>
                <c:pt idx="640">
                  <c:v>3320</c:v>
                </c:pt>
                <c:pt idx="641">
                  <c:v>3320</c:v>
                </c:pt>
                <c:pt idx="642">
                  <c:v>3330</c:v>
                </c:pt>
                <c:pt idx="643">
                  <c:v>3330</c:v>
                </c:pt>
                <c:pt idx="644">
                  <c:v>3340</c:v>
                </c:pt>
                <c:pt idx="645">
                  <c:v>3340</c:v>
                </c:pt>
                <c:pt idx="646">
                  <c:v>3350</c:v>
                </c:pt>
                <c:pt idx="647">
                  <c:v>3350</c:v>
                </c:pt>
                <c:pt idx="648">
                  <c:v>3360</c:v>
                </c:pt>
                <c:pt idx="649">
                  <c:v>3360</c:v>
                </c:pt>
                <c:pt idx="650">
                  <c:v>3370</c:v>
                </c:pt>
                <c:pt idx="651">
                  <c:v>3370</c:v>
                </c:pt>
                <c:pt idx="652">
                  <c:v>3380</c:v>
                </c:pt>
                <c:pt idx="653">
                  <c:v>3380</c:v>
                </c:pt>
                <c:pt idx="654">
                  <c:v>3390</c:v>
                </c:pt>
                <c:pt idx="655">
                  <c:v>3390</c:v>
                </c:pt>
                <c:pt idx="656">
                  <c:v>3400</c:v>
                </c:pt>
                <c:pt idx="657">
                  <c:v>3400</c:v>
                </c:pt>
                <c:pt idx="658">
                  <c:v>3410</c:v>
                </c:pt>
                <c:pt idx="659">
                  <c:v>3410</c:v>
                </c:pt>
                <c:pt idx="660">
                  <c:v>3420</c:v>
                </c:pt>
                <c:pt idx="661">
                  <c:v>3420</c:v>
                </c:pt>
                <c:pt idx="662">
                  <c:v>3430</c:v>
                </c:pt>
                <c:pt idx="663">
                  <c:v>3430</c:v>
                </c:pt>
                <c:pt idx="664">
                  <c:v>3440</c:v>
                </c:pt>
                <c:pt idx="665">
                  <c:v>3440</c:v>
                </c:pt>
                <c:pt idx="666">
                  <c:v>3450</c:v>
                </c:pt>
                <c:pt idx="667">
                  <c:v>3450</c:v>
                </c:pt>
                <c:pt idx="668">
                  <c:v>3460</c:v>
                </c:pt>
                <c:pt idx="669">
                  <c:v>3460</c:v>
                </c:pt>
                <c:pt idx="670">
                  <c:v>3470</c:v>
                </c:pt>
                <c:pt idx="671">
                  <c:v>3470</c:v>
                </c:pt>
                <c:pt idx="672">
                  <c:v>3480</c:v>
                </c:pt>
                <c:pt idx="673">
                  <c:v>3480</c:v>
                </c:pt>
                <c:pt idx="674">
                  <c:v>3490</c:v>
                </c:pt>
                <c:pt idx="675">
                  <c:v>3490</c:v>
                </c:pt>
                <c:pt idx="676">
                  <c:v>3500</c:v>
                </c:pt>
                <c:pt idx="677">
                  <c:v>3500</c:v>
                </c:pt>
                <c:pt idx="678">
                  <c:v>3510</c:v>
                </c:pt>
                <c:pt idx="679">
                  <c:v>3510</c:v>
                </c:pt>
                <c:pt idx="680">
                  <c:v>3520</c:v>
                </c:pt>
                <c:pt idx="681">
                  <c:v>3520</c:v>
                </c:pt>
                <c:pt idx="682">
                  <c:v>3530</c:v>
                </c:pt>
                <c:pt idx="683">
                  <c:v>3530</c:v>
                </c:pt>
                <c:pt idx="684">
                  <c:v>3540</c:v>
                </c:pt>
                <c:pt idx="685">
                  <c:v>3540</c:v>
                </c:pt>
                <c:pt idx="686">
                  <c:v>3550</c:v>
                </c:pt>
                <c:pt idx="687">
                  <c:v>3550</c:v>
                </c:pt>
                <c:pt idx="688">
                  <c:v>3560</c:v>
                </c:pt>
                <c:pt idx="689">
                  <c:v>3560</c:v>
                </c:pt>
                <c:pt idx="690">
                  <c:v>3570</c:v>
                </c:pt>
                <c:pt idx="691">
                  <c:v>3570</c:v>
                </c:pt>
                <c:pt idx="692">
                  <c:v>3580</c:v>
                </c:pt>
                <c:pt idx="693">
                  <c:v>3580</c:v>
                </c:pt>
                <c:pt idx="694">
                  <c:v>3590</c:v>
                </c:pt>
                <c:pt idx="695">
                  <c:v>3590</c:v>
                </c:pt>
                <c:pt idx="696">
                  <c:v>3600</c:v>
                </c:pt>
                <c:pt idx="697">
                  <c:v>3600</c:v>
                </c:pt>
                <c:pt idx="698">
                  <c:v>3610</c:v>
                </c:pt>
                <c:pt idx="699">
                  <c:v>3610</c:v>
                </c:pt>
                <c:pt idx="700">
                  <c:v>3620</c:v>
                </c:pt>
                <c:pt idx="701">
                  <c:v>3620</c:v>
                </c:pt>
                <c:pt idx="702">
                  <c:v>3630</c:v>
                </c:pt>
                <c:pt idx="703">
                  <c:v>3630</c:v>
                </c:pt>
                <c:pt idx="704">
                  <c:v>3640</c:v>
                </c:pt>
                <c:pt idx="705">
                  <c:v>3640</c:v>
                </c:pt>
                <c:pt idx="706">
                  <c:v>3650</c:v>
                </c:pt>
                <c:pt idx="707">
                  <c:v>3650</c:v>
                </c:pt>
                <c:pt idx="708">
                  <c:v>3660</c:v>
                </c:pt>
                <c:pt idx="709">
                  <c:v>3660</c:v>
                </c:pt>
                <c:pt idx="710">
                  <c:v>3670</c:v>
                </c:pt>
                <c:pt idx="711">
                  <c:v>3670</c:v>
                </c:pt>
                <c:pt idx="712">
                  <c:v>3680</c:v>
                </c:pt>
                <c:pt idx="713">
                  <c:v>3680</c:v>
                </c:pt>
                <c:pt idx="714">
                  <c:v>3690</c:v>
                </c:pt>
                <c:pt idx="715">
                  <c:v>3690</c:v>
                </c:pt>
                <c:pt idx="716">
                  <c:v>3700</c:v>
                </c:pt>
                <c:pt idx="717">
                  <c:v>3700</c:v>
                </c:pt>
                <c:pt idx="718">
                  <c:v>3710</c:v>
                </c:pt>
                <c:pt idx="719">
                  <c:v>3710</c:v>
                </c:pt>
                <c:pt idx="720">
                  <c:v>3720</c:v>
                </c:pt>
                <c:pt idx="721">
                  <c:v>3720</c:v>
                </c:pt>
                <c:pt idx="722">
                  <c:v>3730</c:v>
                </c:pt>
                <c:pt idx="723">
                  <c:v>3730</c:v>
                </c:pt>
                <c:pt idx="724">
                  <c:v>3740</c:v>
                </c:pt>
                <c:pt idx="725">
                  <c:v>3740</c:v>
                </c:pt>
                <c:pt idx="726">
                  <c:v>3750</c:v>
                </c:pt>
                <c:pt idx="727">
                  <c:v>3750</c:v>
                </c:pt>
                <c:pt idx="728">
                  <c:v>3760</c:v>
                </c:pt>
                <c:pt idx="729">
                  <c:v>3760</c:v>
                </c:pt>
                <c:pt idx="730">
                  <c:v>3770</c:v>
                </c:pt>
                <c:pt idx="731">
                  <c:v>3770</c:v>
                </c:pt>
                <c:pt idx="732">
                  <c:v>3780</c:v>
                </c:pt>
                <c:pt idx="733">
                  <c:v>3780</c:v>
                </c:pt>
                <c:pt idx="734">
                  <c:v>3790</c:v>
                </c:pt>
                <c:pt idx="735">
                  <c:v>3790</c:v>
                </c:pt>
                <c:pt idx="736">
                  <c:v>3800</c:v>
                </c:pt>
                <c:pt idx="737">
                  <c:v>3800</c:v>
                </c:pt>
                <c:pt idx="738">
                  <c:v>3810</c:v>
                </c:pt>
                <c:pt idx="739">
                  <c:v>3810</c:v>
                </c:pt>
                <c:pt idx="740">
                  <c:v>3820</c:v>
                </c:pt>
                <c:pt idx="741">
                  <c:v>3820</c:v>
                </c:pt>
                <c:pt idx="742">
                  <c:v>3830</c:v>
                </c:pt>
                <c:pt idx="743">
                  <c:v>3830</c:v>
                </c:pt>
                <c:pt idx="744">
                  <c:v>3840</c:v>
                </c:pt>
                <c:pt idx="745">
                  <c:v>3840</c:v>
                </c:pt>
                <c:pt idx="746">
                  <c:v>3850</c:v>
                </c:pt>
                <c:pt idx="747">
                  <c:v>3850</c:v>
                </c:pt>
                <c:pt idx="748">
                  <c:v>3860</c:v>
                </c:pt>
                <c:pt idx="749">
                  <c:v>3860</c:v>
                </c:pt>
                <c:pt idx="750">
                  <c:v>3870</c:v>
                </c:pt>
                <c:pt idx="751">
                  <c:v>3870</c:v>
                </c:pt>
                <c:pt idx="752">
                  <c:v>3880</c:v>
                </c:pt>
                <c:pt idx="753">
                  <c:v>3880</c:v>
                </c:pt>
                <c:pt idx="754">
                  <c:v>3890</c:v>
                </c:pt>
                <c:pt idx="755">
                  <c:v>3890</c:v>
                </c:pt>
                <c:pt idx="756">
                  <c:v>3900</c:v>
                </c:pt>
                <c:pt idx="757">
                  <c:v>3900</c:v>
                </c:pt>
                <c:pt idx="758">
                  <c:v>3910</c:v>
                </c:pt>
                <c:pt idx="759">
                  <c:v>3910</c:v>
                </c:pt>
                <c:pt idx="760">
                  <c:v>3920</c:v>
                </c:pt>
                <c:pt idx="761">
                  <c:v>3920</c:v>
                </c:pt>
                <c:pt idx="762">
                  <c:v>3930</c:v>
                </c:pt>
                <c:pt idx="763">
                  <c:v>3930</c:v>
                </c:pt>
                <c:pt idx="764">
                  <c:v>3940</c:v>
                </c:pt>
                <c:pt idx="765">
                  <c:v>3940</c:v>
                </c:pt>
                <c:pt idx="766">
                  <c:v>3950</c:v>
                </c:pt>
                <c:pt idx="767">
                  <c:v>3950</c:v>
                </c:pt>
                <c:pt idx="768">
                  <c:v>3960</c:v>
                </c:pt>
                <c:pt idx="769">
                  <c:v>3960</c:v>
                </c:pt>
                <c:pt idx="770">
                  <c:v>3970</c:v>
                </c:pt>
                <c:pt idx="771">
                  <c:v>3970</c:v>
                </c:pt>
                <c:pt idx="772">
                  <c:v>3980</c:v>
                </c:pt>
                <c:pt idx="773">
                  <c:v>3980</c:v>
                </c:pt>
                <c:pt idx="774">
                  <c:v>3990</c:v>
                </c:pt>
                <c:pt idx="775">
                  <c:v>3990</c:v>
                </c:pt>
                <c:pt idx="776">
                  <c:v>4000</c:v>
                </c:pt>
                <c:pt idx="777">
                  <c:v>4000</c:v>
                </c:pt>
                <c:pt idx="778">
                  <c:v>4010</c:v>
                </c:pt>
                <c:pt idx="779">
                  <c:v>4010</c:v>
                </c:pt>
                <c:pt idx="780">
                  <c:v>4020</c:v>
                </c:pt>
                <c:pt idx="781">
                  <c:v>4020</c:v>
                </c:pt>
                <c:pt idx="782">
                  <c:v>4030</c:v>
                </c:pt>
                <c:pt idx="783">
                  <c:v>4030</c:v>
                </c:pt>
                <c:pt idx="784">
                  <c:v>4040</c:v>
                </c:pt>
                <c:pt idx="785">
                  <c:v>4040</c:v>
                </c:pt>
                <c:pt idx="786">
                  <c:v>4050</c:v>
                </c:pt>
                <c:pt idx="787">
                  <c:v>4050</c:v>
                </c:pt>
                <c:pt idx="788">
                  <c:v>4060</c:v>
                </c:pt>
                <c:pt idx="789">
                  <c:v>4060</c:v>
                </c:pt>
                <c:pt idx="790">
                  <c:v>4070</c:v>
                </c:pt>
                <c:pt idx="791">
                  <c:v>4070</c:v>
                </c:pt>
                <c:pt idx="792">
                  <c:v>4080</c:v>
                </c:pt>
                <c:pt idx="793">
                  <c:v>4080</c:v>
                </c:pt>
                <c:pt idx="794">
                  <c:v>4090</c:v>
                </c:pt>
                <c:pt idx="795">
                  <c:v>4090</c:v>
                </c:pt>
                <c:pt idx="796">
                  <c:v>4100</c:v>
                </c:pt>
                <c:pt idx="797">
                  <c:v>4100</c:v>
                </c:pt>
                <c:pt idx="798">
                  <c:v>4110</c:v>
                </c:pt>
                <c:pt idx="799">
                  <c:v>4110</c:v>
                </c:pt>
                <c:pt idx="800">
                  <c:v>4120</c:v>
                </c:pt>
                <c:pt idx="801">
                  <c:v>4120</c:v>
                </c:pt>
                <c:pt idx="802">
                  <c:v>4130</c:v>
                </c:pt>
                <c:pt idx="803">
                  <c:v>4130</c:v>
                </c:pt>
                <c:pt idx="804">
                  <c:v>4140</c:v>
                </c:pt>
                <c:pt idx="805">
                  <c:v>4140</c:v>
                </c:pt>
                <c:pt idx="806">
                  <c:v>4150</c:v>
                </c:pt>
                <c:pt idx="807">
                  <c:v>4150</c:v>
                </c:pt>
                <c:pt idx="808">
                  <c:v>4160</c:v>
                </c:pt>
                <c:pt idx="809">
                  <c:v>4160</c:v>
                </c:pt>
                <c:pt idx="810">
                  <c:v>4170</c:v>
                </c:pt>
                <c:pt idx="811">
                  <c:v>4170</c:v>
                </c:pt>
                <c:pt idx="812">
                  <c:v>4180</c:v>
                </c:pt>
                <c:pt idx="813">
                  <c:v>4180</c:v>
                </c:pt>
                <c:pt idx="814">
                  <c:v>4190</c:v>
                </c:pt>
                <c:pt idx="815">
                  <c:v>4190</c:v>
                </c:pt>
                <c:pt idx="816">
                  <c:v>4200</c:v>
                </c:pt>
                <c:pt idx="817">
                  <c:v>4200</c:v>
                </c:pt>
                <c:pt idx="818">
                  <c:v>4210</c:v>
                </c:pt>
                <c:pt idx="819">
                  <c:v>4210</c:v>
                </c:pt>
                <c:pt idx="820">
                  <c:v>4220</c:v>
                </c:pt>
                <c:pt idx="821">
                  <c:v>4220</c:v>
                </c:pt>
                <c:pt idx="822">
                  <c:v>4230</c:v>
                </c:pt>
                <c:pt idx="823">
                  <c:v>4230</c:v>
                </c:pt>
                <c:pt idx="824">
                  <c:v>4240</c:v>
                </c:pt>
                <c:pt idx="825">
                  <c:v>4240</c:v>
                </c:pt>
              </c:numCache>
            </c:numRef>
          </c:xVal>
          <c:yVal>
            <c:numRef>
              <c:f>'Fossil 150 yrs'!$AL$2:$AL$827</c:f>
              <c:numCache>
                <c:formatCode>General</c:formatCode>
                <c:ptCount val="8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7</c:v>
                </c:pt>
                <c:pt idx="812">
                  <c:v>7</c:v>
                </c:pt>
                <c:pt idx="813">
                  <c:v>250</c:v>
                </c:pt>
                <c:pt idx="814">
                  <c:v>250</c:v>
                </c:pt>
                <c:pt idx="815">
                  <c:v>2323</c:v>
                </c:pt>
                <c:pt idx="816">
                  <c:v>2323</c:v>
                </c:pt>
                <c:pt idx="817">
                  <c:v>4953</c:v>
                </c:pt>
                <c:pt idx="818">
                  <c:v>4953</c:v>
                </c:pt>
                <c:pt idx="819">
                  <c:v>2266</c:v>
                </c:pt>
                <c:pt idx="820">
                  <c:v>2266</c:v>
                </c:pt>
                <c:pt idx="821">
                  <c:v>198</c:v>
                </c:pt>
                <c:pt idx="822">
                  <c:v>198</c:v>
                </c:pt>
                <c:pt idx="823">
                  <c:v>3</c:v>
                </c:pt>
                <c:pt idx="824">
                  <c:v>3</c:v>
                </c:pt>
                <c:pt idx="8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60-4D05-AF83-3F868C13C373}"/>
            </c:ext>
          </c:extLst>
        </c:ser>
        <c:ser>
          <c:idx val="1"/>
          <c:order val="1"/>
          <c:tx>
            <c:strRef>
              <c:f>'Fossil 150 yrs'!$AM$1</c:f>
              <c:strCache>
                <c:ptCount val="1"/>
                <c:pt idx="0">
                  <c:v>MCMC Madness'!$EU$50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'Fossil 150 yrs'!$AK$2:$AK$827</c:f>
              <c:numCache>
                <c:formatCode>General</c:formatCode>
                <c:ptCount val="826"/>
                <c:pt idx="0">
                  <c:v>120</c:v>
                </c:pt>
                <c:pt idx="1">
                  <c:v>120</c:v>
                </c:pt>
                <c:pt idx="2">
                  <c:v>130</c:v>
                </c:pt>
                <c:pt idx="3">
                  <c:v>130</c:v>
                </c:pt>
                <c:pt idx="4">
                  <c:v>140</c:v>
                </c:pt>
                <c:pt idx="5">
                  <c:v>140</c:v>
                </c:pt>
                <c:pt idx="6">
                  <c:v>150</c:v>
                </c:pt>
                <c:pt idx="7">
                  <c:v>150</c:v>
                </c:pt>
                <c:pt idx="8">
                  <c:v>160</c:v>
                </c:pt>
                <c:pt idx="9">
                  <c:v>160</c:v>
                </c:pt>
                <c:pt idx="10">
                  <c:v>170</c:v>
                </c:pt>
                <c:pt idx="11">
                  <c:v>170</c:v>
                </c:pt>
                <c:pt idx="12">
                  <c:v>180</c:v>
                </c:pt>
                <c:pt idx="13">
                  <c:v>180</c:v>
                </c:pt>
                <c:pt idx="14">
                  <c:v>190</c:v>
                </c:pt>
                <c:pt idx="15">
                  <c:v>190</c:v>
                </c:pt>
                <c:pt idx="16">
                  <c:v>200</c:v>
                </c:pt>
                <c:pt idx="17">
                  <c:v>200</c:v>
                </c:pt>
                <c:pt idx="18">
                  <c:v>210</c:v>
                </c:pt>
                <c:pt idx="19">
                  <c:v>210</c:v>
                </c:pt>
                <c:pt idx="20">
                  <c:v>220</c:v>
                </c:pt>
                <c:pt idx="21">
                  <c:v>220</c:v>
                </c:pt>
                <c:pt idx="22">
                  <c:v>230</c:v>
                </c:pt>
                <c:pt idx="23">
                  <c:v>230</c:v>
                </c:pt>
                <c:pt idx="24">
                  <c:v>240</c:v>
                </c:pt>
                <c:pt idx="25">
                  <c:v>240</c:v>
                </c:pt>
                <c:pt idx="26">
                  <c:v>250</c:v>
                </c:pt>
                <c:pt idx="27">
                  <c:v>250</c:v>
                </c:pt>
                <c:pt idx="28">
                  <c:v>260</c:v>
                </c:pt>
                <c:pt idx="29">
                  <c:v>260</c:v>
                </c:pt>
                <c:pt idx="30">
                  <c:v>270</c:v>
                </c:pt>
                <c:pt idx="31">
                  <c:v>270</c:v>
                </c:pt>
                <c:pt idx="32">
                  <c:v>280</c:v>
                </c:pt>
                <c:pt idx="33">
                  <c:v>280</c:v>
                </c:pt>
                <c:pt idx="34">
                  <c:v>290</c:v>
                </c:pt>
                <c:pt idx="35">
                  <c:v>290</c:v>
                </c:pt>
                <c:pt idx="36">
                  <c:v>300</c:v>
                </c:pt>
                <c:pt idx="37">
                  <c:v>300</c:v>
                </c:pt>
                <c:pt idx="38">
                  <c:v>310</c:v>
                </c:pt>
                <c:pt idx="39">
                  <c:v>310</c:v>
                </c:pt>
                <c:pt idx="40">
                  <c:v>320</c:v>
                </c:pt>
                <c:pt idx="41">
                  <c:v>320</c:v>
                </c:pt>
                <c:pt idx="42">
                  <c:v>330</c:v>
                </c:pt>
                <c:pt idx="43">
                  <c:v>330</c:v>
                </c:pt>
                <c:pt idx="44">
                  <c:v>340</c:v>
                </c:pt>
                <c:pt idx="45">
                  <c:v>340</c:v>
                </c:pt>
                <c:pt idx="46">
                  <c:v>350</c:v>
                </c:pt>
                <c:pt idx="47">
                  <c:v>350</c:v>
                </c:pt>
                <c:pt idx="48">
                  <c:v>360</c:v>
                </c:pt>
                <c:pt idx="49">
                  <c:v>360</c:v>
                </c:pt>
                <c:pt idx="50">
                  <c:v>370</c:v>
                </c:pt>
                <c:pt idx="51">
                  <c:v>370</c:v>
                </c:pt>
                <c:pt idx="52">
                  <c:v>380</c:v>
                </c:pt>
                <c:pt idx="53">
                  <c:v>380</c:v>
                </c:pt>
                <c:pt idx="54">
                  <c:v>390</c:v>
                </c:pt>
                <c:pt idx="55">
                  <c:v>390</c:v>
                </c:pt>
                <c:pt idx="56">
                  <c:v>400</c:v>
                </c:pt>
                <c:pt idx="57">
                  <c:v>400</c:v>
                </c:pt>
                <c:pt idx="58">
                  <c:v>410</c:v>
                </c:pt>
                <c:pt idx="59">
                  <c:v>410</c:v>
                </c:pt>
                <c:pt idx="60">
                  <c:v>420</c:v>
                </c:pt>
                <c:pt idx="61">
                  <c:v>420</c:v>
                </c:pt>
                <c:pt idx="62">
                  <c:v>430</c:v>
                </c:pt>
                <c:pt idx="63">
                  <c:v>430</c:v>
                </c:pt>
                <c:pt idx="64">
                  <c:v>440</c:v>
                </c:pt>
                <c:pt idx="65">
                  <c:v>440</c:v>
                </c:pt>
                <c:pt idx="66">
                  <c:v>450</c:v>
                </c:pt>
                <c:pt idx="67">
                  <c:v>450</c:v>
                </c:pt>
                <c:pt idx="68">
                  <c:v>460</c:v>
                </c:pt>
                <c:pt idx="69">
                  <c:v>460</c:v>
                </c:pt>
                <c:pt idx="70">
                  <c:v>470</c:v>
                </c:pt>
                <c:pt idx="71">
                  <c:v>470</c:v>
                </c:pt>
                <c:pt idx="72">
                  <c:v>480</c:v>
                </c:pt>
                <c:pt idx="73">
                  <c:v>480</c:v>
                </c:pt>
                <c:pt idx="74">
                  <c:v>490</c:v>
                </c:pt>
                <c:pt idx="75">
                  <c:v>490</c:v>
                </c:pt>
                <c:pt idx="76">
                  <c:v>500</c:v>
                </c:pt>
                <c:pt idx="77">
                  <c:v>500</c:v>
                </c:pt>
                <c:pt idx="78">
                  <c:v>510</c:v>
                </c:pt>
                <c:pt idx="79">
                  <c:v>510</c:v>
                </c:pt>
                <c:pt idx="80">
                  <c:v>520</c:v>
                </c:pt>
                <c:pt idx="81">
                  <c:v>520</c:v>
                </c:pt>
                <c:pt idx="82">
                  <c:v>530</c:v>
                </c:pt>
                <c:pt idx="83">
                  <c:v>530</c:v>
                </c:pt>
                <c:pt idx="84">
                  <c:v>540</c:v>
                </c:pt>
                <c:pt idx="85">
                  <c:v>540</c:v>
                </c:pt>
                <c:pt idx="86">
                  <c:v>550</c:v>
                </c:pt>
                <c:pt idx="87">
                  <c:v>550</c:v>
                </c:pt>
                <c:pt idx="88">
                  <c:v>560</c:v>
                </c:pt>
                <c:pt idx="89">
                  <c:v>560</c:v>
                </c:pt>
                <c:pt idx="90">
                  <c:v>570</c:v>
                </c:pt>
                <c:pt idx="91">
                  <c:v>570</c:v>
                </c:pt>
                <c:pt idx="92">
                  <c:v>580</c:v>
                </c:pt>
                <c:pt idx="93">
                  <c:v>580</c:v>
                </c:pt>
                <c:pt idx="94">
                  <c:v>590</c:v>
                </c:pt>
                <c:pt idx="95">
                  <c:v>590</c:v>
                </c:pt>
                <c:pt idx="96">
                  <c:v>600</c:v>
                </c:pt>
                <c:pt idx="97">
                  <c:v>600</c:v>
                </c:pt>
                <c:pt idx="98">
                  <c:v>610</c:v>
                </c:pt>
                <c:pt idx="99">
                  <c:v>610</c:v>
                </c:pt>
                <c:pt idx="100">
                  <c:v>620</c:v>
                </c:pt>
                <c:pt idx="101">
                  <c:v>620</c:v>
                </c:pt>
                <c:pt idx="102">
                  <c:v>630</c:v>
                </c:pt>
                <c:pt idx="103">
                  <c:v>630</c:v>
                </c:pt>
                <c:pt idx="104">
                  <c:v>640</c:v>
                </c:pt>
                <c:pt idx="105">
                  <c:v>640</c:v>
                </c:pt>
                <c:pt idx="106">
                  <c:v>650</c:v>
                </c:pt>
                <c:pt idx="107">
                  <c:v>650</c:v>
                </c:pt>
                <c:pt idx="108">
                  <c:v>660</c:v>
                </c:pt>
                <c:pt idx="109">
                  <c:v>660</c:v>
                </c:pt>
                <c:pt idx="110">
                  <c:v>670</c:v>
                </c:pt>
                <c:pt idx="111">
                  <c:v>670</c:v>
                </c:pt>
                <c:pt idx="112">
                  <c:v>680</c:v>
                </c:pt>
                <c:pt idx="113">
                  <c:v>680</c:v>
                </c:pt>
                <c:pt idx="114">
                  <c:v>690</c:v>
                </c:pt>
                <c:pt idx="115">
                  <c:v>690</c:v>
                </c:pt>
                <c:pt idx="116">
                  <c:v>700</c:v>
                </c:pt>
                <c:pt idx="117">
                  <c:v>700</c:v>
                </c:pt>
                <c:pt idx="118">
                  <c:v>710</c:v>
                </c:pt>
                <c:pt idx="119">
                  <c:v>710</c:v>
                </c:pt>
                <c:pt idx="120">
                  <c:v>720</c:v>
                </c:pt>
                <c:pt idx="121">
                  <c:v>720</c:v>
                </c:pt>
                <c:pt idx="122">
                  <c:v>730</c:v>
                </c:pt>
                <c:pt idx="123">
                  <c:v>730</c:v>
                </c:pt>
                <c:pt idx="124">
                  <c:v>740</c:v>
                </c:pt>
                <c:pt idx="125">
                  <c:v>740</c:v>
                </c:pt>
                <c:pt idx="126">
                  <c:v>750</c:v>
                </c:pt>
                <c:pt idx="127">
                  <c:v>750</c:v>
                </c:pt>
                <c:pt idx="128">
                  <c:v>760</c:v>
                </c:pt>
                <c:pt idx="129">
                  <c:v>760</c:v>
                </c:pt>
                <c:pt idx="130">
                  <c:v>770</c:v>
                </c:pt>
                <c:pt idx="131">
                  <c:v>770</c:v>
                </c:pt>
                <c:pt idx="132">
                  <c:v>780</c:v>
                </c:pt>
                <c:pt idx="133">
                  <c:v>780</c:v>
                </c:pt>
                <c:pt idx="134">
                  <c:v>790</c:v>
                </c:pt>
                <c:pt idx="135">
                  <c:v>790</c:v>
                </c:pt>
                <c:pt idx="136">
                  <c:v>800</c:v>
                </c:pt>
                <c:pt idx="137">
                  <c:v>800</c:v>
                </c:pt>
                <c:pt idx="138">
                  <c:v>810</c:v>
                </c:pt>
                <c:pt idx="139">
                  <c:v>810</c:v>
                </c:pt>
                <c:pt idx="140">
                  <c:v>820</c:v>
                </c:pt>
                <c:pt idx="141">
                  <c:v>820</c:v>
                </c:pt>
                <c:pt idx="142">
                  <c:v>830</c:v>
                </c:pt>
                <c:pt idx="143">
                  <c:v>830</c:v>
                </c:pt>
                <c:pt idx="144">
                  <c:v>840</c:v>
                </c:pt>
                <c:pt idx="145">
                  <c:v>840</c:v>
                </c:pt>
                <c:pt idx="146">
                  <c:v>850</c:v>
                </c:pt>
                <c:pt idx="147">
                  <c:v>850</c:v>
                </c:pt>
                <c:pt idx="148">
                  <c:v>860</c:v>
                </c:pt>
                <c:pt idx="149">
                  <c:v>860</c:v>
                </c:pt>
                <c:pt idx="150">
                  <c:v>870</c:v>
                </c:pt>
                <c:pt idx="151">
                  <c:v>870</c:v>
                </c:pt>
                <c:pt idx="152">
                  <c:v>880</c:v>
                </c:pt>
                <c:pt idx="153">
                  <c:v>880</c:v>
                </c:pt>
                <c:pt idx="154">
                  <c:v>890</c:v>
                </c:pt>
                <c:pt idx="155">
                  <c:v>890</c:v>
                </c:pt>
                <c:pt idx="156">
                  <c:v>900</c:v>
                </c:pt>
                <c:pt idx="157">
                  <c:v>900</c:v>
                </c:pt>
                <c:pt idx="158">
                  <c:v>910</c:v>
                </c:pt>
                <c:pt idx="159">
                  <c:v>910</c:v>
                </c:pt>
                <c:pt idx="160">
                  <c:v>920</c:v>
                </c:pt>
                <c:pt idx="161">
                  <c:v>920</c:v>
                </c:pt>
                <c:pt idx="162">
                  <c:v>930</c:v>
                </c:pt>
                <c:pt idx="163">
                  <c:v>930</c:v>
                </c:pt>
                <c:pt idx="164">
                  <c:v>940</c:v>
                </c:pt>
                <c:pt idx="165">
                  <c:v>940</c:v>
                </c:pt>
                <c:pt idx="166">
                  <c:v>950</c:v>
                </c:pt>
                <c:pt idx="167">
                  <c:v>950</c:v>
                </c:pt>
                <c:pt idx="168">
                  <c:v>960</c:v>
                </c:pt>
                <c:pt idx="169">
                  <c:v>960</c:v>
                </c:pt>
                <c:pt idx="170">
                  <c:v>970</c:v>
                </c:pt>
                <c:pt idx="171">
                  <c:v>970</c:v>
                </c:pt>
                <c:pt idx="172">
                  <c:v>980</c:v>
                </c:pt>
                <c:pt idx="173">
                  <c:v>980</c:v>
                </c:pt>
                <c:pt idx="174">
                  <c:v>990</c:v>
                </c:pt>
                <c:pt idx="175">
                  <c:v>990</c:v>
                </c:pt>
                <c:pt idx="176">
                  <c:v>1000</c:v>
                </c:pt>
                <c:pt idx="177">
                  <c:v>1000</c:v>
                </c:pt>
                <c:pt idx="178">
                  <c:v>1010</c:v>
                </c:pt>
                <c:pt idx="179">
                  <c:v>1010</c:v>
                </c:pt>
                <c:pt idx="180">
                  <c:v>1020</c:v>
                </c:pt>
                <c:pt idx="181">
                  <c:v>1020</c:v>
                </c:pt>
                <c:pt idx="182">
                  <c:v>1030</c:v>
                </c:pt>
                <c:pt idx="183">
                  <c:v>1030</c:v>
                </c:pt>
                <c:pt idx="184">
                  <c:v>1040</c:v>
                </c:pt>
                <c:pt idx="185">
                  <c:v>1040</c:v>
                </c:pt>
                <c:pt idx="186">
                  <c:v>1050</c:v>
                </c:pt>
                <c:pt idx="187">
                  <c:v>1050</c:v>
                </c:pt>
                <c:pt idx="188">
                  <c:v>1060</c:v>
                </c:pt>
                <c:pt idx="189">
                  <c:v>1060</c:v>
                </c:pt>
                <c:pt idx="190">
                  <c:v>1070</c:v>
                </c:pt>
                <c:pt idx="191">
                  <c:v>1070</c:v>
                </c:pt>
                <c:pt idx="192">
                  <c:v>1080</c:v>
                </c:pt>
                <c:pt idx="193">
                  <c:v>1080</c:v>
                </c:pt>
                <c:pt idx="194">
                  <c:v>1090</c:v>
                </c:pt>
                <c:pt idx="195">
                  <c:v>1090</c:v>
                </c:pt>
                <c:pt idx="196">
                  <c:v>1100</c:v>
                </c:pt>
                <c:pt idx="197">
                  <c:v>1100</c:v>
                </c:pt>
                <c:pt idx="198">
                  <c:v>1110</c:v>
                </c:pt>
                <c:pt idx="199">
                  <c:v>1110</c:v>
                </c:pt>
                <c:pt idx="200">
                  <c:v>1120</c:v>
                </c:pt>
                <c:pt idx="201">
                  <c:v>1120</c:v>
                </c:pt>
                <c:pt idx="202">
                  <c:v>1130</c:v>
                </c:pt>
                <c:pt idx="203">
                  <c:v>1130</c:v>
                </c:pt>
                <c:pt idx="204">
                  <c:v>1140</c:v>
                </c:pt>
                <c:pt idx="205">
                  <c:v>1140</c:v>
                </c:pt>
                <c:pt idx="206">
                  <c:v>1150</c:v>
                </c:pt>
                <c:pt idx="207">
                  <c:v>1150</c:v>
                </c:pt>
                <c:pt idx="208">
                  <c:v>1160</c:v>
                </c:pt>
                <c:pt idx="209">
                  <c:v>1160</c:v>
                </c:pt>
                <c:pt idx="210">
                  <c:v>1170</c:v>
                </c:pt>
                <c:pt idx="211">
                  <c:v>1170</c:v>
                </c:pt>
                <c:pt idx="212">
                  <c:v>1180</c:v>
                </c:pt>
                <c:pt idx="213">
                  <c:v>1180</c:v>
                </c:pt>
                <c:pt idx="214">
                  <c:v>1190</c:v>
                </c:pt>
                <c:pt idx="215">
                  <c:v>1190</c:v>
                </c:pt>
                <c:pt idx="216">
                  <c:v>1200</c:v>
                </c:pt>
                <c:pt idx="217">
                  <c:v>1200</c:v>
                </c:pt>
                <c:pt idx="218">
                  <c:v>1210</c:v>
                </c:pt>
                <c:pt idx="219">
                  <c:v>1210</c:v>
                </c:pt>
                <c:pt idx="220">
                  <c:v>1220</c:v>
                </c:pt>
                <c:pt idx="221">
                  <c:v>1220</c:v>
                </c:pt>
                <c:pt idx="222">
                  <c:v>1230</c:v>
                </c:pt>
                <c:pt idx="223">
                  <c:v>1230</c:v>
                </c:pt>
                <c:pt idx="224">
                  <c:v>1240</c:v>
                </c:pt>
                <c:pt idx="225">
                  <c:v>1240</c:v>
                </c:pt>
                <c:pt idx="226">
                  <c:v>1250</c:v>
                </c:pt>
                <c:pt idx="227">
                  <c:v>1250</c:v>
                </c:pt>
                <c:pt idx="228">
                  <c:v>1260</c:v>
                </c:pt>
                <c:pt idx="229">
                  <c:v>1260</c:v>
                </c:pt>
                <c:pt idx="230">
                  <c:v>1270</c:v>
                </c:pt>
                <c:pt idx="231">
                  <c:v>1270</c:v>
                </c:pt>
                <c:pt idx="232">
                  <c:v>1280</c:v>
                </c:pt>
                <c:pt idx="233">
                  <c:v>1280</c:v>
                </c:pt>
                <c:pt idx="234">
                  <c:v>1290</c:v>
                </c:pt>
                <c:pt idx="235">
                  <c:v>1290</c:v>
                </c:pt>
                <c:pt idx="236">
                  <c:v>1300</c:v>
                </c:pt>
                <c:pt idx="237">
                  <c:v>1300</c:v>
                </c:pt>
                <c:pt idx="238">
                  <c:v>1310</c:v>
                </c:pt>
                <c:pt idx="239">
                  <c:v>1310</c:v>
                </c:pt>
                <c:pt idx="240">
                  <c:v>1320</c:v>
                </c:pt>
                <c:pt idx="241">
                  <c:v>1320</c:v>
                </c:pt>
                <c:pt idx="242">
                  <c:v>1330</c:v>
                </c:pt>
                <c:pt idx="243">
                  <c:v>1330</c:v>
                </c:pt>
                <c:pt idx="244">
                  <c:v>1340</c:v>
                </c:pt>
                <c:pt idx="245">
                  <c:v>1340</c:v>
                </c:pt>
                <c:pt idx="246">
                  <c:v>1350</c:v>
                </c:pt>
                <c:pt idx="247">
                  <c:v>1350</c:v>
                </c:pt>
                <c:pt idx="248">
                  <c:v>1360</c:v>
                </c:pt>
                <c:pt idx="249">
                  <c:v>1360</c:v>
                </c:pt>
                <c:pt idx="250">
                  <c:v>1370</c:v>
                </c:pt>
                <c:pt idx="251">
                  <c:v>1370</c:v>
                </c:pt>
                <c:pt idx="252">
                  <c:v>1380</c:v>
                </c:pt>
                <c:pt idx="253">
                  <c:v>1380</c:v>
                </c:pt>
                <c:pt idx="254">
                  <c:v>1390</c:v>
                </c:pt>
                <c:pt idx="255">
                  <c:v>1390</c:v>
                </c:pt>
                <c:pt idx="256">
                  <c:v>1400</c:v>
                </c:pt>
                <c:pt idx="257">
                  <c:v>1400</c:v>
                </c:pt>
                <c:pt idx="258">
                  <c:v>1410</c:v>
                </c:pt>
                <c:pt idx="259">
                  <c:v>1410</c:v>
                </c:pt>
                <c:pt idx="260">
                  <c:v>1420</c:v>
                </c:pt>
                <c:pt idx="261">
                  <c:v>1420</c:v>
                </c:pt>
                <c:pt idx="262">
                  <c:v>1430</c:v>
                </c:pt>
                <c:pt idx="263">
                  <c:v>1430</c:v>
                </c:pt>
                <c:pt idx="264">
                  <c:v>1440</c:v>
                </c:pt>
                <c:pt idx="265">
                  <c:v>1440</c:v>
                </c:pt>
                <c:pt idx="266">
                  <c:v>1450</c:v>
                </c:pt>
                <c:pt idx="267">
                  <c:v>1450</c:v>
                </c:pt>
                <c:pt idx="268">
                  <c:v>1460</c:v>
                </c:pt>
                <c:pt idx="269">
                  <c:v>1460</c:v>
                </c:pt>
                <c:pt idx="270">
                  <c:v>1470</c:v>
                </c:pt>
                <c:pt idx="271">
                  <c:v>1470</c:v>
                </c:pt>
                <c:pt idx="272">
                  <c:v>1480</c:v>
                </c:pt>
                <c:pt idx="273">
                  <c:v>1480</c:v>
                </c:pt>
                <c:pt idx="274">
                  <c:v>1490</c:v>
                </c:pt>
                <c:pt idx="275">
                  <c:v>1490</c:v>
                </c:pt>
                <c:pt idx="276">
                  <c:v>1500</c:v>
                </c:pt>
                <c:pt idx="277">
                  <c:v>1500</c:v>
                </c:pt>
                <c:pt idx="278">
                  <c:v>1510</c:v>
                </c:pt>
                <c:pt idx="279">
                  <c:v>1510</c:v>
                </c:pt>
                <c:pt idx="280">
                  <c:v>1520</c:v>
                </c:pt>
                <c:pt idx="281">
                  <c:v>1520</c:v>
                </c:pt>
                <c:pt idx="282">
                  <c:v>1530</c:v>
                </c:pt>
                <c:pt idx="283">
                  <c:v>1530</c:v>
                </c:pt>
                <c:pt idx="284">
                  <c:v>1540</c:v>
                </c:pt>
                <c:pt idx="285">
                  <c:v>1540</c:v>
                </c:pt>
                <c:pt idx="286">
                  <c:v>1550</c:v>
                </c:pt>
                <c:pt idx="287">
                  <c:v>1550</c:v>
                </c:pt>
                <c:pt idx="288">
                  <c:v>1560</c:v>
                </c:pt>
                <c:pt idx="289">
                  <c:v>1560</c:v>
                </c:pt>
                <c:pt idx="290">
                  <c:v>1570</c:v>
                </c:pt>
                <c:pt idx="291">
                  <c:v>1570</c:v>
                </c:pt>
                <c:pt idx="292">
                  <c:v>1580</c:v>
                </c:pt>
                <c:pt idx="293">
                  <c:v>1580</c:v>
                </c:pt>
                <c:pt idx="294">
                  <c:v>1590</c:v>
                </c:pt>
                <c:pt idx="295">
                  <c:v>1590</c:v>
                </c:pt>
                <c:pt idx="296">
                  <c:v>1600</c:v>
                </c:pt>
                <c:pt idx="297">
                  <c:v>1600</c:v>
                </c:pt>
                <c:pt idx="298">
                  <c:v>1610</c:v>
                </c:pt>
                <c:pt idx="299">
                  <c:v>1610</c:v>
                </c:pt>
                <c:pt idx="300">
                  <c:v>1620</c:v>
                </c:pt>
                <c:pt idx="301">
                  <c:v>1620</c:v>
                </c:pt>
                <c:pt idx="302">
                  <c:v>1630</c:v>
                </c:pt>
                <c:pt idx="303">
                  <c:v>1630</c:v>
                </c:pt>
                <c:pt idx="304">
                  <c:v>1640</c:v>
                </c:pt>
                <c:pt idx="305">
                  <c:v>1640</c:v>
                </c:pt>
                <c:pt idx="306">
                  <c:v>1650</c:v>
                </c:pt>
                <c:pt idx="307">
                  <c:v>1650</c:v>
                </c:pt>
                <c:pt idx="308">
                  <c:v>1660</c:v>
                </c:pt>
                <c:pt idx="309">
                  <c:v>1660</c:v>
                </c:pt>
                <c:pt idx="310">
                  <c:v>1670</c:v>
                </c:pt>
                <c:pt idx="311">
                  <c:v>1670</c:v>
                </c:pt>
                <c:pt idx="312">
                  <c:v>1680</c:v>
                </c:pt>
                <c:pt idx="313">
                  <c:v>1680</c:v>
                </c:pt>
                <c:pt idx="314">
                  <c:v>1690</c:v>
                </c:pt>
                <c:pt idx="315">
                  <c:v>1690</c:v>
                </c:pt>
                <c:pt idx="316">
                  <c:v>1700</c:v>
                </c:pt>
                <c:pt idx="317">
                  <c:v>1700</c:v>
                </c:pt>
                <c:pt idx="318">
                  <c:v>1710</c:v>
                </c:pt>
                <c:pt idx="319">
                  <c:v>1710</c:v>
                </c:pt>
                <c:pt idx="320">
                  <c:v>1720</c:v>
                </c:pt>
                <c:pt idx="321">
                  <c:v>1720</c:v>
                </c:pt>
                <c:pt idx="322">
                  <c:v>1730</c:v>
                </c:pt>
                <c:pt idx="323">
                  <c:v>1730</c:v>
                </c:pt>
                <c:pt idx="324">
                  <c:v>1740</c:v>
                </c:pt>
                <c:pt idx="325">
                  <c:v>1740</c:v>
                </c:pt>
                <c:pt idx="326">
                  <c:v>1750</c:v>
                </c:pt>
                <c:pt idx="327">
                  <c:v>1750</c:v>
                </c:pt>
                <c:pt idx="328">
                  <c:v>1760</c:v>
                </c:pt>
                <c:pt idx="329">
                  <c:v>1760</c:v>
                </c:pt>
                <c:pt idx="330">
                  <c:v>1770</c:v>
                </c:pt>
                <c:pt idx="331">
                  <c:v>1770</c:v>
                </c:pt>
                <c:pt idx="332">
                  <c:v>1780</c:v>
                </c:pt>
                <c:pt idx="333">
                  <c:v>1780</c:v>
                </c:pt>
                <c:pt idx="334">
                  <c:v>1790</c:v>
                </c:pt>
                <c:pt idx="335">
                  <c:v>1790</c:v>
                </c:pt>
                <c:pt idx="336">
                  <c:v>1800</c:v>
                </c:pt>
                <c:pt idx="337">
                  <c:v>1800</c:v>
                </c:pt>
                <c:pt idx="338">
                  <c:v>1810</c:v>
                </c:pt>
                <c:pt idx="339">
                  <c:v>1810</c:v>
                </c:pt>
                <c:pt idx="340">
                  <c:v>1820</c:v>
                </c:pt>
                <c:pt idx="341">
                  <c:v>1820</c:v>
                </c:pt>
                <c:pt idx="342">
                  <c:v>1830</c:v>
                </c:pt>
                <c:pt idx="343">
                  <c:v>1830</c:v>
                </c:pt>
                <c:pt idx="344">
                  <c:v>1840</c:v>
                </c:pt>
                <c:pt idx="345">
                  <c:v>1840</c:v>
                </c:pt>
                <c:pt idx="346">
                  <c:v>1850</c:v>
                </c:pt>
                <c:pt idx="347">
                  <c:v>1850</c:v>
                </c:pt>
                <c:pt idx="348">
                  <c:v>1860</c:v>
                </c:pt>
                <c:pt idx="349">
                  <c:v>1860</c:v>
                </c:pt>
                <c:pt idx="350">
                  <c:v>1870</c:v>
                </c:pt>
                <c:pt idx="351">
                  <c:v>1870</c:v>
                </c:pt>
                <c:pt idx="352">
                  <c:v>1880</c:v>
                </c:pt>
                <c:pt idx="353">
                  <c:v>1880</c:v>
                </c:pt>
                <c:pt idx="354">
                  <c:v>1890</c:v>
                </c:pt>
                <c:pt idx="355">
                  <c:v>1890</c:v>
                </c:pt>
                <c:pt idx="356">
                  <c:v>1900</c:v>
                </c:pt>
                <c:pt idx="357">
                  <c:v>1900</c:v>
                </c:pt>
                <c:pt idx="358">
                  <c:v>1910</c:v>
                </c:pt>
                <c:pt idx="359">
                  <c:v>1910</c:v>
                </c:pt>
                <c:pt idx="360">
                  <c:v>1920</c:v>
                </c:pt>
                <c:pt idx="361">
                  <c:v>1920</c:v>
                </c:pt>
                <c:pt idx="362">
                  <c:v>1930</c:v>
                </c:pt>
                <c:pt idx="363">
                  <c:v>1930</c:v>
                </c:pt>
                <c:pt idx="364">
                  <c:v>1940</c:v>
                </c:pt>
                <c:pt idx="365">
                  <c:v>1940</c:v>
                </c:pt>
                <c:pt idx="366">
                  <c:v>1950</c:v>
                </c:pt>
                <c:pt idx="367">
                  <c:v>1950</c:v>
                </c:pt>
                <c:pt idx="368">
                  <c:v>1960</c:v>
                </c:pt>
                <c:pt idx="369">
                  <c:v>1960</c:v>
                </c:pt>
                <c:pt idx="370">
                  <c:v>1970</c:v>
                </c:pt>
                <c:pt idx="371">
                  <c:v>1970</c:v>
                </c:pt>
                <c:pt idx="372">
                  <c:v>1980</c:v>
                </c:pt>
                <c:pt idx="373">
                  <c:v>1980</c:v>
                </c:pt>
                <c:pt idx="374">
                  <c:v>1990</c:v>
                </c:pt>
                <c:pt idx="375">
                  <c:v>1990</c:v>
                </c:pt>
                <c:pt idx="376">
                  <c:v>2000</c:v>
                </c:pt>
                <c:pt idx="377">
                  <c:v>2000</c:v>
                </c:pt>
                <c:pt idx="378">
                  <c:v>2010</c:v>
                </c:pt>
                <c:pt idx="379">
                  <c:v>2010</c:v>
                </c:pt>
                <c:pt idx="380">
                  <c:v>2020</c:v>
                </c:pt>
                <c:pt idx="381">
                  <c:v>2020</c:v>
                </c:pt>
                <c:pt idx="382">
                  <c:v>2030</c:v>
                </c:pt>
                <c:pt idx="383">
                  <c:v>2030</c:v>
                </c:pt>
                <c:pt idx="384">
                  <c:v>2040</c:v>
                </c:pt>
                <c:pt idx="385">
                  <c:v>2040</c:v>
                </c:pt>
                <c:pt idx="386">
                  <c:v>2050</c:v>
                </c:pt>
                <c:pt idx="387">
                  <c:v>2050</c:v>
                </c:pt>
                <c:pt idx="388">
                  <c:v>2060</c:v>
                </c:pt>
                <c:pt idx="389">
                  <c:v>2060</c:v>
                </c:pt>
                <c:pt idx="390">
                  <c:v>2070</c:v>
                </c:pt>
                <c:pt idx="391">
                  <c:v>2070</c:v>
                </c:pt>
                <c:pt idx="392">
                  <c:v>2080</c:v>
                </c:pt>
                <c:pt idx="393">
                  <c:v>2080</c:v>
                </c:pt>
                <c:pt idx="394">
                  <c:v>2090</c:v>
                </c:pt>
                <c:pt idx="395">
                  <c:v>2090</c:v>
                </c:pt>
                <c:pt idx="396">
                  <c:v>2100</c:v>
                </c:pt>
                <c:pt idx="397">
                  <c:v>2100</c:v>
                </c:pt>
                <c:pt idx="398">
                  <c:v>2110</c:v>
                </c:pt>
                <c:pt idx="399">
                  <c:v>2110</c:v>
                </c:pt>
                <c:pt idx="400">
                  <c:v>2120</c:v>
                </c:pt>
                <c:pt idx="401">
                  <c:v>2120</c:v>
                </c:pt>
                <c:pt idx="402">
                  <c:v>2130</c:v>
                </c:pt>
                <c:pt idx="403">
                  <c:v>2130</c:v>
                </c:pt>
                <c:pt idx="404">
                  <c:v>2140</c:v>
                </c:pt>
                <c:pt idx="405">
                  <c:v>2140</c:v>
                </c:pt>
                <c:pt idx="406">
                  <c:v>2150</c:v>
                </c:pt>
                <c:pt idx="407">
                  <c:v>2150</c:v>
                </c:pt>
                <c:pt idx="408">
                  <c:v>2160</c:v>
                </c:pt>
                <c:pt idx="409">
                  <c:v>2160</c:v>
                </c:pt>
                <c:pt idx="410">
                  <c:v>2170</c:v>
                </c:pt>
                <c:pt idx="411">
                  <c:v>2170</c:v>
                </c:pt>
                <c:pt idx="412">
                  <c:v>2180</c:v>
                </c:pt>
                <c:pt idx="413">
                  <c:v>2180</c:v>
                </c:pt>
                <c:pt idx="414">
                  <c:v>2190</c:v>
                </c:pt>
                <c:pt idx="415">
                  <c:v>2190</c:v>
                </c:pt>
                <c:pt idx="416">
                  <c:v>2200</c:v>
                </c:pt>
                <c:pt idx="417">
                  <c:v>2200</c:v>
                </c:pt>
                <c:pt idx="418">
                  <c:v>2210</c:v>
                </c:pt>
                <c:pt idx="419">
                  <c:v>2210</c:v>
                </c:pt>
                <c:pt idx="420">
                  <c:v>2220</c:v>
                </c:pt>
                <c:pt idx="421">
                  <c:v>2220</c:v>
                </c:pt>
                <c:pt idx="422">
                  <c:v>2230</c:v>
                </c:pt>
                <c:pt idx="423">
                  <c:v>2230</c:v>
                </c:pt>
                <c:pt idx="424">
                  <c:v>2240</c:v>
                </c:pt>
                <c:pt idx="425">
                  <c:v>2240</c:v>
                </c:pt>
                <c:pt idx="426">
                  <c:v>2250</c:v>
                </c:pt>
                <c:pt idx="427">
                  <c:v>2250</c:v>
                </c:pt>
                <c:pt idx="428">
                  <c:v>2260</c:v>
                </c:pt>
                <c:pt idx="429">
                  <c:v>2260</c:v>
                </c:pt>
                <c:pt idx="430">
                  <c:v>2270</c:v>
                </c:pt>
                <c:pt idx="431">
                  <c:v>2270</c:v>
                </c:pt>
                <c:pt idx="432">
                  <c:v>2280</c:v>
                </c:pt>
                <c:pt idx="433">
                  <c:v>2280</c:v>
                </c:pt>
                <c:pt idx="434">
                  <c:v>2290</c:v>
                </c:pt>
                <c:pt idx="435">
                  <c:v>2290</c:v>
                </c:pt>
                <c:pt idx="436">
                  <c:v>2300</c:v>
                </c:pt>
                <c:pt idx="437">
                  <c:v>2300</c:v>
                </c:pt>
                <c:pt idx="438">
                  <c:v>2310</c:v>
                </c:pt>
                <c:pt idx="439">
                  <c:v>2310</c:v>
                </c:pt>
                <c:pt idx="440">
                  <c:v>2320</c:v>
                </c:pt>
                <c:pt idx="441">
                  <c:v>2320</c:v>
                </c:pt>
                <c:pt idx="442">
                  <c:v>2330</c:v>
                </c:pt>
                <c:pt idx="443">
                  <c:v>2330</c:v>
                </c:pt>
                <c:pt idx="444">
                  <c:v>2340</c:v>
                </c:pt>
                <c:pt idx="445">
                  <c:v>2340</c:v>
                </c:pt>
                <c:pt idx="446">
                  <c:v>2350</c:v>
                </c:pt>
                <c:pt idx="447">
                  <c:v>2350</c:v>
                </c:pt>
                <c:pt idx="448">
                  <c:v>2360</c:v>
                </c:pt>
                <c:pt idx="449">
                  <c:v>2360</c:v>
                </c:pt>
                <c:pt idx="450">
                  <c:v>2370</c:v>
                </c:pt>
                <c:pt idx="451">
                  <c:v>2370</c:v>
                </c:pt>
                <c:pt idx="452">
                  <c:v>2380</c:v>
                </c:pt>
                <c:pt idx="453">
                  <c:v>2380</c:v>
                </c:pt>
                <c:pt idx="454">
                  <c:v>2390</c:v>
                </c:pt>
                <c:pt idx="455">
                  <c:v>2390</c:v>
                </c:pt>
                <c:pt idx="456">
                  <c:v>2400</c:v>
                </c:pt>
                <c:pt idx="457">
                  <c:v>2400</c:v>
                </c:pt>
                <c:pt idx="458">
                  <c:v>2410</c:v>
                </c:pt>
                <c:pt idx="459">
                  <c:v>2410</c:v>
                </c:pt>
                <c:pt idx="460">
                  <c:v>2420</c:v>
                </c:pt>
                <c:pt idx="461">
                  <c:v>2420</c:v>
                </c:pt>
                <c:pt idx="462">
                  <c:v>2430</c:v>
                </c:pt>
                <c:pt idx="463">
                  <c:v>2430</c:v>
                </c:pt>
                <c:pt idx="464">
                  <c:v>2440</c:v>
                </c:pt>
                <c:pt idx="465">
                  <c:v>2440</c:v>
                </c:pt>
                <c:pt idx="466">
                  <c:v>2450</c:v>
                </c:pt>
                <c:pt idx="467">
                  <c:v>2450</c:v>
                </c:pt>
                <c:pt idx="468">
                  <c:v>2460</c:v>
                </c:pt>
                <c:pt idx="469">
                  <c:v>2460</c:v>
                </c:pt>
                <c:pt idx="470">
                  <c:v>2470</c:v>
                </c:pt>
                <c:pt idx="471">
                  <c:v>2470</c:v>
                </c:pt>
                <c:pt idx="472">
                  <c:v>2480</c:v>
                </c:pt>
                <c:pt idx="473">
                  <c:v>2480</c:v>
                </c:pt>
                <c:pt idx="474">
                  <c:v>2490</c:v>
                </c:pt>
                <c:pt idx="475">
                  <c:v>2490</c:v>
                </c:pt>
                <c:pt idx="476">
                  <c:v>2500</c:v>
                </c:pt>
                <c:pt idx="477">
                  <c:v>2500</c:v>
                </c:pt>
                <c:pt idx="478">
                  <c:v>2510</c:v>
                </c:pt>
                <c:pt idx="479">
                  <c:v>2510</c:v>
                </c:pt>
                <c:pt idx="480">
                  <c:v>2520</c:v>
                </c:pt>
                <c:pt idx="481">
                  <c:v>2520</c:v>
                </c:pt>
                <c:pt idx="482">
                  <c:v>2530</c:v>
                </c:pt>
                <c:pt idx="483">
                  <c:v>2530</c:v>
                </c:pt>
                <c:pt idx="484">
                  <c:v>2540</c:v>
                </c:pt>
                <c:pt idx="485">
                  <c:v>2540</c:v>
                </c:pt>
                <c:pt idx="486">
                  <c:v>2550</c:v>
                </c:pt>
                <c:pt idx="487">
                  <c:v>2550</c:v>
                </c:pt>
                <c:pt idx="488">
                  <c:v>2560</c:v>
                </c:pt>
                <c:pt idx="489">
                  <c:v>2560</c:v>
                </c:pt>
                <c:pt idx="490">
                  <c:v>2570</c:v>
                </c:pt>
                <c:pt idx="491">
                  <c:v>2570</c:v>
                </c:pt>
                <c:pt idx="492">
                  <c:v>2580</c:v>
                </c:pt>
                <c:pt idx="493">
                  <c:v>2580</c:v>
                </c:pt>
                <c:pt idx="494">
                  <c:v>2590</c:v>
                </c:pt>
                <c:pt idx="495">
                  <c:v>2590</c:v>
                </c:pt>
                <c:pt idx="496">
                  <c:v>2600</c:v>
                </c:pt>
                <c:pt idx="497">
                  <c:v>2600</c:v>
                </c:pt>
                <c:pt idx="498">
                  <c:v>2610</c:v>
                </c:pt>
                <c:pt idx="499">
                  <c:v>2610</c:v>
                </c:pt>
                <c:pt idx="500">
                  <c:v>2620</c:v>
                </c:pt>
                <c:pt idx="501">
                  <c:v>2620</c:v>
                </c:pt>
                <c:pt idx="502">
                  <c:v>2630</c:v>
                </c:pt>
                <c:pt idx="503">
                  <c:v>2630</c:v>
                </c:pt>
                <c:pt idx="504">
                  <c:v>2640</c:v>
                </c:pt>
                <c:pt idx="505">
                  <c:v>2640</c:v>
                </c:pt>
                <c:pt idx="506">
                  <c:v>2650</c:v>
                </c:pt>
                <c:pt idx="507">
                  <c:v>2650</c:v>
                </c:pt>
                <c:pt idx="508">
                  <c:v>2660</c:v>
                </c:pt>
                <c:pt idx="509">
                  <c:v>2660</c:v>
                </c:pt>
                <c:pt idx="510">
                  <c:v>2670</c:v>
                </c:pt>
                <c:pt idx="511">
                  <c:v>2670</c:v>
                </c:pt>
                <c:pt idx="512">
                  <c:v>2680</c:v>
                </c:pt>
                <c:pt idx="513">
                  <c:v>2680</c:v>
                </c:pt>
                <c:pt idx="514">
                  <c:v>2690</c:v>
                </c:pt>
                <c:pt idx="515">
                  <c:v>2690</c:v>
                </c:pt>
                <c:pt idx="516">
                  <c:v>2700</c:v>
                </c:pt>
                <c:pt idx="517">
                  <c:v>2700</c:v>
                </c:pt>
                <c:pt idx="518">
                  <c:v>2710</c:v>
                </c:pt>
                <c:pt idx="519">
                  <c:v>2710</c:v>
                </c:pt>
                <c:pt idx="520">
                  <c:v>2720</c:v>
                </c:pt>
                <c:pt idx="521">
                  <c:v>2720</c:v>
                </c:pt>
                <c:pt idx="522">
                  <c:v>2730</c:v>
                </c:pt>
                <c:pt idx="523">
                  <c:v>2730</c:v>
                </c:pt>
                <c:pt idx="524">
                  <c:v>2740</c:v>
                </c:pt>
                <c:pt idx="525">
                  <c:v>2740</c:v>
                </c:pt>
                <c:pt idx="526">
                  <c:v>2750</c:v>
                </c:pt>
                <c:pt idx="527">
                  <c:v>2750</c:v>
                </c:pt>
                <c:pt idx="528">
                  <c:v>2760</c:v>
                </c:pt>
                <c:pt idx="529">
                  <c:v>2760</c:v>
                </c:pt>
                <c:pt idx="530">
                  <c:v>2770</c:v>
                </c:pt>
                <c:pt idx="531">
                  <c:v>2770</c:v>
                </c:pt>
                <c:pt idx="532">
                  <c:v>2780</c:v>
                </c:pt>
                <c:pt idx="533">
                  <c:v>2780</c:v>
                </c:pt>
                <c:pt idx="534">
                  <c:v>2790</c:v>
                </c:pt>
                <c:pt idx="535">
                  <c:v>2790</c:v>
                </c:pt>
                <c:pt idx="536">
                  <c:v>2800</c:v>
                </c:pt>
                <c:pt idx="537">
                  <c:v>2800</c:v>
                </c:pt>
                <c:pt idx="538">
                  <c:v>2810</c:v>
                </c:pt>
                <c:pt idx="539">
                  <c:v>2810</c:v>
                </c:pt>
                <c:pt idx="540">
                  <c:v>2820</c:v>
                </c:pt>
                <c:pt idx="541">
                  <c:v>2820</c:v>
                </c:pt>
                <c:pt idx="542">
                  <c:v>2830</c:v>
                </c:pt>
                <c:pt idx="543">
                  <c:v>2830</c:v>
                </c:pt>
                <c:pt idx="544">
                  <c:v>2840</c:v>
                </c:pt>
                <c:pt idx="545">
                  <c:v>2840</c:v>
                </c:pt>
                <c:pt idx="546">
                  <c:v>2850</c:v>
                </c:pt>
                <c:pt idx="547">
                  <c:v>2850</c:v>
                </c:pt>
                <c:pt idx="548">
                  <c:v>2860</c:v>
                </c:pt>
                <c:pt idx="549">
                  <c:v>2860</c:v>
                </c:pt>
                <c:pt idx="550">
                  <c:v>2870</c:v>
                </c:pt>
                <c:pt idx="551">
                  <c:v>2870</c:v>
                </c:pt>
                <c:pt idx="552">
                  <c:v>2880</c:v>
                </c:pt>
                <c:pt idx="553">
                  <c:v>2880</c:v>
                </c:pt>
                <c:pt idx="554">
                  <c:v>2890</c:v>
                </c:pt>
                <c:pt idx="555">
                  <c:v>2890</c:v>
                </c:pt>
                <c:pt idx="556">
                  <c:v>2900</c:v>
                </c:pt>
                <c:pt idx="557">
                  <c:v>2900</c:v>
                </c:pt>
                <c:pt idx="558">
                  <c:v>2910</c:v>
                </c:pt>
                <c:pt idx="559">
                  <c:v>2910</c:v>
                </c:pt>
                <c:pt idx="560">
                  <c:v>2920</c:v>
                </c:pt>
                <c:pt idx="561">
                  <c:v>2920</c:v>
                </c:pt>
                <c:pt idx="562">
                  <c:v>2930</c:v>
                </c:pt>
                <c:pt idx="563">
                  <c:v>2930</c:v>
                </c:pt>
                <c:pt idx="564">
                  <c:v>2940</c:v>
                </c:pt>
                <c:pt idx="565">
                  <c:v>2940</c:v>
                </c:pt>
                <c:pt idx="566">
                  <c:v>2950</c:v>
                </c:pt>
                <c:pt idx="567">
                  <c:v>2950</c:v>
                </c:pt>
                <c:pt idx="568">
                  <c:v>2960</c:v>
                </c:pt>
                <c:pt idx="569">
                  <c:v>2960</c:v>
                </c:pt>
                <c:pt idx="570">
                  <c:v>2970</c:v>
                </c:pt>
                <c:pt idx="571">
                  <c:v>2970</c:v>
                </c:pt>
                <c:pt idx="572">
                  <c:v>2980</c:v>
                </c:pt>
                <c:pt idx="573">
                  <c:v>2980</c:v>
                </c:pt>
                <c:pt idx="574">
                  <c:v>2990</c:v>
                </c:pt>
                <c:pt idx="575">
                  <c:v>2990</c:v>
                </c:pt>
                <c:pt idx="576">
                  <c:v>3000</c:v>
                </c:pt>
                <c:pt idx="577">
                  <c:v>3000</c:v>
                </c:pt>
                <c:pt idx="578">
                  <c:v>3010</c:v>
                </c:pt>
                <c:pt idx="579">
                  <c:v>3010</c:v>
                </c:pt>
                <c:pt idx="580">
                  <c:v>3020</c:v>
                </c:pt>
                <c:pt idx="581">
                  <c:v>3020</c:v>
                </c:pt>
                <c:pt idx="582">
                  <c:v>3030</c:v>
                </c:pt>
                <c:pt idx="583">
                  <c:v>3030</c:v>
                </c:pt>
                <c:pt idx="584">
                  <c:v>3040</c:v>
                </c:pt>
                <c:pt idx="585">
                  <c:v>3040</c:v>
                </c:pt>
                <c:pt idx="586">
                  <c:v>3050</c:v>
                </c:pt>
                <c:pt idx="587">
                  <c:v>3050</c:v>
                </c:pt>
                <c:pt idx="588">
                  <c:v>3060</c:v>
                </c:pt>
                <c:pt idx="589">
                  <c:v>3060</c:v>
                </c:pt>
                <c:pt idx="590">
                  <c:v>3070</c:v>
                </c:pt>
                <c:pt idx="591">
                  <c:v>3070</c:v>
                </c:pt>
                <c:pt idx="592">
                  <c:v>3080</c:v>
                </c:pt>
                <c:pt idx="593">
                  <c:v>3080</c:v>
                </c:pt>
                <c:pt idx="594">
                  <c:v>3090</c:v>
                </c:pt>
                <c:pt idx="595">
                  <c:v>3090</c:v>
                </c:pt>
                <c:pt idx="596">
                  <c:v>3100</c:v>
                </c:pt>
                <c:pt idx="597">
                  <c:v>3100</c:v>
                </c:pt>
                <c:pt idx="598">
                  <c:v>3110</c:v>
                </c:pt>
                <c:pt idx="599">
                  <c:v>3110</c:v>
                </c:pt>
                <c:pt idx="600">
                  <c:v>3120</c:v>
                </c:pt>
                <c:pt idx="601">
                  <c:v>3120</c:v>
                </c:pt>
                <c:pt idx="602">
                  <c:v>3130</c:v>
                </c:pt>
                <c:pt idx="603">
                  <c:v>3130</c:v>
                </c:pt>
                <c:pt idx="604">
                  <c:v>3140</c:v>
                </c:pt>
                <c:pt idx="605">
                  <c:v>3140</c:v>
                </c:pt>
                <c:pt idx="606">
                  <c:v>3150</c:v>
                </c:pt>
                <c:pt idx="607">
                  <c:v>3150</c:v>
                </c:pt>
                <c:pt idx="608">
                  <c:v>3160</c:v>
                </c:pt>
                <c:pt idx="609">
                  <c:v>3160</c:v>
                </c:pt>
                <c:pt idx="610">
                  <c:v>3170</c:v>
                </c:pt>
                <c:pt idx="611">
                  <c:v>3170</c:v>
                </c:pt>
                <c:pt idx="612">
                  <c:v>3180</c:v>
                </c:pt>
                <c:pt idx="613">
                  <c:v>3180</c:v>
                </c:pt>
                <c:pt idx="614">
                  <c:v>3190</c:v>
                </c:pt>
                <c:pt idx="615">
                  <c:v>3190</c:v>
                </c:pt>
                <c:pt idx="616">
                  <c:v>3200</c:v>
                </c:pt>
                <c:pt idx="617">
                  <c:v>3200</c:v>
                </c:pt>
                <c:pt idx="618">
                  <c:v>3210</c:v>
                </c:pt>
                <c:pt idx="619">
                  <c:v>3210</c:v>
                </c:pt>
                <c:pt idx="620">
                  <c:v>3220</c:v>
                </c:pt>
                <c:pt idx="621">
                  <c:v>3220</c:v>
                </c:pt>
                <c:pt idx="622">
                  <c:v>3230</c:v>
                </c:pt>
                <c:pt idx="623">
                  <c:v>3230</c:v>
                </c:pt>
                <c:pt idx="624">
                  <c:v>3240</c:v>
                </c:pt>
                <c:pt idx="625">
                  <c:v>3240</c:v>
                </c:pt>
                <c:pt idx="626">
                  <c:v>3250</c:v>
                </c:pt>
                <c:pt idx="627">
                  <c:v>3250</c:v>
                </c:pt>
                <c:pt idx="628">
                  <c:v>3260</c:v>
                </c:pt>
                <c:pt idx="629">
                  <c:v>3260</c:v>
                </c:pt>
                <c:pt idx="630">
                  <c:v>3270</c:v>
                </c:pt>
                <c:pt idx="631">
                  <c:v>3270</c:v>
                </c:pt>
                <c:pt idx="632">
                  <c:v>3280</c:v>
                </c:pt>
                <c:pt idx="633">
                  <c:v>3280</c:v>
                </c:pt>
                <c:pt idx="634">
                  <c:v>3290</c:v>
                </c:pt>
                <c:pt idx="635">
                  <c:v>3290</c:v>
                </c:pt>
                <c:pt idx="636">
                  <c:v>3300</c:v>
                </c:pt>
                <c:pt idx="637">
                  <c:v>3300</c:v>
                </c:pt>
                <c:pt idx="638">
                  <c:v>3310</c:v>
                </c:pt>
                <c:pt idx="639">
                  <c:v>3310</c:v>
                </c:pt>
                <c:pt idx="640">
                  <c:v>3320</c:v>
                </c:pt>
                <c:pt idx="641">
                  <c:v>3320</c:v>
                </c:pt>
                <c:pt idx="642">
                  <c:v>3330</c:v>
                </c:pt>
                <c:pt idx="643">
                  <c:v>3330</c:v>
                </c:pt>
                <c:pt idx="644">
                  <c:v>3340</c:v>
                </c:pt>
                <c:pt idx="645">
                  <c:v>3340</c:v>
                </c:pt>
                <c:pt idx="646">
                  <c:v>3350</c:v>
                </c:pt>
                <c:pt idx="647">
                  <c:v>3350</c:v>
                </c:pt>
                <c:pt idx="648">
                  <c:v>3360</c:v>
                </c:pt>
                <c:pt idx="649">
                  <c:v>3360</c:v>
                </c:pt>
                <c:pt idx="650">
                  <c:v>3370</c:v>
                </c:pt>
                <c:pt idx="651">
                  <c:v>3370</c:v>
                </c:pt>
                <c:pt idx="652">
                  <c:v>3380</c:v>
                </c:pt>
                <c:pt idx="653">
                  <c:v>3380</c:v>
                </c:pt>
                <c:pt idx="654">
                  <c:v>3390</c:v>
                </c:pt>
                <c:pt idx="655">
                  <c:v>3390</c:v>
                </c:pt>
                <c:pt idx="656">
                  <c:v>3400</c:v>
                </c:pt>
                <c:pt idx="657">
                  <c:v>3400</c:v>
                </c:pt>
                <c:pt idx="658">
                  <c:v>3410</c:v>
                </c:pt>
                <c:pt idx="659">
                  <c:v>3410</c:v>
                </c:pt>
                <c:pt idx="660">
                  <c:v>3420</c:v>
                </c:pt>
                <c:pt idx="661">
                  <c:v>3420</c:v>
                </c:pt>
                <c:pt idx="662">
                  <c:v>3430</c:v>
                </c:pt>
                <c:pt idx="663">
                  <c:v>3430</c:v>
                </c:pt>
                <c:pt idx="664">
                  <c:v>3440</c:v>
                </c:pt>
                <c:pt idx="665">
                  <c:v>3440</c:v>
                </c:pt>
                <c:pt idx="666">
                  <c:v>3450</c:v>
                </c:pt>
                <c:pt idx="667">
                  <c:v>3450</c:v>
                </c:pt>
                <c:pt idx="668">
                  <c:v>3460</c:v>
                </c:pt>
                <c:pt idx="669">
                  <c:v>3460</c:v>
                </c:pt>
                <c:pt idx="670">
                  <c:v>3470</c:v>
                </c:pt>
                <c:pt idx="671">
                  <c:v>3470</c:v>
                </c:pt>
                <c:pt idx="672">
                  <c:v>3480</c:v>
                </c:pt>
                <c:pt idx="673">
                  <c:v>3480</c:v>
                </c:pt>
                <c:pt idx="674">
                  <c:v>3490</c:v>
                </c:pt>
                <c:pt idx="675">
                  <c:v>3490</c:v>
                </c:pt>
                <c:pt idx="676">
                  <c:v>3500</c:v>
                </c:pt>
                <c:pt idx="677">
                  <c:v>3500</c:v>
                </c:pt>
                <c:pt idx="678">
                  <c:v>3510</c:v>
                </c:pt>
                <c:pt idx="679">
                  <c:v>3510</c:v>
                </c:pt>
                <c:pt idx="680">
                  <c:v>3520</c:v>
                </c:pt>
                <c:pt idx="681">
                  <c:v>3520</c:v>
                </c:pt>
                <c:pt idx="682">
                  <c:v>3530</c:v>
                </c:pt>
                <c:pt idx="683">
                  <c:v>3530</c:v>
                </c:pt>
                <c:pt idx="684">
                  <c:v>3540</c:v>
                </c:pt>
                <c:pt idx="685">
                  <c:v>3540</c:v>
                </c:pt>
                <c:pt idx="686">
                  <c:v>3550</c:v>
                </c:pt>
                <c:pt idx="687">
                  <c:v>3550</c:v>
                </c:pt>
                <c:pt idx="688">
                  <c:v>3560</c:v>
                </c:pt>
                <c:pt idx="689">
                  <c:v>3560</c:v>
                </c:pt>
                <c:pt idx="690">
                  <c:v>3570</c:v>
                </c:pt>
                <c:pt idx="691">
                  <c:v>3570</c:v>
                </c:pt>
                <c:pt idx="692">
                  <c:v>3580</c:v>
                </c:pt>
                <c:pt idx="693">
                  <c:v>3580</c:v>
                </c:pt>
                <c:pt idx="694">
                  <c:v>3590</c:v>
                </c:pt>
                <c:pt idx="695">
                  <c:v>3590</c:v>
                </c:pt>
                <c:pt idx="696">
                  <c:v>3600</c:v>
                </c:pt>
                <c:pt idx="697">
                  <c:v>3600</c:v>
                </c:pt>
                <c:pt idx="698">
                  <c:v>3610</c:v>
                </c:pt>
                <c:pt idx="699">
                  <c:v>3610</c:v>
                </c:pt>
                <c:pt idx="700">
                  <c:v>3620</c:v>
                </c:pt>
                <c:pt idx="701">
                  <c:v>3620</c:v>
                </c:pt>
                <c:pt idx="702">
                  <c:v>3630</c:v>
                </c:pt>
                <c:pt idx="703">
                  <c:v>3630</c:v>
                </c:pt>
                <c:pt idx="704">
                  <c:v>3640</c:v>
                </c:pt>
                <c:pt idx="705">
                  <c:v>3640</c:v>
                </c:pt>
                <c:pt idx="706">
                  <c:v>3650</c:v>
                </c:pt>
                <c:pt idx="707">
                  <c:v>3650</c:v>
                </c:pt>
                <c:pt idx="708">
                  <c:v>3660</c:v>
                </c:pt>
                <c:pt idx="709">
                  <c:v>3660</c:v>
                </c:pt>
                <c:pt idx="710">
                  <c:v>3670</c:v>
                </c:pt>
                <c:pt idx="711">
                  <c:v>3670</c:v>
                </c:pt>
                <c:pt idx="712">
                  <c:v>3680</c:v>
                </c:pt>
                <c:pt idx="713">
                  <c:v>3680</c:v>
                </c:pt>
                <c:pt idx="714">
                  <c:v>3690</c:v>
                </c:pt>
                <c:pt idx="715">
                  <c:v>3690</c:v>
                </c:pt>
                <c:pt idx="716">
                  <c:v>3700</c:v>
                </c:pt>
                <c:pt idx="717">
                  <c:v>3700</c:v>
                </c:pt>
                <c:pt idx="718">
                  <c:v>3710</c:v>
                </c:pt>
                <c:pt idx="719">
                  <c:v>3710</c:v>
                </c:pt>
                <c:pt idx="720">
                  <c:v>3720</c:v>
                </c:pt>
                <c:pt idx="721">
                  <c:v>3720</c:v>
                </c:pt>
                <c:pt idx="722">
                  <c:v>3730</c:v>
                </c:pt>
                <c:pt idx="723">
                  <c:v>3730</c:v>
                </c:pt>
                <c:pt idx="724">
                  <c:v>3740</c:v>
                </c:pt>
                <c:pt idx="725">
                  <c:v>3740</c:v>
                </c:pt>
                <c:pt idx="726">
                  <c:v>3750</c:v>
                </c:pt>
                <c:pt idx="727">
                  <c:v>3750</c:v>
                </c:pt>
                <c:pt idx="728">
                  <c:v>3760</c:v>
                </c:pt>
                <c:pt idx="729">
                  <c:v>3760</c:v>
                </c:pt>
                <c:pt idx="730">
                  <c:v>3770</c:v>
                </c:pt>
                <c:pt idx="731">
                  <c:v>3770</c:v>
                </c:pt>
                <c:pt idx="732">
                  <c:v>3780</c:v>
                </c:pt>
                <c:pt idx="733">
                  <c:v>3780</c:v>
                </c:pt>
                <c:pt idx="734">
                  <c:v>3790</c:v>
                </c:pt>
                <c:pt idx="735">
                  <c:v>3790</c:v>
                </c:pt>
                <c:pt idx="736">
                  <c:v>3800</c:v>
                </c:pt>
                <c:pt idx="737">
                  <c:v>3800</c:v>
                </c:pt>
                <c:pt idx="738">
                  <c:v>3810</c:v>
                </c:pt>
                <c:pt idx="739">
                  <c:v>3810</c:v>
                </c:pt>
                <c:pt idx="740">
                  <c:v>3820</c:v>
                </c:pt>
                <c:pt idx="741">
                  <c:v>3820</c:v>
                </c:pt>
                <c:pt idx="742">
                  <c:v>3830</c:v>
                </c:pt>
                <c:pt idx="743">
                  <c:v>3830</c:v>
                </c:pt>
                <c:pt idx="744">
                  <c:v>3840</c:v>
                </c:pt>
                <c:pt idx="745">
                  <c:v>3840</c:v>
                </c:pt>
                <c:pt idx="746">
                  <c:v>3850</c:v>
                </c:pt>
                <c:pt idx="747">
                  <c:v>3850</c:v>
                </c:pt>
                <c:pt idx="748">
                  <c:v>3860</c:v>
                </c:pt>
                <c:pt idx="749">
                  <c:v>3860</c:v>
                </c:pt>
                <c:pt idx="750">
                  <c:v>3870</c:v>
                </c:pt>
                <c:pt idx="751">
                  <c:v>3870</c:v>
                </c:pt>
                <c:pt idx="752">
                  <c:v>3880</c:v>
                </c:pt>
                <c:pt idx="753">
                  <c:v>3880</c:v>
                </c:pt>
                <c:pt idx="754">
                  <c:v>3890</c:v>
                </c:pt>
                <c:pt idx="755">
                  <c:v>3890</c:v>
                </c:pt>
                <c:pt idx="756">
                  <c:v>3900</c:v>
                </c:pt>
                <c:pt idx="757">
                  <c:v>3900</c:v>
                </c:pt>
                <c:pt idx="758">
                  <c:v>3910</c:v>
                </c:pt>
                <c:pt idx="759">
                  <c:v>3910</c:v>
                </c:pt>
                <c:pt idx="760">
                  <c:v>3920</c:v>
                </c:pt>
                <c:pt idx="761">
                  <c:v>3920</c:v>
                </c:pt>
                <c:pt idx="762">
                  <c:v>3930</c:v>
                </c:pt>
                <c:pt idx="763">
                  <c:v>3930</c:v>
                </c:pt>
                <c:pt idx="764">
                  <c:v>3940</c:v>
                </c:pt>
                <c:pt idx="765">
                  <c:v>3940</c:v>
                </c:pt>
                <c:pt idx="766">
                  <c:v>3950</c:v>
                </c:pt>
                <c:pt idx="767">
                  <c:v>3950</c:v>
                </c:pt>
                <c:pt idx="768">
                  <c:v>3960</c:v>
                </c:pt>
                <c:pt idx="769">
                  <c:v>3960</c:v>
                </c:pt>
                <c:pt idx="770">
                  <c:v>3970</c:v>
                </c:pt>
                <c:pt idx="771">
                  <c:v>3970</c:v>
                </c:pt>
                <c:pt idx="772">
                  <c:v>3980</c:v>
                </c:pt>
                <c:pt idx="773">
                  <c:v>3980</c:v>
                </c:pt>
                <c:pt idx="774">
                  <c:v>3990</c:v>
                </c:pt>
                <c:pt idx="775">
                  <c:v>3990</c:v>
                </c:pt>
                <c:pt idx="776">
                  <c:v>4000</c:v>
                </c:pt>
                <c:pt idx="777">
                  <c:v>4000</c:v>
                </c:pt>
                <c:pt idx="778">
                  <c:v>4010</c:v>
                </c:pt>
                <c:pt idx="779">
                  <c:v>4010</c:v>
                </c:pt>
                <c:pt idx="780">
                  <c:v>4020</c:v>
                </c:pt>
                <c:pt idx="781">
                  <c:v>4020</c:v>
                </c:pt>
                <c:pt idx="782">
                  <c:v>4030</c:v>
                </c:pt>
                <c:pt idx="783">
                  <c:v>4030</c:v>
                </c:pt>
                <c:pt idx="784">
                  <c:v>4040</c:v>
                </c:pt>
                <c:pt idx="785">
                  <c:v>4040</c:v>
                </c:pt>
                <c:pt idx="786">
                  <c:v>4050</c:v>
                </c:pt>
                <c:pt idx="787">
                  <c:v>4050</c:v>
                </c:pt>
                <c:pt idx="788">
                  <c:v>4060</c:v>
                </c:pt>
                <c:pt idx="789">
                  <c:v>4060</c:v>
                </c:pt>
                <c:pt idx="790">
                  <c:v>4070</c:v>
                </c:pt>
                <c:pt idx="791">
                  <c:v>4070</c:v>
                </c:pt>
                <c:pt idx="792">
                  <c:v>4080</c:v>
                </c:pt>
                <c:pt idx="793">
                  <c:v>4080</c:v>
                </c:pt>
                <c:pt idx="794">
                  <c:v>4090</c:v>
                </c:pt>
                <c:pt idx="795">
                  <c:v>4090</c:v>
                </c:pt>
                <c:pt idx="796">
                  <c:v>4100</c:v>
                </c:pt>
                <c:pt idx="797">
                  <c:v>4100</c:v>
                </c:pt>
                <c:pt idx="798">
                  <c:v>4110</c:v>
                </c:pt>
                <c:pt idx="799">
                  <c:v>4110</c:v>
                </c:pt>
                <c:pt idx="800">
                  <c:v>4120</c:v>
                </c:pt>
                <c:pt idx="801">
                  <c:v>4120</c:v>
                </c:pt>
                <c:pt idx="802">
                  <c:v>4130</c:v>
                </c:pt>
                <c:pt idx="803">
                  <c:v>4130</c:v>
                </c:pt>
                <c:pt idx="804">
                  <c:v>4140</c:v>
                </c:pt>
                <c:pt idx="805">
                  <c:v>4140</c:v>
                </c:pt>
                <c:pt idx="806">
                  <c:v>4150</c:v>
                </c:pt>
                <c:pt idx="807">
                  <c:v>4150</c:v>
                </c:pt>
                <c:pt idx="808">
                  <c:v>4160</c:v>
                </c:pt>
                <c:pt idx="809">
                  <c:v>4160</c:v>
                </c:pt>
                <c:pt idx="810">
                  <c:v>4170</c:v>
                </c:pt>
                <c:pt idx="811">
                  <c:v>4170</c:v>
                </c:pt>
                <c:pt idx="812">
                  <c:v>4180</c:v>
                </c:pt>
                <c:pt idx="813">
                  <c:v>4180</c:v>
                </c:pt>
                <c:pt idx="814">
                  <c:v>4190</c:v>
                </c:pt>
                <c:pt idx="815">
                  <c:v>4190</c:v>
                </c:pt>
                <c:pt idx="816">
                  <c:v>4200</c:v>
                </c:pt>
                <c:pt idx="817">
                  <c:v>4200</c:v>
                </c:pt>
                <c:pt idx="818">
                  <c:v>4210</c:v>
                </c:pt>
                <c:pt idx="819">
                  <c:v>4210</c:v>
                </c:pt>
                <c:pt idx="820">
                  <c:v>4220</c:v>
                </c:pt>
                <c:pt idx="821">
                  <c:v>4220</c:v>
                </c:pt>
                <c:pt idx="822">
                  <c:v>4230</c:v>
                </c:pt>
                <c:pt idx="823">
                  <c:v>4230</c:v>
                </c:pt>
                <c:pt idx="824">
                  <c:v>4240</c:v>
                </c:pt>
                <c:pt idx="825">
                  <c:v>4240</c:v>
                </c:pt>
              </c:numCache>
            </c:numRef>
          </c:xVal>
          <c:yVal>
            <c:numRef>
              <c:f>'Fossil 150 yrs'!$AM$2:$AM$827</c:f>
              <c:numCache>
                <c:formatCode>General</c:formatCode>
                <c:ptCount val="826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1</c:v>
                </c:pt>
                <c:pt idx="4">
                  <c:v>1</c:v>
                </c:pt>
                <c:pt idx="5">
                  <c:v>13</c:v>
                </c:pt>
                <c:pt idx="6">
                  <c:v>13</c:v>
                </c:pt>
                <c:pt idx="7">
                  <c:v>47</c:v>
                </c:pt>
                <c:pt idx="8">
                  <c:v>47</c:v>
                </c:pt>
                <c:pt idx="9">
                  <c:v>103</c:v>
                </c:pt>
                <c:pt idx="10">
                  <c:v>103</c:v>
                </c:pt>
                <c:pt idx="11">
                  <c:v>201</c:v>
                </c:pt>
                <c:pt idx="12">
                  <c:v>201</c:v>
                </c:pt>
                <c:pt idx="13">
                  <c:v>340</c:v>
                </c:pt>
                <c:pt idx="14">
                  <c:v>340</c:v>
                </c:pt>
                <c:pt idx="15">
                  <c:v>517</c:v>
                </c:pt>
                <c:pt idx="16">
                  <c:v>517</c:v>
                </c:pt>
                <c:pt idx="17">
                  <c:v>596</c:v>
                </c:pt>
                <c:pt idx="18">
                  <c:v>596</c:v>
                </c:pt>
                <c:pt idx="19">
                  <c:v>736</c:v>
                </c:pt>
                <c:pt idx="20">
                  <c:v>736</c:v>
                </c:pt>
                <c:pt idx="21">
                  <c:v>887</c:v>
                </c:pt>
                <c:pt idx="22">
                  <c:v>887</c:v>
                </c:pt>
                <c:pt idx="23">
                  <c:v>939</c:v>
                </c:pt>
                <c:pt idx="24">
                  <c:v>939</c:v>
                </c:pt>
                <c:pt idx="25">
                  <c:v>911</c:v>
                </c:pt>
                <c:pt idx="26">
                  <c:v>911</c:v>
                </c:pt>
                <c:pt idx="27">
                  <c:v>852</c:v>
                </c:pt>
                <c:pt idx="28">
                  <c:v>852</c:v>
                </c:pt>
                <c:pt idx="29">
                  <c:v>791</c:v>
                </c:pt>
                <c:pt idx="30">
                  <c:v>791</c:v>
                </c:pt>
                <c:pt idx="31">
                  <c:v>647</c:v>
                </c:pt>
                <c:pt idx="32">
                  <c:v>647</c:v>
                </c:pt>
                <c:pt idx="33">
                  <c:v>575</c:v>
                </c:pt>
                <c:pt idx="34">
                  <c:v>575</c:v>
                </c:pt>
                <c:pt idx="35">
                  <c:v>438</c:v>
                </c:pt>
                <c:pt idx="36">
                  <c:v>438</c:v>
                </c:pt>
                <c:pt idx="37">
                  <c:v>362</c:v>
                </c:pt>
                <c:pt idx="38">
                  <c:v>362</c:v>
                </c:pt>
                <c:pt idx="39">
                  <c:v>241</c:v>
                </c:pt>
                <c:pt idx="40">
                  <c:v>241</c:v>
                </c:pt>
                <c:pt idx="41">
                  <c:v>217</c:v>
                </c:pt>
                <c:pt idx="42">
                  <c:v>217</c:v>
                </c:pt>
                <c:pt idx="43">
                  <c:v>143</c:v>
                </c:pt>
                <c:pt idx="44">
                  <c:v>143</c:v>
                </c:pt>
                <c:pt idx="45">
                  <c:v>122</c:v>
                </c:pt>
                <c:pt idx="46">
                  <c:v>122</c:v>
                </c:pt>
                <c:pt idx="47">
                  <c:v>96</c:v>
                </c:pt>
                <c:pt idx="48">
                  <c:v>96</c:v>
                </c:pt>
                <c:pt idx="49">
                  <c:v>69</c:v>
                </c:pt>
                <c:pt idx="50">
                  <c:v>69</c:v>
                </c:pt>
                <c:pt idx="51">
                  <c:v>49</c:v>
                </c:pt>
                <c:pt idx="52">
                  <c:v>49</c:v>
                </c:pt>
                <c:pt idx="53">
                  <c:v>25</c:v>
                </c:pt>
                <c:pt idx="54">
                  <c:v>25</c:v>
                </c:pt>
                <c:pt idx="55">
                  <c:v>25</c:v>
                </c:pt>
                <c:pt idx="56">
                  <c:v>25</c:v>
                </c:pt>
                <c:pt idx="57">
                  <c:v>17</c:v>
                </c:pt>
                <c:pt idx="58">
                  <c:v>17</c:v>
                </c:pt>
                <c:pt idx="59">
                  <c:v>22</c:v>
                </c:pt>
                <c:pt idx="60">
                  <c:v>22</c:v>
                </c:pt>
                <c:pt idx="61">
                  <c:v>4</c:v>
                </c:pt>
                <c:pt idx="62">
                  <c:v>4</c:v>
                </c:pt>
                <c:pt idx="63">
                  <c:v>5</c:v>
                </c:pt>
                <c:pt idx="64">
                  <c:v>5</c:v>
                </c:pt>
                <c:pt idx="65">
                  <c:v>3</c:v>
                </c:pt>
                <c:pt idx="66">
                  <c:v>3</c:v>
                </c:pt>
                <c:pt idx="67">
                  <c:v>2</c:v>
                </c:pt>
                <c:pt idx="68">
                  <c:v>2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660-4D05-AF83-3F868C13C3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0844688"/>
        <c:axId val="710845248"/>
      </c:scatterChart>
      <c:valAx>
        <c:axId val="710844688"/>
        <c:scaling>
          <c:orientation val="minMax"/>
          <c:max val="4240"/>
          <c:min val="120"/>
        </c:scaling>
        <c:delete val="0"/>
        <c:axPos val="b"/>
        <c:numFmt formatCode="General" sourceLinked="1"/>
        <c:majorTickMark val="out"/>
        <c:minorTickMark val="none"/>
        <c:tickLblPos val="nextTo"/>
        <c:crossAx val="710845248"/>
        <c:crosses val="autoZero"/>
        <c:crossBetween val="midCat"/>
      </c:valAx>
      <c:valAx>
        <c:axId val="7108452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one"/>
        <c:spPr>
          <a:ln w="25400">
            <a:noFill/>
          </a:ln>
        </c:spPr>
        <c:crossAx val="7108446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'Terrestrial Life 150 yrs'!$AL$1</c:f>
              <c:strCache>
                <c:ptCount val="1"/>
                <c:pt idx="0">
                  <c:v>MCMC Madness'!$EU$24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'Terrestrial Life 150 yrs'!$AK$2:$AK$103</c:f>
              <c:numCache>
                <c:formatCode>General</c:formatCode>
                <c:ptCount val="102"/>
                <c:pt idx="0">
                  <c:v>400</c:v>
                </c:pt>
                <c:pt idx="1">
                  <c:v>400</c:v>
                </c:pt>
                <c:pt idx="2">
                  <c:v>450</c:v>
                </c:pt>
                <c:pt idx="3">
                  <c:v>450</c:v>
                </c:pt>
                <c:pt idx="4">
                  <c:v>500</c:v>
                </c:pt>
                <c:pt idx="5">
                  <c:v>500</c:v>
                </c:pt>
                <c:pt idx="6">
                  <c:v>550</c:v>
                </c:pt>
                <c:pt idx="7">
                  <c:v>550</c:v>
                </c:pt>
                <c:pt idx="8">
                  <c:v>600</c:v>
                </c:pt>
                <c:pt idx="9">
                  <c:v>600</c:v>
                </c:pt>
                <c:pt idx="10">
                  <c:v>650</c:v>
                </c:pt>
                <c:pt idx="11">
                  <c:v>650</c:v>
                </c:pt>
                <c:pt idx="12">
                  <c:v>700</c:v>
                </c:pt>
                <c:pt idx="13">
                  <c:v>700</c:v>
                </c:pt>
                <c:pt idx="14">
                  <c:v>750</c:v>
                </c:pt>
                <c:pt idx="15">
                  <c:v>750</c:v>
                </c:pt>
                <c:pt idx="16">
                  <c:v>800</c:v>
                </c:pt>
                <c:pt idx="17">
                  <c:v>800</c:v>
                </c:pt>
                <c:pt idx="18">
                  <c:v>850</c:v>
                </c:pt>
                <c:pt idx="19">
                  <c:v>850</c:v>
                </c:pt>
                <c:pt idx="20">
                  <c:v>900</c:v>
                </c:pt>
                <c:pt idx="21">
                  <c:v>900</c:v>
                </c:pt>
                <c:pt idx="22">
                  <c:v>950</c:v>
                </c:pt>
                <c:pt idx="23">
                  <c:v>950</c:v>
                </c:pt>
                <c:pt idx="24">
                  <c:v>1000</c:v>
                </c:pt>
                <c:pt idx="25">
                  <c:v>1000</c:v>
                </c:pt>
                <c:pt idx="26">
                  <c:v>1050</c:v>
                </c:pt>
                <c:pt idx="27">
                  <c:v>1050</c:v>
                </c:pt>
                <c:pt idx="28">
                  <c:v>1100</c:v>
                </c:pt>
                <c:pt idx="29">
                  <c:v>1100</c:v>
                </c:pt>
                <c:pt idx="30">
                  <c:v>1150</c:v>
                </c:pt>
                <c:pt idx="31">
                  <c:v>1150</c:v>
                </c:pt>
                <c:pt idx="32">
                  <c:v>1200</c:v>
                </c:pt>
                <c:pt idx="33">
                  <c:v>1200</c:v>
                </c:pt>
                <c:pt idx="34">
                  <c:v>1250</c:v>
                </c:pt>
                <c:pt idx="35">
                  <c:v>1250</c:v>
                </c:pt>
                <c:pt idx="36">
                  <c:v>1300</c:v>
                </c:pt>
                <c:pt idx="37">
                  <c:v>1300</c:v>
                </c:pt>
                <c:pt idx="38">
                  <c:v>1350</c:v>
                </c:pt>
                <c:pt idx="39">
                  <c:v>1350</c:v>
                </c:pt>
                <c:pt idx="40">
                  <c:v>1400</c:v>
                </c:pt>
                <c:pt idx="41">
                  <c:v>1400</c:v>
                </c:pt>
                <c:pt idx="42">
                  <c:v>1450</c:v>
                </c:pt>
                <c:pt idx="43">
                  <c:v>1450</c:v>
                </c:pt>
                <c:pt idx="44">
                  <c:v>1500</c:v>
                </c:pt>
                <c:pt idx="45">
                  <c:v>1500</c:v>
                </c:pt>
                <c:pt idx="46">
                  <c:v>1550</c:v>
                </c:pt>
                <c:pt idx="47">
                  <c:v>1550</c:v>
                </c:pt>
                <c:pt idx="48">
                  <c:v>1600</c:v>
                </c:pt>
                <c:pt idx="49">
                  <c:v>1600</c:v>
                </c:pt>
                <c:pt idx="50">
                  <c:v>1650</c:v>
                </c:pt>
                <c:pt idx="51">
                  <c:v>1650</c:v>
                </c:pt>
                <c:pt idx="52">
                  <c:v>1700</c:v>
                </c:pt>
                <c:pt idx="53">
                  <c:v>1700</c:v>
                </c:pt>
                <c:pt idx="54">
                  <c:v>1750</c:v>
                </c:pt>
                <c:pt idx="55">
                  <c:v>1750</c:v>
                </c:pt>
                <c:pt idx="56">
                  <c:v>1800</c:v>
                </c:pt>
                <c:pt idx="57">
                  <c:v>1800</c:v>
                </c:pt>
                <c:pt idx="58">
                  <c:v>1850</c:v>
                </c:pt>
                <c:pt idx="59">
                  <c:v>1850</c:v>
                </c:pt>
                <c:pt idx="60">
                  <c:v>1900</c:v>
                </c:pt>
                <c:pt idx="61">
                  <c:v>1900</c:v>
                </c:pt>
                <c:pt idx="62">
                  <c:v>1950</c:v>
                </c:pt>
                <c:pt idx="63">
                  <c:v>1950</c:v>
                </c:pt>
                <c:pt idx="64">
                  <c:v>2000</c:v>
                </c:pt>
                <c:pt idx="65">
                  <c:v>2000</c:v>
                </c:pt>
                <c:pt idx="66">
                  <c:v>2050</c:v>
                </c:pt>
                <c:pt idx="67">
                  <c:v>2050</c:v>
                </c:pt>
                <c:pt idx="68">
                  <c:v>2100</c:v>
                </c:pt>
                <c:pt idx="69">
                  <c:v>2100</c:v>
                </c:pt>
                <c:pt idx="70">
                  <c:v>2150</c:v>
                </c:pt>
                <c:pt idx="71">
                  <c:v>2150</c:v>
                </c:pt>
                <c:pt idx="72">
                  <c:v>2200</c:v>
                </c:pt>
                <c:pt idx="73">
                  <c:v>2200</c:v>
                </c:pt>
                <c:pt idx="74">
                  <c:v>2250</c:v>
                </c:pt>
                <c:pt idx="75">
                  <c:v>2250</c:v>
                </c:pt>
                <c:pt idx="76">
                  <c:v>2300</c:v>
                </c:pt>
                <c:pt idx="77">
                  <c:v>2300</c:v>
                </c:pt>
                <c:pt idx="78">
                  <c:v>2350</c:v>
                </c:pt>
                <c:pt idx="79">
                  <c:v>2350</c:v>
                </c:pt>
                <c:pt idx="80">
                  <c:v>2400</c:v>
                </c:pt>
                <c:pt idx="81">
                  <c:v>2400</c:v>
                </c:pt>
                <c:pt idx="82">
                  <c:v>2450</c:v>
                </c:pt>
                <c:pt idx="83">
                  <c:v>2450</c:v>
                </c:pt>
                <c:pt idx="84">
                  <c:v>2500</c:v>
                </c:pt>
                <c:pt idx="85">
                  <c:v>2500</c:v>
                </c:pt>
                <c:pt idx="86">
                  <c:v>2550</c:v>
                </c:pt>
                <c:pt idx="87">
                  <c:v>2550</c:v>
                </c:pt>
                <c:pt idx="88">
                  <c:v>2600</c:v>
                </c:pt>
                <c:pt idx="89">
                  <c:v>2600</c:v>
                </c:pt>
                <c:pt idx="90">
                  <c:v>2650</c:v>
                </c:pt>
                <c:pt idx="91">
                  <c:v>2650</c:v>
                </c:pt>
                <c:pt idx="92">
                  <c:v>2700</c:v>
                </c:pt>
                <c:pt idx="93">
                  <c:v>2700</c:v>
                </c:pt>
                <c:pt idx="94">
                  <c:v>2750</c:v>
                </c:pt>
                <c:pt idx="95">
                  <c:v>2750</c:v>
                </c:pt>
                <c:pt idx="96">
                  <c:v>2800</c:v>
                </c:pt>
                <c:pt idx="97">
                  <c:v>2800</c:v>
                </c:pt>
                <c:pt idx="98">
                  <c:v>2850</c:v>
                </c:pt>
                <c:pt idx="99">
                  <c:v>2850</c:v>
                </c:pt>
                <c:pt idx="100">
                  <c:v>2900</c:v>
                </c:pt>
                <c:pt idx="101">
                  <c:v>2900</c:v>
                </c:pt>
              </c:numCache>
            </c:numRef>
          </c:xVal>
          <c:yVal>
            <c:numRef>
              <c:f>'Terrestrial Life 150 yrs'!$AL$2:$AL$103</c:f>
              <c:numCache>
                <c:formatCode>General</c:formatCode>
                <c:ptCount val="1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2</c:v>
                </c:pt>
                <c:pt idx="7">
                  <c:v>8</c:v>
                </c:pt>
                <c:pt idx="8">
                  <c:v>8</c:v>
                </c:pt>
                <c:pt idx="9">
                  <c:v>23</c:v>
                </c:pt>
                <c:pt idx="10">
                  <c:v>23</c:v>
                </c:pt>
                <c:pt idx="11">
                  <c:v>58</c:v>
                </c:pt>
                <c:pt idx="12">
                  <c:v>58</c:v>
                </c:pt>
                <c:pt idx="13">
                  <c:v>98</c:v>
                </c:pt>
                <c:pt idx="14">
                  <c:v>98</c:v>
                </c:pt>
                <c:pt idx="15">
                  <c:v>152</c:v>
                </c:pt>
                <c:pt idx="16">
                  <c:v>152</c:v>
                </c:pt>
                <c:pt idx="17">
                  <c:v>266</c:v>
                </c:pt>
                <c:pt idx="18">
                  <c:v>266</c:v>
                </c:pt>
                <c:pt idx="19">
                  <c:v>374</c:v>
                </c:pt>
                <c:pt idx="20">
                  <c:v>374</c:v>
                </c:pt>
                <c:pt idx="21">
                  <c:v>469</c:v>
                </c:pt>
                <c:pt idx="22">
                  <c:v>469</c:v>
                </c:pt>
                <c:pt idx="23">
                  <c:v>619</c:v>
                </c:pt>
                <c:pt idx="24">
                  <c:v>619</c:v>
                </c:pt>
                <c:pt idx="25">
                  <c:v>714</c:v>
                </c:pt>
                <c:pt idx="26">
                  <c:v>714</c:v>
                </c:pt>
                <c:pt idx="27">
                  <c:v>790</c:v>
                </c:pt>
                <c:pt idx="28">
                  <c:v>790</c:v>
                </c:pt>
                <c:pt idx="29">
                  <c:v>807</c:v>
                </c:pt>
                <c:pt idx="30">
                  <c:v>807</c:v>
                </c:pt>
                <c:pt idx="31">
                  <c:v>775</c:v>
                </c:pt>
                <c:pt idx="32">
                  <c:v>775</c:v>
                </c:pt>
                <c:pt idx="33">
                  <c:v>799</c:v>
                </c:pt>
                <c:pt idx="34">
                  <c:v>799</c:v>
                </c:pt>
                <c:pt idx="35">
                  <c:v>676</c:v>
                </c:pt>
                <c:pt idx="36">
                  <c:v>676</c:v>
                </c:pt>
                <c:pt idx="37">
                  <c:v>627</c:v>
                </c:pt>
                <c:pt idx="38">
                  <c:v>627</c:v>
                </c:pt>
                <c:pt idx="39">
                  <c:v>576</c:v>
                </c:pt>
                <c:pt idx="40">
                  <c:v>576</c:v>
                </c:pt>
                <c:pt idx="41">
                  <c:v>493</c:v>
                </c:pt>
                <c:pt idx="42">
                  <c:v>493</c:v>
                </c:pt>
                <c:pt idx="43">
                  <c:v>364</c:v>
                </c:pt>
                <c:pt idx="44">
                  <c:v>364</c:v>
                </c:pt>
                <c:pt idx="45">
                  <c:v>311</c:v>
                </c:pt>
                <c:pt idx="46">
                  <c:v>311</c:v>
                </c:pt>
                <c:pt idx="47">
                  <c:v>247</c:v>
                </c:pt>
                <c:pt idx="48">
                  <c:v>247</c:v>
                </c:pt>
                <c:pt idx="49">
                  <c:v>211</c:v>
                </c:pt>
                <c:pt idx="50">
                  <c:v>211</c:v>
                </c:pt>
                <c:pt idx="51">
                  <c:v>172</c:v>
                </c:pt>
                <c:pt idx="52">
                  <c:v>172</c:v>
                </c:pt>
                <c:pt idx="53">
                  <c:v>91</c:v>
                </c:pt>
                <c:pt idx="54">
                  <c:v>91</c:v>
                </c:pt>
                <c:pt idx="55">
                  <c:v>90</c:v>
                </c:pt>
                <c:pt idx="56">
                  <c:v>90</c:v>
                </c:pt>
                <c:pt idx="57">
                  <c:v>49</c:v>
                </c:pt>
                <c:pt idx="58">
                  <c:v>49</c:v>
                </c:pt>
                <c:pt idx="59">
                  <c:v>31</c:v>
                </c:pt>
                <c:pt idx="60">
                  <c:v>31</c:v>
                </c:pt>
                <c:pt idx="61">
                  <c:v>34</c:v>
                </c:pt>
                <c:pt idx="62">
                  <c:v>34</c:v>
                </c:pt>
                <c:pt idx="63">
                  <c:v>25</c:v>
                </c:pt>
                <c:pt idx="64">
                  <c:v>25</c:v>
                </c:pt>
                <c:pt idx="65">
                  <c:v>17</c:v>
                </c:pt>
                <c:pt idx="66">
                  <c:v>17</c:v>
                </c:pt>
                <c:pt idx="67">
                  <c:v>7</c:v>
                </c:pt>
                <c:pt idx="68">
                  <c:v>7</c:v>
                </c:pt>
                <c:pt idx="69">
                  <c:v>8</c:v>
                </c:pt>
                <c:pt idx="70">
                  <c:v>8</c:v>
                </c:pt>
                <c:pt idx="71">
                  <c:v>8</c:v>
                </c:pt>
                <c:pt idx="72">
                  <c:v>8</c:v>
                </c:pt>
                <c:pt idx="73">
                  <c:v>1</c:v>
                </c:pt>
                <c:pt idx="74">
                  <c:v>1</c:v>
                </c:pt>
                <c:pt idx="75">
                  <c:v>2</c:v>
                </c:pt>
                <c:pt idx="76">
                  <c:v>2</c:v>
                </c:pt>
                <c:pt idx="77">
                  <c:v>3</c:v>
                </c:pt>
                <c:pt idx="78">
                  <c:v>3</c:v>
                </c:pt>
                <c:pt idx="79">
                  <c:v>2</c:v>
                </c:pt>
                <c:pt idx="80">
                  <c:v>2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1</c:v>
                </c:pt>
                <c:pt idx="100">
                  <c:v>1</c:v>
                </c:pt>
                <c:pt idx="10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1-459A-A6AD-745FBCC000C0}"/>
            </c:ext>
          </c:extLst>
        </c:ser>
        <c:ser>
          <c:idx val="1"/>
          <c:order val="1"/>
          <c:tx>
            <c:strRef>
              <c:f>'Terrestrial Life 150 yrs'!$AM$1</c:f>
              <c:strCache>
                <c:ptCount val="1"/>
                <c:pt idx="0">
                  <c:v>MCMC Madness'!$EU$51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'Terrestrial Life 150 yrs'!$AK$2:$AK$103</c:f>
              <c:numCache>
                <c:formatCode>General</c:formatCode>
                <c:ptCount val="102"/>
                <c:pt idx="0">
                  <c:v>400</c:v>
                </c:pt>
                <c:pt idx="1">
                  <c:v>400</c:v>
                </c:pt>
                <c:pt idx="2">
                  <c:v>450</c:v>
                </c:pt>
                <c:pt idx="3">
                  <c:v>450</c:v>
                </c:pt>
                <c:pt idx="4">
                  <c:v>500</c:v>
                </c:pt>
                <c:pt idx="5">
                  <c:v>500</c:v>
                </c:pt>
                <c:pt idx="6">
                  <c:v>550</c:v>
                </c:pt>
                <c:pt idx="7">
                  <c:v>550</c:v>
                </c:pt>
                <c:pt idx="8">
                  <c:v>600</c:v>
                </c:pt>
                <c:pt idx="9">
                  <c:v>600</c:v>
                </c:pt>
                <c:pt idx="10">
                  <c:v>650</c:v>
                </c:pt>
                <c:pt idx="11">
                  <c:v>650</c:v>
                </c:pt>
                <c:pt idx="12">
                  <c:v>700</c:v>
                </c:pt>
                <c:pt idx="13">
                  <c:v>700</c:v>
                </c:pt>
                <c:pt idx="14">
                  <c:v>750</c:v>
                </c:pt>
                <c:pt idx="15">
                  <c:v>750</c:v>
                </c:pt>
                <c:pt idx="16">
                  <c:v>800</c:v>
                </c:pt>
                <c:pt idx="17">
                  <c:v>800</c:v>
                </c:pt>
                <c:pt idx="18">
                  <c:v>850</c:v>
                </c:pt>
                <c:pt idx="19">
                  <c:v>850</c:v>
                </c:pt>
                <c:pt idx="20">
                  <c:v>900</c:v>
                </c:pt>
                <c:pt idx="21">
                  <c:v>900</c:v>
                </c:pt>
                <c:pt idx="22">
                  <c:v>950</c:v>
                </c:pt>
                <c:pt idx="23">
                  <c:v>950</c:v>
                </c:pt>
                <c:pt idx="24">
                  <c:v>1000</c:v>
                </c:pt>
                <c:pt idx="25">
                  <c:v>1000</c:v>
                </c:pt>
                <c:pt idx="26">
                  <c:v>1050</c:v>
                </c:pt>
                <c:pt idx="27">
                  <c:v>1050</c:v>
                </c:pt>
                <c:pt idx="28">
                  <c:v>1100</c:v>
                </c:pt>
                <c:pt idx="29">
                  <c:v>1100</c:v>
                </c:pt>
                <c:pt idx="30">
                  <c:v>1150</c:v>
                </c:pt>
                <c:pt idx="31">
                  <c:v>1150</c:v>
                </c:pt>
                <c:pt idx="32">
                  <c:v>1200</c:v>
                </c:pt>
                <c:pt idx="33">
                  <c:v>1200</c:v>
                </c:pt>
                <c:pt idx="34">
                  <c:v>1250</c:v>
                </c:pt>
                <c:pt idx="35">
                  <c:v>1250</c:v>
                </c:pt>
                <c:pt idx="36">
                  <c:v>1300</c:v>
                </c:pt>
                <c:pt idx="37">
                  <c:v>1300</c:v>
                </c:pt>
                <c:pt idx="38">
                  <c:v>1350</c:v>
                </c:pt>
                <c:pt idx="39">
                  <c:v>1350</c:v>
                </c:pt>
                <c:pt idx="40">
                  <c:v>1400</c:v>
                </c:pt>
                <c:pt idx="41">
                  <c:v>1400</c:v>
                </c:pt>
                <c:pt idx="42">
                  <c:v>1450</c:v>
                </c:pt>
                <c:pt idx="43">
                  <c:v>1450</c:v>
                </c:pt>
                <c:pt idx="44">
                  <c:v>1500</c:v>
                </c:pt>
                <c:pt idx="45">
                  <c:v>1500</c:v>
                </c:pt>
                <c:pt idx="46">
                  <c:v>1550</c:v>
                </c:pt>
                <c:pt idx="47">
                  <c:v>1550</c:v>
                </c:pt>
                <c:pt idx="48">
                  <c:v>1600</c:v>
                </c:pt>
                <c:pt idx="49">
                  <c:v>1600</c:v>
                </c:pt>
                <c:pt idx="50">
                  <c:v>1650</c:v>
                </c:pt>
                <c:pt idx="51">
                  <c:v>1650</c:v>
                </c:pt>
                <c:pt idx="52">
                  <c:v>1700</c:v>
                </c:pt>
                <c:pt idx="53">
                  <c:v>1700</c:v>
                </c:pt>
                <c:pt idx="54">
                  <c:v>1750</c:v>
                </c:pt>
                <c:pt idx="55">
                  <c:v>1750</c:v>
                </c:pt>
                <c:pt idx="56">
                  <c:v>1800</c:v>
                </c:pt>
                <c:pt idx="57">
                  <c:v>1800</c:v>
                </c:pt>
                <c:pt idx="58">
                  <c:v>1850</c:v>
                </c:pt>
                <c:pt idx="59">
                  <c:v>1850</c:v>
                </c:pt>
                <c:pt idx="60">
                  <c:v>1900</c:v>
                </c:pt>
                <c:pt idx="61">
                  <c:v>1900</c:v>
                </c:pt>
                <c:pt idx="62">
                  <c:v>1950</c:v>
                </c:pt>
                <c:pt idx="63">
                  <c:v>1950</c:v>
                </c:pt>
                <c:pt idx="64">
                  <c:v>2000</c:v>
                </c:pt>
                <c:pt idx="65">
                  <c:v>2000</c:v>
                </c:pt>
                <c:pt idx="66">
                  <c:v>2050</c:v>
                </c:pt>
                <c:pt idx="67">
                  <c:v>2050</c:v>
                </c:pt>
                <c:pt idx="68">
                  <c:v>2100</c:v>
                </c:pt>
                <c:pt idx="69">
                  <c:v>2100</c:v>
                </c:pt>
                <c:pt idx="70">
                  <c:v>2150</c:v>
                </c:pt>
                <c:pt idx="71">
                  <c:v>2150</c:v>
                </c:pt>
                <c:pt idx="72">
                  <c:v>2200</c:v>
                </c:pt>
                <c:pt idx="73">
                  <c:v>2200</c:v>
                </c:pt>
                <c:pt idx="74">
                  <c:v>2250</c:v>
                </c:pt>
                <c:pt idx="75">
                  <c:v>2250</c:v>
                </c:pt>
                <c:pt idx="76">
                  <c:v>2300</c:v>
                </c:pt>
                <c:pt idx="77">
                  <c:v>2300</c:v>
                </c:pt>
                <c:pt idx="78">
                  <c:v>2350</c:v>
                </c:pt>
                <c:pt idx="79">
                  <c:v>2350</c:v>
                </c:pt>
                <c:pt idx="80">
                  <c:v>2400</c:v>
                </c:pt>
                <c:pt idx="81">
                  <c:v>2400</c:v>
                </c:pt>
                <c:pt idx="82">
                  <c:v>2450</c:v>
                </c:pt>
                <c:pt idx="83">
                  <c:v>2450</c:v>
                </c:pt>
                <c:pt idx="84">
                  <c:v>2500</c:v>
                </c:pt>
                <c:pt idx="85">
                  <c:v>2500</c:v>
                </c:pt>
                <c:pt idx="86">
                  <c:v>2550</c:v>
                </c:pt>
                <c:pt idx="87">
                  <c:v>2550</c:v>
                </c:pt>
                <c:pt idx="88">
                  <c:v>2600</c:v>
                </c:pt>
                <c:pt idx="89">
                  <c:v>2600</c:v>
                </c:pt>
                <c:pt idx="90">
                  <c:v>2650</c:v>
                </c:pt>
                <c:pt idx="91">
                  <c:v>2650</c:v>
                </c:pt>
                <c:pt idx="92">
                  <c:v>2700</c:v>
                </c:pt>
                <c:pt idx="93">
                  <c:v>2700</c:v>
                </c:pt>
                <c:pt idx="94">
                  <c:v>2750</c:v>
                </c:pt>
                <c:pt idx="95">
                  <c:v>2750</c:v>
                </c:pt>
                <c:pt idx="96">
                  <c:v>2800</c:v>
                </c:pt>
                <c:pt idx="97">
                  <c:v>2800</c:v>
                </c:pt>
                <c:pt idx="98">
                  <c:v>2850</c:v>
                </c:pt>
                <c:pt idx="99">
                  <c:v>2850</c:v>
                </c:pt>
                <c:pt idx="100">
                  <c:v>2900</c:v>
                </c:pt>
                <c:pt idx="101">
                  <c:v>2900</c:v>
                </c:pt>
              </c:numCache>
            </c:numRef>
          </c:xVal>
          <c:yVal>
            <c:numRef>
              <c:f>'Terrestrial Life 150 yrs'!$AM$2:$AM$103</c:f>
              <c:numCache>
                <c:formatCode>General</c:formatCode>
                <c:ptCount val="102"/>
                <c:pt idx="0">
                  <c:v>0</c:v>
                </c:pt>
                <c:pt idx="1">
                  <c:v>6</c:v>
                </c:pt>
                <c:pt idx="2">
                  <c:v>6</c:v>
                </c:pt>
                <c:pt idx="3">
                  <c:v>33</c:v>
                </c:pt>
                <c:pt idx="4">
                  <c:v>33</c:v>
                </c:pt>
                <c:pt idx="5">
                  <c:v>102</c:v>
                </c:pt>
                <c:pt idx="6">
                  <c:v>102</c:v>
                </c:pt>
                <c:pt idx="7">
                  <c:v>247</c:v>
                </c:pt>
                <c:pt idx="8">
                  <c:v>247</c:v>
                </c:pt>
                <c:pt idx="9">
                  <c:v>556</c:v>
                </c:pt>
                <c:pt idx="10">
                  <c:v>556</c:v>
                </c:pt>
                <c:pt idx="11">
                  <c:v>873</c:v>
                </c:pt>
                <c:pt idx="12">
                  <c:v>873</c:v>
                </c:pt>
                <c:pt idx="13">
                  <c:v>1109</c:v>
                </c:pt>
                <c:pt idx="14">
                  <c:v>1109</c:v>
                </c:pt>
                <c:pt idx="15">
                  <c:v>1308</c:v>
                </c:pt>
                <c:pt idx="16">
                  <c:v>1308</c:v>
                </c:pt>
                <c:pt idx="17">
                  <c:v>1349</c:v>
                </c:pt>
                <c:pt idx="18">
                  <c:v>1349</c:v>
                </c:pt>
                <c:pt idx="19">
                  <c:v>1167</c:v>
                </c:pt>
                <c:pt idx="20">
                  <c:v>1167</c:v>
                </c:pt>
                <c:pt idx="21">
                  <c:v>1003</c:v>
                </c:pt>
                <c:pt idx="22">
                  <c:v>1003</c:v>
                </c:pt>
                <c:pt idx="23">
                  <c:v>798</c:v>
                </c:pt>
                <c:pt idx="24">
                  <c:v>798</c:v>
                </c:pt>
                <c:pt idx="25">
                  <c:v>520</c:v>
                </c:pt>
                <c:pt idx="26">
                  <c:v>520</c:v>
                </c:pt>
                <c:pt idx="27">
                  <c:v>347</c:v>
                </c:pt>
                <c:pt idx="28">
                  <c:v>347</c:v>
                </c:pt>
                <c:pt idx="29">
                  <c:v>242</c:v>
                </c:pt>
                <c:pt idx="30">
                  <c:v>242</c:v>
                </c:pt>
                <c:pt idx="31">
                  <c:v>149</c:v>
                </c:pt>
                <c:pt idx="32">
                  <c:v>149</c:v>
                </c:pt>
                <c:pt idx="33">
                  <c:v>82</c:v>
                </c:pt>
                <c:pt idx="34">
                  <c:v>82</c:v>
                </c:pt>
                <c:pt idx="35">
                  <c:v>47</c:v>
                </c:pt>
                <c:pt idx="36">
                  <c:v>47</c:v>
                </c:pt>
                <c:pt idx="37">
                  <c:v>21</c:v>
                </c:pt>
                <c:pt idx="38">
                  <c:v>21</c:v>
                </c:pt>
                <c:pt idx="39">
                  <c:v>15</c:v>
                </c:pt>
                <c:pt idx="40">
                  <c:v>15</c:v>
                </c:pt>
                <c:pt idx="41">
                  <c:v>12</c:v>
                </c:pt>
                <c:pt idx="42">
                  <c:v>12</c:v>
                </c:pt>
                <c:pt idx="43">
                  <c:v>11</c:v>
                </c:pt>
                <c:pt idx="44">
                  <c:v>11</c:v>
                </c:pt>
                <c:pt idx="45">
                  <c:v>0</c:v>
                </c:pt>
                <c:pt idx="46">
                  <c:v>0</c:v>
                </c:pt>
                <c:pt idx="47">
                  <c:v>1</c:v>
                </c:pt>
                <c:pt idx="48">
                  <c:v>1</c:v>
                </c:pt>
                <c:pt idx="49">
                  <c:v>0</c:v>
                </c:pt>
                <c:pt idx="50">
                  <c:v>0</c:v>
                </c:pt>
                <c:pt idx="51">
                  <c:v>1</c:v>
                </c:pt>
                <c:pt idx="52">
                  <c:v>1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1</c:v>
                </c:pt>
                <c:pt idx="60">
                  <c:v>1</c:v>
                </c:pt>
                <c:pt idx="6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01-459A-A6AD-745FBCC000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0848608"/>
        <c:axId val="710849168"/>
      </c:scatterChart>
      <c:valAx>
        <c:axId val="710848608"/>
        <c:scaling>
          <c:orientation val="minMax"/>
          <c:max val="2900"/>
          <c:min val="400"/>
        </c:scaling>
        <c:delete val="0"/>
        <c:axPos val="b"/>
        <c:numFmt formatCode="General" sourceLinked="1"/>
        <c:majorTickMark val="out"/>
        <c:minorTickMark val="none"/>
        <c:tickLblPos val="nextTo"/>
        <c:crossAx val="710849168"/>
        <c:crosses val="autoZero"/>
        <c:crossBetween val="midCat"/>
      </c:valAx>
      <c:valAx>
        <c:axId val="71084916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one"/>
        <c:spPr>
          <a:ln w="25400">
            <a:noFill/>
          </a:ln>
        </c:spPr>
        <c:crossAx val="7108486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'Destritus 150 yrs'!$AL$1</c:f>
              <c:strCache>
                <c:ptCount val="1"/>
                <c:pt idx="0">
                  <c:v>$EU$25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'Destritus 150 yrs'!$AK$2:$AK$99</c:f>
              <c:numCache>
                <c:formatCode>General</c:formatCode>
                <c:ptCount val="98"/>
                <c:pt idx="0">
                  <c:v>100</c:v>
                </c:pt>
                <c:pt idx="1">
                  <c:v>100</c:v>
                </c:pt>
                <c:pt idx="2">
                  <c:v>200</c:v>
                </c:pt>
                <c:pt idx="3">
                  <c:v>200</c:v>
                </c:pt>
                <c:pt idx="4">
                  <c:v>300</c:v>
                </c:pt>
                <c:pt idx="5">
                  <c:v>300</c:v>
                </c:pt>
                <c:pt idx="6">
                  <c:v>400</c:v>
                </c:pt>
                <c:pt idx="7">
                  <c:v>400</c:v>
                </c:pt>
                <c:pt idx="8">
                  <c:v>500</c:v>
                </c:pt>
                <c:pt idx="9">
                  <c:v>500</c:v>
                </c:pt>
                <c:pt idx="10">
                  <c:v>600</c:v>
                </c:pt>
                <c:pt idx="11">
                  <c:v>600</c:v>
                </c:pt>
                <c:pt idx="12">
                  <c:v>700</c:v>
                </c:pt>
                <c:pt idx="13">
                  <c:v>700</c:v>
                </c:pt>
                <c:pt idx="14">
                  <c:v>800</c:v>
                </c:pt>
                <c:pt idx="15">
                  <c:v>800</c:v>
                </c:pt>
                <c:pt idx="16">
                  <c:v>900</c:v>
                </c:pt>
                <c:pt idx="17">
                  <c:v>900</c:v>
                </c:pt>
                <c:pt idx="18">
                  <c:v>1000</c:v>
                </c:pt>
                <c:pt idx="19">
                  <c:v>1000</c:v>
                </c:pt>
                <c:pt idx="20">
                  <c:v>1100</c:v>
                </c:pt>
                <c:pt idx="21">
                  <c:v>1100</c:v>
                </c:pt>
                <c:pt idx="22">
                  <c:v>1200</c:v>
                </c:pt>
                <c:pt idx="23">
                  <c:v>1200</c:v>
                </c:pt>
                <c:pt idx="24">
                  <c:v>1300</c:v>
                </c:pt>
                <c:pt idx="25">
                  <c:v>1300</c:v>
                </c:pt>
                <c:pt idx="26">
                  <c:v>1400</c:v>
                </c:pt>
                <c:pt idx="27">
                  <c:v>1400</c:v>
                </c:pt>
                <c:pt idx="28">
                  <c:v>1500</c:v>
                </c:pt>
                <c:pt idx="29">
                  <c:v>1500</c:v>
                </c:pt>
                <c:pt idx="30">
                  <c:v>1600</c:v>
                </c:pt>
                <c:pt idx="31">
                  <c:v>1600</c:v>
                </c:pt>
                <c:pt idx="32">
                  <c:v>1700</c:v>
                </c:pt>
                <c:pt idx="33">
                  <c:v>1700</c:v>
                </c:pt>
                <c:pt idx="34">
                  <c:v>1800</c:v>
                </c:pt>
                <c:pt idx="35">
                  <c:v>1800</c:v>
                </c:pt>
                <c:pt idx="36">
                  <c:v>1900</c:v>
                </c:pt>
                <c:pt idx="37">
                  <c:v>1900</c:v>
                </c:pt>
                <c:pt idx="38">
                  <c:v>2000</c:v>
                </c:pt>
                <c:pt idx="39">
                  <c:v>2000</c:v>
                </c:pt>
                <c:pt idx="40">
                  <c:v>2100</c:v>
                </c:pt>
                <c:pt idx="41">
                  <c:v>2100</c:v>
                </c:pt>
                <c:pt idx="42">
                  <c:v>2200</c:v>
                </c:pt>
                <c:pt idx="43">
                  <c:v>2200</c:v>
                </c:pt>
                <c:pt idx="44">
                  <c:v>2300</c:v>
                </c:pt>
                <c:pt idx="45">
                  <c:v>2300</c:v>
                </c:pt>
                <c:pt idx="46">
                  <c:v>2400</c:v>
                </c:pt>
                <c:pt idx="47">
                  <c:v>2400</c:v>
                </c:pt>
                <c:pt idx="48">
                  <c:v>2500</c:v>
                </c:pt>
                <c:pt idx="49">
                  <c:v>2500</c:v>
                </c:pt>
                <c:pt idx="50">
                  <c:v>2600</c:v>
                </c:pt>
                <c:pt idx="51">
                  <c:v>2600</c:v>
                </c:pt>
                <c:pt idx="52">
                  <c:v>2700</c:v>
                </c:pt>
                <c:pt idx="53">
                  <c:v>2700</c:v>
                </c:pt>
                <c:pt idx="54">
                  <c:v>2800</c:v>
                </c:pt>
                <c:pt idx="55">
                  <c:v>2800</c:v>
                </c:pt>
                <c:pt idx="56">
                  <c:v>2900</c:v>
                </c:pt>
                <c:pt idx="57">
                  <c:v>2900</c:v>
                </c:pt>
                <c:pt idx="58">
                  <c:v>3000</c:v>
                </c:pt>
                <c:pt idx="59">
                  <c:v>3000</c:v>
                </c:pt>
                <c:pt idx="60">
                  <c:v>3100</c:v>
                </c:pt>
                <c:pt idx="61">
                  <c:v>3100</c:v>
                </c:pt>
                <c:pt idx="62">
                  <c:v>3200</c:v>
                </c:pt>
                <c:pt idx="63">
                  <c:v>3200</c:v>
                </c:pt>
                <c:pt idx="64">
                  <c:v>3300</c:v>
                </c:pt>
                <c:pt idx="65">
                  <c:v>3300</c:v>
                </c:pt>
                <c:pt idx="66">
                  <c:v>3400</c:v>
                </c:pt>
                <c:pt idx="67">
                  <c:v>3400</c:v>
                </c:pt>
                <c:pt idx="68">
                  <c:v>3500</c:v>
                </c:pt>
                <c:pt idx="69">
                  <c:v>3500</c:v>
                </c:pt>
                <c:pt idx="70">
                  <c:v>3600</c:v>
                </c:pt>
                <c:pt idx="71">
                  <c:v>3600</c:v>
                </c:pt>
                <c:pt idx="72">
                  <c:v>3700</c:v>
                </c:pt>
                <c:pt idx="73">
                  <c:v>3700</c:v>
                </c:pt>
                <c:pt idx="74">
                  <c:v>3800</c:v>
                </c:pt>
                <c:pt idx="75">
                  <c:v>3800</c:v>
                </c:pt>
                <c:pt idx="76">
                  <c:v>3900</c:v>
                </c:pt>
                <c:pt idx="77">
                  <c:v>3900</c:v>
                </c:pt>
                <c:pt idx="78">
                  <c:v>4000</c:v>
                </c:pt>
                <c:pt idx="79">
                  <c:v>4000</c:v>
                </c:pt>
                <c:pt idx="80">
                  <c:v>4100</c:v>
                </c:pt>
                <c:pt idx="81">
                  <c:v>4100</c:v>
                </c:pt>
                <c:pt idx="82">
                  <c:v>4200</c:v>
                </c:pt>
                <c:pt idx="83">
                  <c:v>4200</c:v>
                </c:pt>
                <c:pt idx="84">
                  <c:v>4300</c:v>
                </c:pt>
                <c:pt idx="85">
                  <c:v>4300</c:v>
                </c:pt>
                <c:pt idx="86">
                  <c:v>4400</c:v>
                </c:pt>
                <c:pt idx="87">
                  <c:v>4400</c:v>
                </c:pt>
                <c:pt idx="88">
                  <c:v>4500</c:v>
                </c:pt>
                <c:pt idx="89">
                  <c:v>4500</c:v>
                </c:pt>
                <c:pt idx="90">
                  <c:v>4600</c:v>
                </c:pt>
                <c:pt idx="91">
                  <c:v>4600</c:v>
                </c:pt>
                <c:pt idx="92">
                  <c:v>4700</c:v>
                </c:pt>
                <c:pt idx="93">
                  <c:v>4700</c:v>
                </c:pt>
                <c:pt idx="94">
                  <c:v>4800</c:v>
                </c:pt>
                <c:pt idx="95">
                  <c:v>4800</c:v>
                </c:pt>
                <c:pt idx="96">
                  <c:v>4900</c:v>
                </c:pt>
                <c:pt idx="97">
                  <c:v>4900</c:v>
                </c:pt>
              </c:numCache>
            </c:numRef>
          </c:xVal>
          <c:yVal>
            <c:numRef>
              <c:f>'Destritus 150 yrs'!$AL$2:$AL$99</c:f>
              <c:numCache>
                <c:formatCode>General</c:formatCode>
                <c:ptCount val="98"/>
                <c:pt idx="0">
                  <c:v>0</c:v>
                </c:pt>
                <c:pt idx="1">
                  <c:v>465</c:v>
                </c:pt>
                <c:pt idx="2">
                  <c:v>465</c:v>
                </c:pt>
                <c:pt idx="3">
                  <c:v>4018</c:v>
                </c:pt>
                <c:pt idx="4">
                  <c:v>4018</c:v>
                </c:pt>
                <c:pt idx="5">
                  <c:v>4017</c:v>
                </c:pt>
                <c:pt idx="6">
                  <c:v>4017</c:v>
                </c:pt>
                <c:pt idx="7">
                  <c:v>1232</c:v>
                </c:pt>
                <c:pt idx="8">
                  <c:v>1232</c:v>
                </c:pt>
                <c:pt idx="9">
                  <c:v>235</c:v>
                </c:pt>
                <c:pt idx="10">
                  <c:v>235</c:v>
                </c:pt>
                <c:pt idx="11">
                  <c:v>30</c:v>
                </c:pt>
                <c:pt idx="12">
                  <c:v>30</c:v>
                </c:pt>
                <c:pt idx="13">
                  <c:v>2</c:v>
                </c:pt>
                <c:pt idx="14">
                  <c:v>2</c:v>
                </c:pt>
                <c:pt idx="15">
                  <c:v>1</c:v>
                </c:pt>
                <c:pt idx="16">
                  <c:v>1</c:v>
                </c:pt>
                <c:pt idx="1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BD-4AD0-B31B-49EC51E8F8A2}"/>
            </c:ext>
          </c:extLst>
        </c:ser>
        <c:ser>
          <c:idx val="1"/>
          <c:order val="1"/>
          <c:tx>
            <c:strRef>
              <c:f>'Destritus 150 yrs'!$AM$1</c:f>
              <c:strCache>
                <c:ptCount val="1"/>
                <c:pt idx="0">
                  <c:v>MCMC Madness'!$EU$52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'Destritus 150 yrs'!$AK$2:$AK$99</c:f>
              <c:numCache>
                <c:formatCode>General</c:formatCode>
                <c:ptCount val="98"/>
                <c:pt idx="0">
                  <c:v>100</c:v>
                </c:pt>
                <c:pt idx="1">
                  <c:v>100</c:v>
                </c:pt>
                <c:pt idx="2">
                  <c:v>200</c:v>
                </c:pt>
                <c:pt idx="3">
                  <c:v>200</c:v>
                </c:pt>
                <c:pt idx="4">
                  <c:v>300</c:v>
                </c:pt>
                <c:pt idx="5">
                  <c:v>300</c:v>
                </c:pt>
                <c:pt idx="6">
                  <c:v>400</c:v>
                </c:pt>
                <c:pt idx="7">
                  <c:v>400</c:v>
                </c:pt>
                <c:pt idx="8">
                  <c:v>500</c:v>
                </c:pt>
                <c:pt idx="9">
                  <c:v>500</c:v>
                </c:pt>
                <c:pt idx="10">
                  <c:v>600</c:v>
                </c:pt>
                <c:pt idx="11">
                  <c:v>600</c:v>
                </c:pt>
                <c:pt idx="12">
                  <c:v>700</c:v>
                </c:pt>
                <c:pt idx="13">
                  <c:v>700</c:v>
                </c:pt>
                <c:pt idx="14">
                  <c:v>800</c:v>
                </c:pt>
                <c:pt idx="15">
                  <c:v>800</c:v>
                </c:pt>
                <c:pt idx="16">
                  <c:v>900</c:v>
                </c:pt>
                <c:pt idx="17">
                  <c:v>900</c:v>
                </c:pt>
                <c:pt idx="18">
                  <c:v>1000</c:v>
                </c:pt>
                <c:pt idx="19">
                  <c:v>1000</c:v>
                </c:pt>
                <c:pt idx="20">
                  <c:v>1100</c:v>
                </c:pt>
                <c:pt idx="21">
                  <c:v>1100</c:v>
                </c:pt>
                <c:pt idx="22">
                  <c:v>1200</c:v>
                </c:pt>
                <c:pt idx="23">
                  <c:v>1200</c:v>
                </c:pt>
                <c:pt idx="24">
                  <c:v>1300</c:v>
                </c:pt>
                <c:pt idx="25">
                  <c:v>1300</c:v>
                </c:pt>
                <c:pt idx="26">
                  <c:v>1400</c:v>
                </c:pt>
                <c:pt idx="27">
                  <c:v>1400</c:v>
                </c:pt>
                <c:pt idx="28">
                  <c:v>1500</c:v>
                </c:pt>
                <c:pt idx="29">
                  <c:v>1500</c:v>
                </c:pt>
                <c:pt idx="30">
                  <c:v>1600</c:v>
                </c:pt>
                <c:pt idx="31">
                  <c:v>1600</c:v>
                </c:pt>
                <c:pt idx="32">
                  <c:v>1700</c:v>
                </c:pt>
                <c:pt idx="33">
                  <c:v>1700</c:v>
                </c:pt>
                <c:pt idx="34">
                  <c:v>1800</c:v>
                </c:pt>
                <c:pt idx="35">
                  <c:v>1800</c:v>
                </c:pt>
                <c:pt idx="36">
                  <c:v>1900</c:v>
                </c:pt>
                <c:pt idx="37">
                  <c:v>1900</c:v>
                </c:pt>
                <c:pt idx="38">
                  <c:v>2000</c:v>
                </c:pt>
                <c:pt idx="39">
                  <c:v>2000</c:v>
                </c:pt>
                <c:pt idx="40">
                  <c:v>2100</c:v>
                </c:pt>
                <c:pt idx="41">
                  <c:v>2100</c:v>
                </c:pt>
                <c:pt idx="42">
                  <c:v>2200</c:v>
                </c:pt>
                <c:pt idx="43">
                  <c:v>2200</c:v>
                </c:pt>
                <c:pt idx="44">
                  <c:v>2300</c:v>
                </c:pt>
                <c:pt idx="45">
                  <c:v>2300</c:v>
                </c:pt>
                <c:pt idx="46">
                  <c:v>2400</c:v>
                </c:pt>
                <c:pt idx="47">
                  <c:v>2400</c:v>
                </c:pt>
                <c:pt idx="48">
                  <c:v>2500</c:v>
                </c:pt>
                <c:pt idx="49">
                  <c:v>2500</c:v>
                </c:pt>
                <c:pt idx="50">
                  <c:v>2600</c:v>
                </c:pt>
                <c:pt idx="51">
                  <c:v>2600</c:v>
                </c:pt>
                <c:pt idx="52">
                  <c:v>2700</c:v>
                </c:pt>
                <c:pt idx="53">
                  <c:v>2700</c:v>
                </c:pt>
                <c:pt idx="54">
                  <c:v>2800</c:v>
                </c:pt>
                <c:pt idx="55">
                  <c:v>2800</c:v>
                </c:pt>
                <c:pt idx="56">
                  <c:v>2900</c:v>
                </c:pt>
                <c:pt idx="57">
                  <c:v>2900</c:v>
                </c:pt>
                <c:pt idx="58">
                  <c:v>3000</c:v>
                </c:pt>
                <c:pt idx="59">
                  <c:v>3000</c:v>
                </c:pt>
                <c:pt idx="60">
                  <c:v>3100</c:v>
                </c:pt>
                <c:pt idx="61">
                  <c:v>3100</c:v>
                </c:pt>
                <c:pt idx="62">
                  <c:v>3200</c:v>
                </c:pt>
                <c:pt idx="63">
                  <c:v>3200</c:v>
                </c:pt>
                <c:pt idx="64">
                  <c:v>3300</c:v>
                </c:pt>
                <c:pt idx="65">
                  <c:v>3300</c:v>
                </c:pt>
                <c:pt idx="66">
                  <c:v>3400</c:v>
                </c:pt>
                <c:pt idx="67">
                  <c:v>3400</c:v>
                </c:pt>
                <c:pt idx="68">
                  <c:v>3500</c:v>
                </c:pt>
                <c:pt idx="69">
                  <c:v>3500</c:v>
                </c:pt>
                <c:pt idx="70">
                  <c:v>3600</c:v>
                </c:pt>
                <c:pt idx="71">
                  <c:v>3600</c:v>
                </c:pt>
                <c:pt idx="72">
                  <c:v>3700</c:v>
                </c:pt>
                <c:pt idx="73">
                  <c:v>3700</c:v>
                </c:pt>
                <c:pt idx="74">
                  <c:v>3800</c:v>
                </c:pt>
                <c:pt idx="75">
                  <c:v>3800</c:v>
                </c:pt>
                <c:pt idx="76">
                  <c:v>3900</c:v>
                </c:pt>
                <c:pt idx="77">
                  <c:v>3900</c:v>
                </c:pt>
                <c:pt idx="78">
                  <c:v>4000</c:v>
                </c:pt>
                <c:pt idx="79">
                  <c:v>4000</c:v>
                </c:pt>
                <c:pt idx="80">
                  <c:v>4100</c:v>
                </c:pt>
                <c:pt idx="81">
                  <c:v>4100</c:v>
                </c:pt>
                <c:pt idx="82">
                  <c:v>4200</c:v>
                </c:pt>
                <c:pt idx="83">
                  <c:v>4200</c:v>
                </c:pt>
                <c:pt idx="84">
                  <c:v>4300</c:v>
                </c:pt>
                <c:pt idx="85">
                  <c:v>4300</c:v>
                </c:pt>
                <c:pt idx="86">
                  <c:v>4400</c:v>
                </c:pt>
                <c:pt idx="87">
                  <c:v>4400</c:v>
                </c:pt>
                <c:pt idx="88">
                  <c:v>4500</c:v>
                </c:pt>
                <c:pt idx="89">
                  <c:v>4500</c:v>
                </c:pt>
                <c:pt idx="90">
                  <c:v>4600</c:v>
                </c:pt>
                <c:pt idx="91">
                  <c:v>4600</c:v>
                </c:pt>
                <c:pt idx="92">
                  <c:v>4700</c:v>
                </c:pt>
                <c:pt idx="93">
                  <c:v>4700</c:v>
                </c:pt>
                <c:pt idx="94">
                  <c:v>4800</c:v>
                </c:pt>
                <c:pt idx="95">
                  <c:v>4800</c:v>
                </c:pt>
                <c:pt idx="96">
                  <c:v>4900</c:v>
                </c:pt>
                <c:pt idx="97">
                  <c:v>4900</c:v>
                </c:pt>
              </c:numCache>
            </c:numRef>
          </c:xVal>
          <c:yVal>
            <c:numRef>
              <c:f>'Destritus 150 yrs'!$AM$2:$AM$99</c:f>
              <c:numCache>
                <c:formatCode>General</c:formatCode>
                <c:ptCount val="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4</c:v>
                </c:pt>
                <c:pt idx="20">
                  <c:v>4</c:v>
                </c:pt>
                <c:pt idx="21">
                  <c:v>11</c:v>
                </c:pt>
                <c:pt idx="22">
                  <c:v>11</c:v>
                </c:pt>
                <c:pt idx="23">
                  <c:v>29</c:v>
                </c:pt>
                <c:pt idx="24">
                  <c:v>29</c:v>
                </c:pt>
                <c:pt idx="25">
                  <c:v>67</c:v>
                </c:pt>
                <c:pt idx="26">
                  <c:v>67</c:v>
                </c:pt>
                <c:pt idx="27">
                  <c:v>125</c:v>
                </c:pt>
                <c:pt idx="28">
                  <c:v>125</c:v>
                </c:pt>
                <c:pt idx="29">
                  <c:v>244</c:v>
                </c:pt>
                <c:pt idx="30">
                  <c:v>244</c:v>
                </c:pt>
                <c:pt idx="31">
                  <c:v>392</c:v>
                </c:pt>
                <c:pt idx="32">
                  <c:v>392</c:v>
                </c:pt>
                <c:pt idx="33">
                  <c:v>494</c:v>
                </c:pt>
                <c:pt idx="34">
                  <c:v>494</c:v>
                </c:pt>
                <c:pt idx="35">
                  <c:v>620</c:v>
                </c:pt>
                <c:pt idx="36">
                  <c:v>620</c:v>
                </c:pt>
                <c:pt idx="37">
                  <c:v>782</c:v>
                </c:pt>
                <c:pt idx="38">
                  <c:v>782</c:v>
                </c:pt>
                <c:pt idx="39">
                  <c:v>852</c:v>
                </c:pt>
                <c:pt idx="40">
                  <c:v>852</c:v>
                </c:pt>
                <c:pt idx="41">
                  <c:v>859</c:v>
                </c:pt>
                <c:pt idx="42">
                  <c:v>859</c:v>
                </c:pt>
                <c:pt idx="43">
                  <c:v>858</c:v>
                </c:pt>
                <c:pt idx="44">
                  <c:v>858</c:v>
                </c:pt>
                <c:pt idx="45">
                  <c:v>827</c:v>
                </c:pt>
                <c:pt idx="46">
                  <c:v>827</c:v>
                </c:pt>
                <c:pt idx="47">
                  <c:v>733</c:v>
                </c:pt>
                <c:pt idx="48">
                  <c:v>733</c:v>
                </c:pt>
                <c:pt idx="49">
                  <c:v>637</c:v>
                </c:pt>
                <c:pt idx="50">
                  <c:v>637</c:v>
                </c:pt>
                <c:pt idx="51">
                  <c:v>580</c:v>
                </c:pt>
                <c:pt idx="52">
                  <c:v>580</c:v>
                </c:pt>
                <c:pt idx="53">
                  <c:v>432</c:v>
                </c:pt>
                <c:pt idx="54">
                  <c:v>432</c:v>
                </c:pt>
                <c:pt idx="55">
                  <c:v>386</c:v>
                </c:pt>
                <c:pt idx="56">
                  <c:v>386</c:v>
                </c:pt>
                <c:pt idx="57">
                  <c:v>294</c:v>
                </c:pt>
                <c:pt idx="58">
                  <c:v>294</c:v>
                </c:pt>
                <c:pt idx="59">
                  <c:v>208</c:v>
                </c:pt>
                <c:pt idx="60">
                  <c:v>208</c:v>
                </c:pt>
                <c:pt idx="61">
                  <c:v>172</c:v>
                </c:pt>
                <c:pt idx="62">
                  <c:v>172</c:v>
                </c:pt>
                <c:pt idx="63">
                  <c:v>120</c:v>
                </c:pt>
                <c:pt idx="64">
                  <c:v>120</c:v>
                </c:pt>
                <c:pt idx="65">
                  <c:v>89</c:v>
                </c:pt>
                <c:pt idx="66">
                  <c:v>89</c:v>
                </c:pt>
                <c:pt idx="67">
                  <c:v>62</c:v>
                </c:pt>
                <c:pt idx="68">
                  <c:v>62</c:v>
                </c:pt>
                <c:pt idx="69">
                  <c:v>45</c:v>
                </c:pt>
                <c:pt idx="70">
                  <c:v>45</c:v>
                </c:pt>
                <c:pt idx="71">
                  <c:v>21</c:v>
                </c:pt>
                <c:pt idx="72">
                  <c:v>21</c:v>
                </c:pt>
                <c:pt idx="73">
                  <c:v>19</c:v>
                </c:pt>
                <c:pt idx="74">
                  <c:v>19</c:v>
                </c:pt>
                <c:pt idx="75">
                  <c:v>16</c:v>
                </c:pt>
                <c:pt idx="76">
                  <c:v>16</c:v>
                </c:pt>
                <c:pt idx="77">
                  <c:v>11</c:v>
                </c:pt>
                <c:pt idx="78">
                  <c:v>11</c:v>
                </c:pt>
                <c:pt idx="79">
                  <c:v>3</c:v>
                </c:pt>
                <c:pt idx="80">
                  <c:v>3</c:v>
                </c:pt>
                <c:pt idx="81">
                  <c:v>3</c:v>
                </c:pt>
                <c:pt idx="82">
                  <c:v>3</c:v>
                </c:pt>
                <c:pt idx="83">
                  <c:v>0</c:v>
                </c:pt>
                <c:pt idx="84">
                  <c:v>0</c:v>
                </c:pt>
                <c:pt idx="85">
                  <c:v>2</c:v>
                </c:pt>
                <c:pt idx="86">
                  <c:v>2</c:v>
                </c:pt>
                <c:pt idx="87">
                  <c:v>0</c:v>
                </c:pt>
                <c:pt idx="88">
                  <c:v>0</c:v>
                </c:pt>
                <c:pt idx="89">
                  <c:v>1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2</c:v>
                </c:pt>
                <c:pt idx="96">
                  <c:v>2</c:v>
                </c:pt>
                <c:pt idx="9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1BD-4AD0-B31B-49EC51E8F8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0852528"/>
        <c:axId val="710853088"/>
      </c:scatterChart>
      <c:valAx>
        <c:axId val="710852528"/>
        <c:scaling>
          <c:orientation val="minMax"/>
          <c:max val="4900"/>
          <c:min val="100"/>
        </c:scaling>
        <c:delete val="0"/>
        <c:axPos val="b"/>
        <c:numFmt formatCode="General" sourceLinked="1"/>
        <c:majorTickMark val="out"/>
        <c:minorTickMark val="none"/>
        <c:tickLblPos val="nextTo"/>
        <c:crossAx val="710853088"/>
        <c:crosses val="autoZero"/>
        <c:crossBetween val="midCat"/>
      </c:valAx>
      <c:valAx>
        <c:axId val="71085308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one"/>
        <c:spPr>
          <a:ln w="25400">
            <a:noFill/>
          </a:ln>
        </c:spPr>
        <c:crossAx val="710852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Carbon System Fluctuation, No Human Impact</a:t>
            </a:r>
            <a:endParaRPr 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Atmosphere</c:v>
          </c:tx>
          <c:spPr>
            <a:ln w="47625">
              <a:noFill/>
            </a:ln>
          </c:spPr>
          <c:xVal>
            <c:numRef>
              <c:f>'MCMC Projection'!$B$21:$EU$21</c:f>
              <c:numCache>
                <c:formatCode>General</c:formatCode>
                <c:ptCount val="150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  <c:pt idx="36">
                  <c:v>2051</c:v>
                </c:pt>
                <c:pt idx="37">
                  <c:v>2052</c:v>
                </c:pt>
                <c:pt idx="38">
                  <c:v>2053</c:v>
                </c:pt>
                <c:pt idx="39">
                  <c:v>2054</c:v>
                </c:pt>
                <c:pt idx="40">
                  <c:v>2055</c:v>
                </c:pt>
                <c:pt idx="41">
                  <c:v>2056</c:v>
                </c:pt>
                <c:pt idx="42">
                  <c:v>2057</c:v>
                </c:pt>
                <c:pt idx="43">
                  <c:v>2058</c:v>
                </c:pt>
                <c:pt idx="44">
                  <c:v>2059</c:v>
                </c:pt>
                <c:pt idx="45">
                  <c:v>2060</c:v>
                </c:pt>
                <c:pt idx="46">
                  <c:v>2061</c:v>
                </c:pt>
                <c:pt idx="47">
                  <c:v>2062</c:v>
                </c:pt>
                <c:pt idx="48">
                  <c:v>2063</c:v>
                </c:pt>
                <c:pt idx="49">
                  <c:v>2064</c:v>
                </c:pt>
                <c:pt idx="50">
                  <c:v>2065</c:v>
                </c:pt>
                <c:pt idx="51">
                  <c:v>2066</c:v>
                </c:pt>
                <c:pt idx="52">
                  <c:v>2067</c:v>
                </c:pt>
                <c:pt idx="53">
                  <c:v>2068</c:v>
                </c:pt>
                <c:pt idx="54">
                  <c:v>2069</c:v>
                </c:pt>
                <c:pt idx="55">
                  <c:v>2070</c:v>
                </c:pt>
                <c:pt idx="56">
                  <c:v>2071</c:v>
                </c:pt>
                <c:pt idx="57">
                  <c:v>2072</c:v>
                </c:pt>
                <c:pt idx="58">
                  <c:v>2073</c:v>
                </c:pt>
                <c:pt idx="59">
                  <c:v>2074</c:v>
                </c:pt>
                <c:pt idx="60">
                  <c:v>2075</c:v>
                </c:pt>
                <c:pt idx="61">
                  <c:v>2076</c:v>
                </c:pt>
                <c:pt idx="62">
                  <c:v>2077</c:v>
                </c:pt>
                <c:pt idx="63">
                  <c:v>2078</c:v>
                </c:pt>
                <c:pt idx="64">
                  <c:v>2079</c:v>
                </c:pt>
                <c:pt idx="65">
                  <c:v>2080</c:v>
                </c:pt>
                <c:pt idx="66">
                  <c:v>2081</c:v>
                </c:pt>
                <c:pt idx="67">
                  <c:v>2082</c:v>
                </c:pt>
                <c:pt idx="68">
                  <c:v>2083</c:v>
                </c:pt>
                <c:pt idx="69">
                  <c:v>2084</c:v>
                </c:pt>
                <c:pt idx="70">
                  <c:v>2085</c:v>
                </c:pt>
                <c:pt idx="71">
                  <c:v>2086</c:v>
                </c:pt>
                <c:pt idx="72">
                  <c:v>2087</c:v>
                </c:pt>
                <c:pt idx="73">
                  <c:v>2088</c:v>
                </c:pt>
                <c:pt idx="74">
                  <c:v>2089</c:v>
                </c:pt>
                <c:pt idx="75">
                  <c:v>2090</c:v>
                </c:pt>
                <c:pt idx="76">
                  <c:v>2091</c:v>
                </c:pt>
                <c:pt idx="77">
                  <c:v>2092</c:v>
                </c:pt>
                <c:pt idx="78">
                  <c:v>2093</c:v>
                </c:pt>
                <c:pt idx="79">
                  <c:v>2094</c:v>
                </c:pt>
                <c:pt idx="80">
                  <c:v>2095</c:v>
                </c:pt>
                <c:pt idx="81">
                  <c:v>2096</c:v>
                </c:pt>
                <c:pt idx="82">
                  <c:v>2097</c:v>
                </c:pt>
                <c:pt idx="83">
                  <c:v>2098</c:v>
                </c:pt>
                <c:pt idx="84">
                  <c:v>2099</c:v>
                </c:pt>
                <c:pt idx="85">
                  <c:v>2100</c:v>
                </c:pt>
                <c:pt idx="86">
                  <c:v>2101</c:v>
                </c:pt>
                <c:pt idx="87">
                  <c:v>2102</c:v>
                </c:pt>
                <c:pt idx="88">
                  <c:v>2103</c:v>
                </c:pt>
                <c:pt idx="89">
                  <c:v>2104</c:v>
                </c:pt>
                <c:pt idx="90">
                  <c:v>2105</c:v>
                </c:pt>
                <c:pt idx="91">
                  <c:v>2106</c:v>
                </c:pt>
                <c:pt idx="92">
                  <c:v>2107</c:v>
                </c:pt>
                <c:pt idx="93">
                  <c:v>2108</c:v>
                </c:pt>
                <c:pt idx="94">
                  <c:v>2109</c:v>
                </c:pt>
                <c:pt idx="95">
                  <c:v>2110</c:v>
                </c:pt>
                <c:pt idx="96">
                  <c:v>2111</c:v>
                </c:pt>
                <c:pt idx="97">
                  <c:v>2112</c:v>
                </c:pt>
                <c:pt idx="98">
                  <c:v>2113</c:v>
                </c:pt>
                <c:pt idx="99">
                  <c:v>2114</c:v>
                </c:pt>
                <c:pt idx="100">
                  <c:v>2115</c:v>
                </c:pt>
                <c:pt idx="101">
                  <c:v>2116</c:v>
                </c:pt>
                <c:pt idx="102">
                  <c:v>2117</c:v>
                </c:pt>
                <c:pt idx="103">
                  <c:v>2118</c:v>
                </c:pt>
                <c:pt idx="104">
                  <c:v>2119</c:v>
                </c:pt>
                <c:pt idx="105">
                  <c:v>2120</c:v>
                </c:pt>
                <c:pt idx="106">
                  <c:v>2121</c:v>
                </c:pt>
                <c:pt idx="107">
                  <c:v>2122</c:v>
                </c:pt>
                <c:pt idx="108">
                  <c:v>2123</c:v>
                </c:pt>
                <c:pt idx="109">
                  <c:v>2124</c:v>
                </c:pt>
                <c:pt idx="110">
                  <c:v>2125</c:v>
                </c:pt>
                <c:pt idx="111">
                  <c:v>2126</c:v>
                </c:pt>
                <c:pt idx="112">
                  <c:v>2127</c:v>
                </c:pt>
                <c:pt idx="113">
                  <c:v>2128</c:v>
                </c:pt>
                <c:pt idx="114">
                  <c:v>2129</c:v>
                </c:pt>
                <c:pt idx="115">
                  <c:v>2130</c:v>
                </c:pt>
                <c:pt idx="116">
                  <c:v>2131</c:v>
                </c:pt>
                <c:pt idx="117">
                  <c:v>2132</c:v>
                </c:pt>
                <c:pt idx="118">
                  <c:v>2133</c:v>
                </c:pt>
                <c:pt idx="119">
                  <c:v>2134</c:v>
                </c:pt>
                <c:pt idx="120">
                  <c:v>2135</c:v>
                </c:pt>
                <c:pt idx="121">
                  <c:v>2136</c:v>
                </c:pt>
                <c:pt idx="122">
                  <c:v>2137</c:v>
                </c:pt>
                <c:pt idx="123">
                  <c:v>2138</c:v>
                </c:pt>
                <c:pt idx="124">
                  <c:v>2139</c:v>
                </c:pt>
                <c:pt idx="125">
                  <c:v>2140</c:v>
                </c:pt>
                <c:pt idx="126">
                  <c:v>2141</c:v>
                </c:pt>
                <c:pt idx="127">
                  <c:v>2142</c:v>
                </c:pt>
                <c:pt idx="128">
                  <c:v>2143</c:v>
                </c:pt>
                <c:pt idx="129">
                  <c:v>2144</c:v>
                </c:pt>
                <c:pt idx="130">
                  <c:v>2145</c:v>
                </c:pt>
                <c:pt idx="131">
                  <c:v>2146</c:v>
                </c:pt>
                <c:pt idx="132">
                  <c:v>2147</c:v>
                </c:pt>
                <c:pt idx="133">
                  <c:v>2148</c:v>
                </c:pt>
                <c:pt idx="134">
                  <c:v>2149</c:v>
                </c:pt>
                <c:pt idx="135">
                  <c:v>2150</c:v>
                </c:pt>
                <c:pt idx="136">
                  <c:v>2151</c:v>
                </c:pt>
                <c:pt idx="137">
                  <c:v>2152</c:v>
                </c:pt>
                <c:pt idx="138">
                  <c:v>2153</c:v>
                </c:pt>
                <c:pt idx="139">
                  <c:v>2154</c:v>
                </c:pt>
                <c:pt idx="140">
                  <c:v>2155</c:v>
                </c:pt>
                <c:pt idx="141">
                  <c:v>2156</c:v>
                </c:pt>
                <c:pt idx="142">
                  <c:v>2157</c:v>
                </c:pt>
                <c:pt idx="143">
                  <c:v>2158</c:v>
                </c:pt>
                <c:pt idx="144">
                  <c:v>2159</c:v>
                </c:pt>
                <c:pt idx="145">
                  <c:v>2160</c:v>
                </c:pt>
                <c:pt idx="146">
                  <c:v>2161</c:v>
                </c:pt>
                <c:pt idx="147">
                  <c:v>2162</c:v>
                </c:pt>
                <c:pt idx="148">
                  <c:v>2163</c:v>
                </c:pt>
                <c:pt idx="149">
                  <c:v>2164</c:v>
                </c:pt>
              </c:numCache>
            </c:numRef>
          </c:xVal>
          <c:yVal>
            <c:numRef>
              <c:f>'MCMC Projection'!$B$22:$EU$22</c:f>
              <c:numCache>
                <c:formatCode>General</c:formatCode>
                <c:ptCount val="150"/>
                <c:pt idx="0">
                  <c:v>668.16838856956269</c:v>
                </c:pt>
                <c:pt idx="1">
                  <c:v>661.64798826642175</c:v>
                </c:pt>
                <c:pt idx="2">
                  <c:v>675.61198695277767</c:v>
                </c:pt>
                <c:pt idx="3">
                  <c:v>697.26637973595211</c:v>
                </c:pt>
                <c:pt idx="4">
                  <c:v>720.24150728509744</c:v>
                </c:pt>
                <c:pt idx="5">
                  <c:v>741.56804617468208</c:v>
                </c:pt>
                <c:pt idx="6">
                  <c:v>760.04839141639593</c:v>
                </c:pt>
                <c:pt idx="7">
                  <c:v>775.38229357494492</c:v>
                </c:pt>
                <c:pt idx="8">
                  <c:v>787.7004956263105</c:v>
                </c:pt>
                <c:pt idx="9">
                  <c:v>797.31904542552786</c:v>
                </c:pt>
                <c:pt idx="10">
                  <c:v>804.61276427261441</c:v>
                </c:pt>
                <c:pt idx="11">
                  <c:v>809.95276889381</c:v>
                </c:pt>
                <c:pt idx="12">
                  <c:v>813.67810970151368</c:v>
                </c:pt>
                <c:pt idx="13">
                  <c:v>816.08526454640992</c:v>
                </c:pt>
                <c:pt idx="14">
                  <c:v>817.42667720875647</c:v>
                </c:pt>
                <c:pt idx="15">
                  <c:v>817.91359643482724</c:v>
                </c:pt>
                <c:pt idx="16">
                  <c:v>817.72069365934408</c:v>
                </c:pt>
                <c:pt idx="17">
                  <c:v>816.9911514391631</c:v>
                </c:pt>
                <c:pt idx="18">
                  <c:v>815.84157535358167</c:v>
                </c:pt>
                <c:pt idx="19">
                  <c:v>814.36643865433359</c:v>
                </c:pt>
                <c:pt idx="20">
                  <c:v>812.64195795250362</c:v>
                </c:pt>
                <c:pt idx="21">
                  <c:v>810.72939506489092</c:v>
                </c:pt>
                <c:pt idx="22">
                  <c:v>808.67782651906566</c:v>
                </c:pt>
                <c:pt idx="23">
                  <c:v>806.52644129498321</c:v>
                </c:pt>
                <c:pt idx="24">
                  <c:v>804.30643204038722</c:v>
                </c:pt>
                <c:pt idx="25">
                  <c:v>802.04254238705153</c:v>
                </c:pt>
                <c:pt idx="26">
                  <c:v>799.75432705688866</c:v>
                </c:pt>
                <c:pt idx="27">
                  <c:v>797.45717432007541</c:v>
                </c:pt>
                <c:pt idx="28">
                  <c:v>795.16313317625111</c:v>
                </c:pt>
                <c:pt idx="29">
                  <c:v>792.88158093002676</c:v>
                </c:pt>
                <c:pt idx="30">
                  <c:v>790.61976086265622</c:v>
                </c:pt>
                <c:pt idx="31">
                  <c:v>788.38321452968773</c:v>
                </c:pt>
                <c:pt idx="32">
                  <c:v>786.17612881658954</c:v>
                </c:pt>
                <c:pt idx="33">
                  <c:v>784.00161419420476</c:v>
                </c:pt>
                <c:pt idx="34">
                  <c:v>781.8619275497158</c:v>
                </c:pt>
                <c:pt idx="35">
                  <c:v>779.75865043992997</c:v>
                </c:pt>
                <c:pt idx="36">
                  <c:v>777.69283154001732</c:v>
                </c:pt>
                <c:pt idx="37">
                  <c:v>775.66510036821285</c:v>
                </c:pt>
                <c:pt idx="38">
                  <c:v>773.67575799052395</c:v>
                </c:pt>
                <c:pt idx="39">
                  <c:v>771.72484929352697</c:v>
                </c:pt>
                <c:pt idx="40">
                  <c:v>769.81222051085206</c:v>
                </c:pt>
                <c:pt idx="41">
                  <c:v>767.93756496066112</c:v>
                </c:pt>
                <c:pt idx="42">
                  <c:v>766.10045936472613</c:v>
                </c:pt>
                <c:pt idx="43">
                  <c:v>764.30039264781249</c:v>
                </c:pt>
                <c:pt idx="44">
                  <c:v>762.53678873697743</c:v>
                </c:pt>
                <c:pt idx="45">
                  <c:v>760.80902457620027</c:v>
                </c:pt>
                <c:pt idx="46">
                  <c:v>759.11644432789649</c:v>
                </c:pt>
                <c:pt idx="47">
                  <c:v>757.458370537527</c:v>
                </c:pt>
                <c:pt idx="48">
                  <c:v>755.83411288115872</c:v>
                </c:pt>
                <c:pt idx="49">
                  <c:v>754.24297499075283</c:v>
                </c:pt>
                <c:pt idx="50">
                  <c:v>752.68425975195282</c:v>
                </c:pt>
                <c:pt idx="51">
                  <c:v>751.15727338923602</c:v>
                </c:pt>
                <c:pt idx="52">
                  <c:v>749.661328589449</c:v>
                </c:pt>
                <c:pt idx="53">
                  <c:v>748.19574686378223</c:v>
                </c:pt>
                <c:pt idx="54">
                  <c:v>746.75986030754757</c:v>
                </c:pt>
                <c:pt idx="55">
                  <c:v>745.35301288465655</c:v>
                </c:pt>
                <c:pt idx="56">
                  <c:v>743.97456133779792</c:v>
                </c:pt>
                <c:pt idx="57">
                  <c:v>742.6238758046544</c:v>
                </c:pt>
                <c:pt idx="58">
                  <c:v>741.30034020403127</c:v>
                </c:pt>
                <c:pt idx="59">
                  <c:v>740.00335244263806</c:v>
                </c:pt>
                <c:pt idx="60">
                  <c:v>738.73232448280589</c:v>
                </c:pt>
                <c:pt idx="61">
                  <c:v>737.48668230308499</c:v>
                </c:pt>
                <c:pt idx="62">
                  <c:v>736.26586577702926</c:v>
                </c:pt>
                <c:pt idx="63">
                  <c:v>735.06932849018949</c:v>
                </c:pt>
                <c:pt idx="64">
                  <c:v>733.89653751112837</c:v>
                </c:pt>
                <c:pt idx="65">
                  <c:v>732.74697312892363</c:v>
                </c:pt>
                <c:pt idx="66">
                  <c:v>731.62012856696231</c:v>
                </c:pt>
                <c:pt idx="67">
                  <c:v>730.5155096807149</c:v>
                </c:pt>
                <c:pt idx="68">
                  <c:v>729.43263464549364</c:v>
                </c:pt>
                <c:pt idx="69">
                  <c:v>728.37103363886808</c:v>
                </c:pt>
                <c:pt idx="70">
                  <c:v>727.33024852135168</c:v>
                </c:pt>
                <c:pt idx="71">
                  <c:v>726.30983251813086</c:v>
                </c:pt>
                <c:pt idx="72">
                  <c:v>725.30934990395019</c:v>
                </c:pt>
                <c:pt idx="73">
                  <c:v>724.32837569273693</c:v>
                </c:pt>
                <c:pt idx="74">
                  <c:v>723.3664953331388</c:v>
                </c:pt>
                <c:pt idx="75">
                  <c:v>722.42330441082049</c:v>
                </c:pt>
                <c:pt idx="76">
                  <c:v>721.4984083581088</c:v>
                </c:pt>
                <c:pt idx="77">
                  <c:v>720.5914221713781</c:v>
                </c:pt>
                <c:pt idx="78">
                  <c:v>719.70197013640995</c:v>
                </c:pt>
                <c:pt idx="79">
                  <c:v>718.82968556183994</c:v>
                </c:pt>
                <c:pt idx="80">
                  <c:v>717.97421052071365</c:v>
                </c:pt>
                <c:pt idx="81">
                  <c:v>717.13519560009934</c:v>
                </c:pt>
                <c:pt idx="82">
                  <c:v>716.31229965865418</c:v>
                </c:pt>
                <c:pt idx="83">
                  <c:v>715.50518959199871</c:v>
                </c:pt>
                <c:pt idx="84">
                  <c:v>714.71354010572588</c:v>
                </c:pt>
                <c:pt idx="85">
                  <c:v>713.93703349585019</c:v>
                </c:pt>
                <c:pt idx="86">
                  <c:v>713.17535943648829</c:v>
                </c:pt>
                <c:pt idx="87">
                  <c:v>712.428214774553</c:v>
                </c:pt>
                <c:pt idx="88">
                  <c:v>711.69530333123862</c:v>
                </c:pt>
                <c:pt idx="89">
                  <c:v>710.97633571007259</c:v>
                </c:pt>
                <c:pt idx="90">
                  <c:v>710.27102911131055</c:v>
                </c:pt>
                <c:pt idx="91">
                  <c:v>709.57910715245237</c:v>
                </c:pt>
                <c:pt idx="92">
                  <c:v>708.90029969466286</c:v>
                </c:pt>
                <c:pt idx="93">
                  <c:v>708.23434267488233</c:v>
                </c:pt>
                <c:pt idx="94">
                  <c:v>707.58097794342223</c:v>
                </c:pt>
                <c:pt idx="95">
                  <c:v>706.9399531068417</c:v>
                </c:pt>
                <c:pt idx="96">
                  <c:v>706.31102137591176</c:v>
                </c:pt>
                <c:pt idx="97">
                  <c:v>705.69394141847783</c:v>
                </c:pt>
                <c:pt idx="98">
                  <c:v>705.08847721703819</c:v>
                </c:pt>
                <c:pt idx="99">
                  <c:v>704.49439793086276</c:v>
                </c:pt>
                <c:pt idx="100">
                  <c:v>703.91147776248442</c:v>
                </c:pt>
                <c:pt idx="101">
                  <c:v>703.33949582839796</c:v>
                </c:pt>
                <c:pt idx="102">
                  <c:v>702.77823603381239</c:v>
                </c:pt>
                <c:pt idx="103">
                  <c:v>702.22748695130474</c:v>
                </c:pt>
                <c:pt idx="104">
                  <c:v>701.68704170323235</c:v>
                </c:pt>
                <c:pt idx="105">
                  <c:v>701.15669784776446</c:v>
                </c:pt>
                <c:pt idx="106">
                  <c:v>700.63625726839848</c:v>
                </c:pt>
                <c:pt idx="107">
                  <c:v>700.12552606683732</c:v>
                </c:pt>
                <c:pt idx="108">
                  <c:v>699.62431445910079</c:v>
                </c:pt>
                <c:pt idx="109">
                  <c:v>699.1324366747557</c:v>
                </c:pt>
                <c:pt idx="110">
                  <c:v>698.64971085915261</c:v>
                </c:pt>
                <c:pt idx="111">
                  <c:v>698.1759589785587</c:v>
                </c:pt>
                <c:pt idx="112">
                  <c:v>697.71100672808507</c:v>
                </c:pt>
                <c:pt idx="113">
                  <c:v>697.25468344230717</c:v>
                </c:pt>
                <c:pt idx="114">
                  <c:v>696.80682200848491</c:v>
                </c:pt>
                <c:pt idx="115">
                  <c:v>696.36725878228765</c:v>
                </c:pt>
                <c:pt idx="116">
                  <c:v>695.93583350593906</c:v>
                </c:pt>
                <c:pt idx="117">
                  <c:v>695.51238922869538</c:v>
                </c:pt>
                <c:pt idx="118">
                  <c:v>695.09677222957703</c:v>
                </c:pt>
                <c:pt idx="119">
                  <c:v>694.68883194227533</c:v>
                </c:pt>
                <c:pt idx="120">
                  <c:v>694.28842088215868</c:v>
                </c:pt>
                <c:pt idx="121">
                  <c:v>693.89539457530907</c:v>
                </c:pt>
                <c:pt idx="122">
                  <c:v>693.50961148951626</c:v>
                </c:pt>
                <c:pt idx="123">
                  <c:v>693.13093296716761</c:v>
                </c:pt>
                <c:pt idx="124">
                  <c:v>692.75922315996559</c:v>
                </c:pt>
                <c:pt idx="125">
                  <c:v>692.39434896541616</c:v>
                </c:pt>
                <c:pt idx="126">
                  <c:v>692.03617996502589</c:v>
                </c:pt>
                <c:pt idx="127">
                  <c:v>691.684588364153</c:v>
                </c:pt>
                <c:pt idx="128">
                  <c:v>691.33944893345881</c:v>
                </c:pt>
                <c:pt idx="129">
                  <c:v>691.00063895190544</c:v>
                </c:pt>
                <c:pt idx="130">
                  <c:v>690.66803815125138</c:v>
                </c:pt>
                <c:pt idx="131">
                  <c:v>690.34152866199588</c:v>
                </c:pt>
                <c:pt idx="132">
                  <c:v>690.02099496072663</c:v>
                </c:pt>
                <c:pt idx="133">
                  <c:v>689.70632381882479</c:v>
                </c:pt>
                <c:pt idx="134">
                  <c:v>689.39740425248544</c:v>
                </c:pt>
                <c:pt idx="135">
                  <c:v>689.09412747401291</c:v>
                </c:pt>
                <c:pt idx="136">
                  <c:v>688.79638684434894</c:v>
                </c:pt>
                <c:pt idx="137">
                  <c:v>688.50407782679758</c:v>
                </c:pt>
                <c:pt idx="138">
                  <c:v>688.21709794190951</c:v>
                </c:pt>
                <c:pt idx="139">
                  <c:v>687.93534672348926</c:v>
                </c:pt>
                <c:pt idx="140">
                  <c:v>687.65872567569272</c:v>
                </c:pt>
                <c:pt idx="141">
                  <c:v>687.38713823118064</c:v>
                </c:pt>
                <c:pt idx="142">
                  <c:v>687.12048971029753</c:v>
                </c:pt>
                <c:pt idx="143">
                  <c:v>686.85868728124478</c:v>
                </c:pt>
                <c:pt idx="144">
                  <c:v>686.60163992121829</c:v>
                </c:pt>
                <c:pt idx="145">
                  <c:v>686.349258378483</c:v>
                </c:pt>
                <c:pt idx="146">
                  <c:v>686.10145513535645</c:v>
                </c:pt>
                <c:pt idx="147">
                  <c:v>685.85814437207546</c:v>
                </c:pt>
                <c:pt idx="148">
                  <c:v>685.61924193151856</c:v>
                </c:pt>
                <c:pt idx="149">
                  <c:v>685.38466528476295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DF-481F-BC38-2693C0BF0E1F}"/>
            </c:ext>
          </c:extLst>
        </c:ser>
        <c:ser>
          <c:idx val="1"/>
          <c:order val="1"/>
          <c:tx>
            <c:v>Marine Organic</c:v>
          </c:tx>
          <c:spPr>
            <a:ln w="47625">
              <a:noFill/>
            </a:ln>
          </c:spPr>
          <c:xVal>
            <c:numRef>
              <c:f>'MCMC Projection'!$B$21:$EU$21</c:f>
              <c:numCache>
                <c:formatCode>General</c:formatCode>
                <c:ptCount val="150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  <c:pt idx="36">
                  <c:v>2051</c:v>
                </c:pt>
                <c:pt idx="37">
                  <c:v>2052</c:v>
                </c:pt>
                <c:pt idx="38">
                  <c:v>2053</c:v>
                </c:pt>
                <c:pt idx="39">
                  <c:v>2054</c:v>
                </c:pt>
                <c:pt idx="40">
                  <c:v>2055</c:v>
                </c:pt>
                <c:pt idx="41">
                  <c:v>2056</c:v>
                </c:pt>
                <c:pt idx="42">
                  <c:v>2057</c:v>
                </c:pt>
                <c:pt idx="43">
                  <c:v>2058</c:v>
                </c:pt>
                <c:pt idx="44">
                  <c:v>2059</c:v>
                </c:pt>
                <c:pt idx="45">
                  <c:v>2060</c:v>
                </c:pt>
                <c:pt idx="46">
                  <c:v>2061</c:v>
                </c:pt>
                <c:pt idx="47">
                  <c:v>2062</c:v>
                </c:pt>
                <c:pt idx="48">
                  <c:v>2063</c:v>
                </c:pt>
                <c:pt idx="49">
                  <c:v>2064</c:v>
                </c:pt>
                <c:pt idx="50">
                  <c:v>2065</c:v>
                </c:pt>
                <c:pt idx="51">
                  <c:v>2066</c:v>
                </c:pt>
                <c:pt idx="52">
                  <c:v>2067</c:v>
                </c:pt>
                <c:pt idx="53">
                  <c:v>2068</c:v>
                </c:pt>
                <c:pt idx="54">
                  <c:v>2069</c:v>
                </c:pt>
                <c:pt idx="55">
                  <c:v>2070</c:v>
                </c:pt>
                <c:pt idx="56">
                  <c:v>2071</c:v>
                </c:pt>
                <c:pt idx="57">
                  <c:v>2072</c:v>
                </c:pt>
                <c:pt idx="58">
                  <c:v>2073</c:v>
                </c:pt>
                <c:pt idx="59">
                  <c:v>2074</c:v>
                </c:pt>
                <c:pt idx="60">
                  <c:v>2075</c:v>
                </c:pt>
                <c:pt idx="61">
                  <c:v>2076</c:v>
                </c:pt>
                <c:pt idx="62">
                  <c:v>2077</c:v>
                </c:pt>
                <c:pt idx="63">
                  <c:v>2078</c:v>
                </c:pt>
                <c:pt idx="64">
                  <c:v>2079</c:v>
                </c:pt>
                <c:pt idx="65">
                  <c:v>2080</c:v>
                </c:pt>
                <c:pt idx="66">
                  <c:v>2081</c:v>
                </c:pt>
                <c:pt idx="67">
                  <c:v>2082</c:v>
                </c:pt>
                <c:pt idx="68">
                  <c:v>2083</c:v>
                </c:pt>
                <c:pt idx="69">
                  <c:v>2084</c:v>
                </c:pt>
                <c:pt idx="70">
                  <c:v>2085</c:v>
                </c:pt>
                <c:pt idx="71">
                  <c:v>2086</c:v>
                </c:pt>
                <c:pt idx="72">
                  <c:v>2087</c:v>
                </c:pt>
                <c:pt idx="73">
                  <c:v>2088</c:v>
                </c:pt>
                <c:pt idx="74">
                  <c:v>2089</c:v>
                </c:pt>
                <c:pt idx="75">
                  <c:v>2090</c:v>
                </c:pt>
                <c:pt idx="76">
                  <c:v>2091</c:v>
                </c:pt>
                <c:pt idx="77">
                  <c:v>2092</c:v>
                </c:pt>
                <c:pt idx="78">
                  <c:v>2093</c:v>
                </c:pt>
                <c:pt idx="79">
                  <c:v>2094</c:v>
                </c:pt>
                <c:pt idx="80">
                  <c:v>2095</c:v>
                </c:pt>
                <c:pt idx="81">
                  <c:v>2096</c:v>
                </c:pt>
                <c:pt idx="82">
                  <c:v>2097</c:v>
                </c:pt>
                <c:pt idx="83">
                  <c:v>2098</c:v>
                </c:pt>
                <c:pt idx="84">
                  <c:v>2099</c:v>
                </c:pt>
                <c:pt idx="85">
                  <c:v>2100</c:v>
                </c:pt>
                <c:pt idx="86">
                  <c:v>2101</c:v>
                </c:pt>
                <c:pt idx="87">
                  <c:v>2102</c:v>
                </c:pt>
                <c:pt idx="88">
                  <c:v>2103</c:v>
                </c:pt>
                <c:pt idx="89">
                  <c:v>2104</c:v>
                </c:pt>
                <c:pt idx="90">
                  <c:v>2105</c:v>
                </c:pt>
                <c:pt idx="91">
                  <c:v>2106</c:v>
                </c:pt>
                <c:pt idx="92">
                  <c:v>2107</c:v>
                </c:pt>
                <c:pt idx="93">
                  <c:v>2108</c:v>
                </c:pt>
                <c:pt idx="94">
                  <c:v>2109</c:v>
                </c:pt>
                <c:pt idx="95">
                  <c:v>2110</c:v>
                </c:pt>
                <c:pt idx="96">
                  <c:v>2111</c:v>
                </c:pt>
                <c:pt idx="97">
                  <c:v>2112</c:v>
                </c:pt>
                <c:pt idx="98">
                  <c:v>2113</c:v>
                </c:pt>
                <c:pt idx="99">
                  <c:v>2114</c:v>
                </c:pt>
                <c:pt idx="100">
                  <c:v>2115</c:v>
                </c:pt>
                <c:pt idx="101">
                  <c:v>2116</c:v>
                </c:pt>
                <c:pt idx="102">
                  <c:v>2117</c:v>
                </c:pt>
                <c:pt idx="103">
                  <c:v>2118</c:v>
                </c:pt>
                <c:pt idx="104">
                  <c:v>2119</c:v>
                </c:pt>
                <c:pt idx="105">
                  <c:v>2120</c:v>
                </c:pt>
                <c:pt idx="106">
                  <c:v>2121</c:v>
                </c:pt>
                <c:pt idx="107">
                  <c:v>2122</c:v>
                </c:pt>
                <c:pt idx="108">
                  <c:v>2123</c:v>
                </c:pt>
                <c:pt idx="109">
                  <c:v>2124</c:v>
                </c:pt>
                <c:pt idx="110">
                  <c:v>2125</c:v>
                </c:pt>
                <c:pt idx="111">
                  <c:v>2126</c:v>
                </c:pt>
                <c:pt idx="112">
                  <c:v>2127</c:v>
                </c:pt>
                <c:pt idx="113">
                  <c:v>2128</c:v>
                </c:pt>
                <c:pt idx="114">
                  <c:v>2129</c:v>
                </c:pt>
                <c:pt idx="115">
                  <c:v>2130</c:v>
                </c:pt>
                <c:pt idx="116">
                  <c:v>2131</c:v>
                </c:pt>
                <c:pt idx="117">
                  <c:v>2132</c:v>
                </c:pt>
                <c:pt idx="118">
                  <c:v>2133</c:v>
                </c:pt>
                <c:pt idx="119">
                  <c:v>2134</c:v>
                </c:pt>
                <c:pt idx="120">
                  <c:v>2135</c:v>
                </c:pt>
                <c:pt idx="121">
                  <c:v>2136</c:v>
                </c:pt>
                <c:pt idx="122">
                  <c:v>2137</c:v>
                </c:pt>
                <c:pt idx="123">
                  <c:v>2138</c:v>
                </c:pt>
                <c:pt idx="124">
                  <c:v>2139</c:v>
                </c:pt>
                <c:pt idx="125">
                  <c:v>2140</c:v>
                </c:pt>
                <c:pt idx="126">
                  <c:v>2141</c:v>
                </c:pt>
                <c:pt idx="127">
                  <c:v>2142</c:v>
                </c:pt>
                <c:pt idx="128">
                  <c:v>2143</c:v>
                </c:pt>
                <c:pt idx="129">
                  <c:v>2144</c:v>
                </c:pt>
                <c:pt idx="130">
                  <c:v>2145</c:v>
                </c:pt>
                <c:pt idx="131">
                  <c:v>2146</c:v>
                </c:pt>
                <c:pt idx="132">
                  <c:v>2147</c:v>
                </c:pt>
                <c:pt idx="133">
                  <c:v>2148</c:v>
                </c:pt>
                <c:pt idx="134">
                  <c:v>2149</c:v>
                </c:pt>
                <c:pt idx="135">
                  <c:v>2150</c:v>
                </c:pt>
                <c:pt idx="136">
                  <c:v>2151</c:v>
                </c:pt>
                <c:pt idx="137">
                  <c:v>2152</c:v>
                </c:pt>
                <c:pt idx="138">
                  <c:v>2153</c:v>
                </c:pt>
                <c:pt idx="139">
                  <c:v>2154</c:v>
                </c:pt>
                <c:pt idx="140">
                  <c:v>2155</c:v>
                </c:pt>
                <c:pt idx="141">
                  <c:v>2156</c:v>
                </c:pt>
                <c:pt idx="142">
                  <c:v>2157</c:v>
                </c:pt>
                <c:pt idx="143">
                  <c:v>2158</c:v>
                </c:pt>
                <c:pt idx="144">
                  <c:v>2159</c:v>
                </c:pt>
                <c:pt idx="145">
                  <c:v>2160</c:v>
                </c:pt>
                <c:pt idx="146">
                  <c:v>2161</c:v>
                </c:pt>
                <c:pt idx="147">
                  <c:v>2162</c:v>
                </c:pt>
                <c:pt idx="148">
                  <c:v>2163</c:v>
                </c:pt>
                <c:pt idx="149">
                  <c:v>2164</c:v>
                </c:pt>
              </c:numCache>
            </c:numRef>
          </c:xVal>
          <c:yVal>
            <c:numRef>
              <c:f>'MCMC Projection'!$B$27:$EU$27</c:f>
              <c:numCache>
                <c:formatCode>General</c:formatCode>
                <c:ptCount val="150"/>
                <c:pt idx="0">
                  <c:v>996.35930474934798</c:v>
                </c:pt>
                <c:pt idx="1">
                  <c:v>994.5428941748587</c:v>
                </c:pt>
                <c:pt idx="2">
                  <c:v>993.45385175098579</c:v>
                </c:pt>
                <c:pt idx="3">
                  <c:v>992.7833537267868</c:v>
                </c:pt>
                <c:pt idx="4">
                  <c:v>992.50892226678627</c:v>
                </c:pt>
                <c:pt idx="5">
                  <c:v>992.67787500276984</c:v>
                </c:pt>
                <c:pt idx="6">
                  <c:v>993.32538890664273</c:v>
                </c:pt>
                <c:pt idx="7">
                  <c:v>994.4525202656074</c:v>
                </c:pt>
                <c:pt idx="8">
                  <c:v>996.0282590041985</c:v>
                </c:pt>
                <c:pt idx="9">
                  <c:v>997.99912663389796</c:v>
                </c:pt>
                <c:pt idx="10">
                  <c:v>1000.2993368629423</c:v>
                </c:pt>
                <c:pt idx="11">
                  <c:v>1002.8590203614422</c:v>
                </c:pt>
                <c:pt idx="12">
                  <c:v>1005.6100011087722</c:v>
                </c:pt>
                <c:pt idx="13">
                  <c:v>1008.4893946189964</c:v>
                </c:pt>
                <c:pt idx="14">
                  <c:v>1011.4415284014439</c:v>
                </c:pt>
                <c:pt idx="15">
                  <c:v>1014.4186813798922</c:v>
                </c:pt>
                <c:pt idx="16">
                  <c:v>1017.3810525923573</c:v>
                </c:pt>
                <c:pt idx="17">
                  <c:v>1020.296267475469</c:v>
                </c:pt>
                <c:pt idx="18">
                  <c:v>1023.1386390153031</c:v>
                </c:pt>
                <c:pt idx="19">
                  <c:v>1025.8883288952889</c:v>
                </c:pt>
                <c:pt idx="20">
                  <c:v>1028.5305003719345</c:v>
                </c:pt>
                <c:pt idx="21">
                  <c:v>1031.0545169580944</c:v>
                </c:pt>
                <c:pt idx="22">
                  <c:v>1033.4532155014199</c:v>
                </c:pt>
                <c:pt idx="23">
                  <c:v>1035.7222656605929</c:v>
                </c:pt>
                <c:pt idx="24">
                  <c:v>1037.8596174771806</c:v>
                </c:pt>
                <c:pt idx="25">
                  <c:v>1039.8650327253233</c:v>
                </c:pt>
                <c:pt idx="26">
                  <c:v>1041.739692547286</c:v>
                </c:pt>
                <c:pt idx="27">
                  <c:v>1043.4858725296344</c:v>
                </c:pt>
                <c:pt idx="28">
                  <c:v>1045.1066761413642</c:v>
                </c:pt>
                <c:pt idx="29">
                  <c:v>1046.6058178715687</c:v>
                </c:pt>
                <c:pt idx="30">
                  <c:v>1047.9874481627432</c:v>
                </c:pt>
                <c:pt idx="31">
                  <c:v>1049.2560131414414</c:v>
                </c:pt>
                <c:pt idx="32">
                  <c:v>1050.416143081467</c:v>
                </c:pt>
                <c:pt idx="33">
                  <c:v>1051.4725644272369</c:v>
                </c:pt>
                <c:pt idx="34">
                  <c:v>1052.4300310201418</c:v>
                </c:pt>
                <c:pt idx="35">
                  <c:v>1053.2932708930466</c:v>
                </c:pt>
                <c:pt idx="36">
                  <c:v>1054.0669456244041</c:v>
                </c:pt>
                <c:pt idx="37">
                  <c:v>1054.7556197779261</c:v>
                </c:pt>
                <c:pt idx="38">
                  <c:v>1055.36373840428</c:v>
                </c:pt>
                <c:pt idx="39">
                  <c:v>1055.895610957383</c:v>
                </c:pt>
                <c:pt idx="40">
                  <c:v>1056.35540028945</c:v>
                </c:pt>
                <c:pt idx="41">
                  <c:v>1056.7471156454437</c:v>
                </c:pt>
                <c:pt idx="42">
                  <c:v>1057.074608787643</c:v>
                </c:pt>
                <c:pt idx="43">
                  <c:v>1057.3415725523275</c:v>
                </c:pt>
                <c:pt idx="44">
                  <c:v>1057.5515412797363</c:v>
                </c:pt>
                <c:pt idx="45">
                  <c:v>1057.7078926711456</c:v>
                </c:pt>
                <c:pt idx="46">
                  <c:v>1057.8138507179285</c:v>
                </c:pt>
                <c:pt idx="47">
                  <c:v>1057.872489420776</c:v>
                </c:pt>
                <c:pt idx="48">
                  <c:v>1057.8867370762036</c:v>
                </c:pt>
                <c:pt idx="49">
                  <c:v>1057.8593809547515</c:v>
                </c:pt>
                <c:pt idx="50">
                  <c:v>1057.7930722331485</c:v>
                </c:pt>
                <c:pt idx="51">
                  <c:v>1057.6903310729679</c:v>
                </c:pt>
                <c:pt idx="52">
                  <c:v>1057.5535517624478</c:v>
                </c:pt>
                <c:pt idx="53">
                  <c:v>1057.3850078573644</c:v>
                </c:pt>
                <c:pt idx="54">
                  <c:v>1057.1868572721271</c:v>
                </c:pt>
                <c:pt idx="55">
                  <c:v>1056.9611472843724</c:v>
                </c:pt>
                <c:pt idx="56">
                  <c:v>1056.7098194259161</c:v>
                </c:pt>
                <c:pt idx="57">
                  <c:v>1056.4347142404802</c:v>
                </c:pt>
                <c:pt idx="58">
                  <c:v>1056.137575894551</c:v>
                </c:pt>
                <c:pt idx="59">
                  <c:v>1055.8200566323833</c:v>
                </c:pt>
                <c:pt idx="60">
                  <c:v>1055.4837210697883</c:v>
                </c:pt>
                <c:pt idx="61">
                  <c:v>1055.1300503241573</c:v>
                </c:pt>
                <c:pt idx="62">
                  <c:v>1054.7604459803401</c:v>
                </c:pt>
                <c:pt idx="63">
                  <c:v>1054.3762338936406</c:v>
                </c:pt>
                <c:pt idx="64">
                  <c:v>1053.9786678324406</c:v>
                </c:pt>
                <c:pt idx="65">
                  <c:v>1053.5689329638842</c:v>
                </c:pt>
                <c:pt idx="66">
                  <c:v>1053.148149186721</c:v>
                </c:pt>
                <c:pt idx="67">
                  <c:v>1052.7173743158783</c:v>
                </c:pt>
                <c:pt idx="68">
                  <c:v>1052.2776071236462</c:v>
                </c:pt>
                <c:pt idx="69">
                  <c:v>1051.8297902425511</c:v>
                </c:pt>
                <c:pt idx="70">
                  <c:v>1051.3748129350918</c:v>
                </c:pt>
                <c:pt idx="71">
                  <c:v>1050.9135137355379</c:v>
                </c:pt>
                <c:pt idx="72">
                  <c:v>1050.4466829689625</c:v>
                </c:pt>
                <c:pt idx="73">
                  <c:v>1049.975065152604</c:v>
                </c:pt>
                <c:pt idx="74">
                  <c:v>1049.4993612845583</c:v>
                </c:pt>
                <c:pt idx="75">
                  <c:v>1049.0202310246671</c:v>
                </c:pt>
                <c:pt idx="76">
                  <c:v>1048.5382947723356</c:v>
                </c:pt>
                <c:pt idx="77">
                  <c:v>1048.0541356458543</c:v>
                </c:pt>
                <c:pt idx="78">
                  <c:v>1047.5683013676437</c:v>
                </c:pt>
                <c:pt idx="79">
                  <c:v>1047.0813060596768</c:v>
                </c:pt>
                <c:pt idx="80">
                  <c:v>1046.5936319531716</c:v>
                </c:pt>
                <c:pt idx="81">
                  <c:v>1046.1057310164804</c:v>
                </c:pt>
                <c:pt idx="82">
                  <c:v>1045.6180265049422</c:v>
                </c:pt>
                <c:pt idx="83">
                  <c:v>1045.1309144363061</c:v>
                </c:pt>
                <c:pt idx="84">
                  <c:v>1044.6447649951797</c:v>
                </c:pt>
                <c:pt idx="85">
                  <c:v>1044.1599238698047</c:v>
                </c:pt>
                <c:pt idx="86">
                  <c:v>1043.6767135243185</c:v>
                </c:pt>
                <c:pt idx="87">
                  <c:v>1043.1954344095168</c:v>
                </c:pt>
                <c:pt idx="88">
                  <c:v>1042.7163661150007</c:v>
                </c:pt>
                <c:pt idx="89">
                  <c:v>1042.2397684654593</c:v>
                </c:pt>
                <c:pt idx="90">
                  <c:v>1041.7658825637131</c:v>
                </c:pt>
                <c:pt idx="91">
                  <c:v>1041.2949317830262</c:v>
                </c:pt>
                <c:pt idx="92">
                  <c:v>1040.8271227110754</c:v>
                </c:pt>
                <c:pt idx="93">
                  <c:v>1040.3626460478622</c:v>
                </c:pt>
                <c:pt idx="94">
                  <c:v>1039.9016774597385</c:v>
                </c:pt>
                <c:pt idx="95">
                  <c:v>1039.4443783916242</c:v>
                </c:pt>
                <c:pt idx="96">
                  <c:v>1038.9908968393959</c:v>
                </c:pt>
                <c:pt idx="97">
                  <c:v>1038.5413680843299</c:v>
                </c:pt>
                <c:pt idx="98">
                  <c:v>1038.0959153914041</c:v>
                </c:pt>
                <c:pt idx="99">
                  <c:v>1037.6546506731686</c:v>
                </c:pt>
                <c:pt idx="100">
                  <c:v>1037.2176751208242</c:v>
                </c:pt>
                <c:pt idx="101">
                  <c:v>1036.7850798040654</c:v>
                </c:pt>
                <c:pt idx="102">
                  <c:v>1036.3569462411751</c:v>
                </c:pt>
                <c:pt idx="103">
                  <c:v>1035.9333469407866</c:v>
                </c:pt>
                <c:pt idx="104">
                  <c:v>1035.5143459166632</c:v>
                </c:pt>
                <c:pt idx="105">
                  <c:v>1035.0999991767824</c:v>
                </c:pt>
                <c:pt idx="106">
                  <c:v>1034.6903551879523</c:v>
                </c:pt>
                <c:pt idx="107">
                  <c:v>1034.2854553171269</c:v>
                </c:pt>
                <c:pt idx="108">
                  <c:v>1033.8853342505363</c:v>
                </c:pt>
                <c:pt idx="109">
                  <c:v>1033.4900203916932</c:v>
                </c:pt>
                <c:pt idx="110">
                  <c:v>1033.0995362392873</c:v>
                </c:pt>
                <c:pt idx="111">
                  <c:v>1032.7138987459332</c:v>
                </c:pt>
                <c:pt idx="112">
                  <c:v>1032.333119658688</c:v>
                </c:pt>
                <c:pt idx="113">
                  <c:v>1031.9572058422186</c:v>
                </c:pt>
                <c:pt idx="114">
                  <c:v>1031.5861595854496</c:v>
                </c:pt>
                <c:pt idx="115">
                  <c:v>1031.2199788924893</c:v>
                </c:pt>
                <c:pt idx="116">
                  <c:v>1030.8586577585907</c:v>
                </c:pt>
                <c:pt idx="117">
                  <c:v>1030.5021864318696</c:v>
                </c:pt>
                <c:pt idx="118">
                  <c:v>1030.1505516614691</c:v>
                </c:pt>
                <c:pt idx="119">
                  <c:v>1029.803736932824</c:v>
                </c:pt>
                <c:pt idx="120">
                  <c:v>1029.4617226906519</c:v>
                </c:pt>
                <c:pt idx="121">
                  <c:v>1029.1244865502654</c:v>
                </c:pt>
                <c:pt idx="122">
                  <c:v>1028.792003497771</c:v>
                </c:pt>
                <c:pt idx="123">
                  <c:v>1028.4642460796988</c:v>
                </c:pt>
                <c:pt idx="124">
                  <c:v>1028.1411845825724</c:v>
                </c:pt>
                <c:pt idx="125">
                  <c:v>1027.8227872029147</c:v>
                </c:pt>
                <c:pt idx="126">
                  <c:v>1027.5090202081535</c:v>
                </c:pt>
                <c:pt idx="127">
                  <c:v>1027.1998480888717</c:v>
                </c:pt>
                <c:pt idx="128">
                  <c:v>1026.8952337028295</c:v>
                </c:pt>
                <c:pt idx="129">
                  <c:v>1026.5951384111572</c:v>
                </c:pt>
                <c:pt idx="130">
                  <c:v>1026.299522207109</c:v>
                </c:pt>
                <c:pt idx="131">
                  <c:v>1026.0083438377392</c:v>
                </c:pt>
                <c:pt idx="132">
                  <c:v>1025.7215609188529</c:v>
                </c:pt>
                <c:pt idx="133">
                  <c:v>1025.439130043563</c:v>
                </c:pt>
                <c:pt idx="134">
                  <c:v>1025.1610068847688</c:v>
                </c:pt>
                <c:pt idx="135">
                  <c:v>1024.8871462918596</c:v>
                </c:pt>
                <c:pt idx="136">
                  <c:v>1024.6175023819296</c:v>
                </c:pt>
                <c:pt idx="137">
                  <c:v>1024.3520286257765</c:v>
                </c:pt>
                <c:pt idx="138">
                  <c:v>1024.0906779289462</c:v>
                </c:pt>
                <c:pt idx="139">
                  <c:v>1023.833402708071</c:v>
                </c:pt>
                <c:pt idx="140">
                  <c:v>1023.5801549627361</c:v>
                </c:pt>
                <c:pt idx="141">
                  <c:v>1023.3308863431006</c:v>
                </c:pt>
                <c:pt idx="142">
                  <c:v>1023.0855482134866</c:v>
                </c:pt>
                <c:pt idx="143">
                  <c:v>1022.8440917121411</c:v>
                </c:pt>
                <c:pt idx="144">
                  <c:v>1022.6064678073624</c:v>
                </c:pt>
                <c:pt idx="145">
                  <c:v>1022.3726273501788</c:v>
                </c:pt>
                <c:pt idx="146">
                  <c:v>1022.1425211237531</c:v>
                </c:pt>
                <c:pt idx="147">
                  <c:v>1021.9160998896808</c:v>
                </c:pt>
                <c:pt idx="148">
                  <c:v>1021.6933144313427</c:v>
                </c:pt>
                <c:pt idx="149">
                  <c:v>1021.4741155944613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5DF-481F-BC38-2693C0BF0E1F}"/>
            </c:ext>
          </c:extLst>
        </c:ser>
        <c:ser>
          <c:idx val="2"/>
          <c:order val="2"/>
          <c:tx>
            <c:v>Terrestrial Life</c:v>
          </c:tx>
          <c:spPr>
            <a:ln w="47625">
              <a:noFill/>
            </a:ln>
          </c:spPr>
          <c:xVal>
            <c:numRef>
              <c:f>'MCMC Projection'!$B$21:$EU$21</c:f>
              <c:numCache>
                <c:formatCode>General</c:formatCode>
                <c:ptCount val="150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  <c:pt idx="36">
                  <c:v>2051</c:v>
                </c:pt>
                <c:pt idx="37">
                  <c:v>2052</c:v>
                </c:pt>
                <c:pt idx="38">
                  <c:v>2053</c:v>
                </c:pt>
                <c:pt idx="39">
                  <c:v>2054</c:v>
                </c:pt>
                <c:pt idx="40">
                  <c:v>2055</c:v>
                </c:pt>
                <c:pt idx="41">
                  <c:v>2056</c:v>
                </c:pt>
                <c:pt idx="42">
                  <c:v>2057</c:v>
                </c:pt>
                <c:pt idx="43">
                  <c:v>2058</c:v>
                </c:pt>
                <c:pt idx="44">
                  <c:v>2059</c:v>
                </c:pt>
                <c:pt idx="45">
                  <c:v>2060</c:v>
                </c:pt>
                <c:pt idx="46">
                  <c:v>2061</c:v>
                </c:pt>
                <c:pt idx="47">
                  <c:v>2062</c:v>
                </c:pt>
                <c:pt idx="48">
                  <c:v>2063</c:v>
                </c:pt>
                <c:pt idx="49">
                  <c:v>2064</c:v>
                </c:pt>
                <c:pt idx="50">
                  <c:v>2065</c:v>
                </c:pt>
                <c:pt idx="51">
                  <c:v>2066</c:v>
                </c:pt>
                <c:pt idx="52">
                  <c:v>2067</c:v>
                </c:pt>
                <c:pt idx="53">
                  <c:v>2068</c:v>
                </c:pt>
                <c:pt idx="54">
                  <c:v>2069</c:v>
                </c:pt>
                <c:pt idx="55">
                  <c:v>2070</c:v>
                </c:pt>
                <c:pt idx="56">
                  <c:v>2071</c:v>
                </c:pt>
                <c:pt idx="57">
                  <c:v>2072</c:v>
                </c:pt>
                <c:pt idx="58">
                  <c:v>2073</c:v>
                </c:pt>
                <c:pt idx="59">
                  <c:v>2074</c:v>
                </c:pt>
                <c:pt idx="60">
                  <c:v>2075</c:v>
                </c:pt>
                <c:pt idx="61">
                  <c:v>2076</c:v>
                </c:pt>
                <c:pt idx="62">
                  <c:v>2077</c:v>
                </c:pt>
                <c:pt idx="63">
                  <c:v>2078</c:v>
                </c:pt>
                <c:pt idx="64">
                  <c:v>2079</c:v>
                </c:pt>
                <c:pt idx="65">
                  <c:v>2080</c:v>
                </c:pt>
                <c:pt idx="66">
                  <c:v>2081</c:v>
                </c:pt>
                <c:pt idx="67">
                  <c:v>2082</c:v>
                </c:pt>
                <c:pt idx="68">
                  <c:v>2083</c:v>
                </c:pt>
                <c:pt idx="69">
                  <c:v>2084</c:v>
                </c:pt>
                <c:pt idx="70">
                  <c:v>2085</c:v>
                </c:pt>
                <c:pt idx="71">
                  <c:v>2086</c:v>
                </c:pt>
                <c:pt idx="72">
                  <c:v>2087</c:v>
                </c:pt>
                <c:pt idx="73">
                  <c:v>2088</c:v>
                </c:pt>
                <c:pt idx="74">
                  <c:v>2089</c:v>
                </c:pt>
                <c:pt idx="75">
                  <c:v>2090</c:v>
                </c:pt>
                <c:pt idx="76">
                  <c:v>2091</c:v>
                </c:pt>
                <c:pt idx="77">
                  <c:v>2092</c:v>
                </c:pt>
                <c:pt idx="78">
                  <c:v>2093</c:v>
                </c:pt>
                <c:pt idx="79">
                  <c:v>2094</c:v>
                </c:pt>
                <c:pt idx="80">
                  <c:v>2095</c:v>
                </c:pt>
                <c:pt idx="81">
                  <c:v>2096</c:v>
                </c:pt>
                <c:pt idx="82">
                  <c:v>2097</c:v>
                </c:pt>
                <c:pt idx="83">
                  <c:v>2098</c:v>
                </c:pt>
                <c:pt idx="84">
                  <c:v>2099</c:v>
                </c:pt>
                <c:pt idx="85">
                  <c:v>2100</c:v>
                </c:pt>
                <c:pt idx="86">
                  <c:v>2101</c:v>
                </c:pt>
                <c:pt idx="87">
                  <c:v>2102</c:v>
                </c:pt>
                <c:pt idx="88">
                  <c:v>2103</c:v>
                </c:pt>
                <c:pt idx="89">
                  <c:v>2104</c:v>
                </c:pt>
                <c:pt idx="90">
                  <c:v>2105</c:v>
                </c:pt>
                <c:pt idx="91">
                  <c:v>2106</c:v>
                </c:pt>
                <c:pt idx="92">
                  <c:v>2107</c:v>
                </c:pt>
                <c:pt idx="93">
                  <c:v>2108</c:v>
                </c:pt>
                <c:pt idx="94">
                  <c:v>2109</c:v>
                </c:pt>
                <c:pt idx="95">
                  <c:v>2110</c:v>
                </c:pt>
                <c:pt idx="96">
                  <c:v>2111</c:v>
                </c:pt>
                <c:pt idx="97">
                  <c:v>2112</c:v>
                </c:pt>
                <c:pt idx="98">
                  <c:v>2113</c:v>
                </c:pt>
                <c:pt idx="99">
                  <c:v>2114</c:v>
                </c:pt>
                <c:pt idx="100">
                  <c:v>2115</c:v>
                </c:pt>
                <c:pt idx="101">
                  <c:v>2116</c:v>
                </c:pt>
                <c:pt idx="102">
                  <c:v>2117</c:v>
                </c:pt>
                <c:pt idx="103">
                  <c:v>2118</c:v>
                </c:pt>
                <c:pt idx="104">
                  <c:v>2119</c:v>
                </c:pt>
                <c:pt idx="105">
                  <c:v>2120</c:v>
                </c:pt>
                <c:pt idx="106">
                  <c:v>2121</c:v>
                </c:pt>
                <c:pt idx="107">
                  <c:v>2122</c:v>
                </c:pt>
                <c:pt idx="108">
                  <c:v>2123</c:v>
                </c:pt>
                <c:pt idx="109">
                  <c:v>2124</c:v>
                </c:pt>
                <c:pt idx="110">
                  <c:v>2125</c:v>
                </c:pt>
                <c:pt idx="111">
                  <c:v>2126</c:v>
                </c:pt>
                <c:pt idx="112">
                  <c:v>2127</c:v>
                </c:pt>
                <c:pt idx="113">
                  <c:v>2128</c:v>
                </c:pt>
                <c:pt idx="114">
                  <c:v>2129</c:v>
                </c:pt>
                <c:pt idx="115">
                  <c:v>2130</c:v>
                </c:pt>
                <c:pt idx="116">
                  <c:v>2131</c:v>
                </c:pt>
                <c:pt idx="117">
                  <c:v>2132</c:v>
                </c:pt>
                <c:pt idx="118">
                  <c:v>2133</c:v>
                </c:pt>
                <c:pt idx="119">
                  <c:v>2134</c:v>
                </c:pt>
                <c:pt idx="120">
                  <c:v>2135</c:v>
                </c:pt>
                <c:pt idx="121">
                  <c:v>2136</c:v>
                </c:pt>
                <c:pt idx="122">
                  <c:v>2137</c:v>
                </c:pt>
                <c:pt idx="123">
                  <c:v>2138</c:v>
                </c:pt>
                <c:pt idx="124">
                  <c:v>2139</c:v>
                </c:pt>
                <c:pt idx="125">
                  <c:v>2140</c:v>
                </c:pt>
                <c:pt idx="126">
                  <c:v>2141</c:v>
                </c:pt>
                <c:pt idx="127">
                  <c:v>2142</c:v>
                </c:pt>
                <c:pt idx="128">
                  <c:v>2143</c:v>
                </c:pt>
                <c:pt idx="129">
                  <c:v>2144</c:v>
                </c:pt>
                <c:pt idx="130">
                  <c:v>2145</c:v>
                </c:pt>
                <c:pt idx="131">
                  <c:v>2146</c:v>
                </c:pt>
                <c:pt idx="132">
                  <c:v>2147</c:v>
                </c:pt>
                <c:pt idx="133">
                  <c:v>2148</c:v>
                </c:pt>
                <c:pt idx="134">
                  <c:v>2149</c:v>
                </c:pt>
                <c:pt idx="135">
                  <c:v>2150</c:v>
                </c:pt>
                <c:pt idx="136">
                  <c:v>2151</c:v>
                </c:pt>
                <c:pt idx="137">
                  <c:v>2152</c:v>
                </c:pt>
                <c:pt idx="138">
                  <c:v>2153</c:v>
                </c:pt>
                <c:pt idx="139">
                  <c:v>2154</c:v>
                </c:pt>
                <c:pt idx="140">
                  <c:v>2155</c:v>
                </c:pt>
                <c:pt idx="141">
                  <c:v>2156</c:v>
                </c:pt>
                <c:pt idx="142">
                  <c:v>2157</c:v>
                </c:pt>
                <c:pt idx="143">
                  <c:v>2158</c:v>
                </c:pt>
                <c:pt idx="144">
                  <c:v>2159</c:v>
                </c:pt>
                <c:pt idx="145">
                  <c:v>2160</c:v>
                </c:pt>
                <c:pt idx="146">
                  <c:v>2161</c:v>
                </c:pt>
                <c:pt idx="147">
                  <c:v>2162</c:v>
                </c:pt>
                <c:pt idx="148">
                  <c:v>2163</c:v>
                </c:pt>
                <c:pt idx="149">
                  <c:v>2164</c:v>
                </c:pt>
              </c:numCache>
            </c:numRef>
          </c:xVal>
          <c:yVal>
            <c:numRef>
              <c:f>'MCMC Projection'!$B$29:$EU$29</c:f>
              <c:numCache>
                <c:formatCode>General</c:formatCode>
                <c:ptCount val="150"/>
                <c:pt idx="0">
                  <c:v>1043.4904575549619</c:v>
                </c:pt>
                <c:pt idx="1">
                  <c:v>1199.0047003460595</c:v>
                </c:pt>
                <c:pt idx="2">
                  <c:v>1298.7423280165365</c:v>
                </c:pt>
                <c:pt idx="3">
                  <c:v>1362.5389861800973</c:v>
                </c:pt>
                <c:pt idx="4">
                  <c:v>1402.8375828724861</c:v>
                </c:pt>
                <c:pt idx="5">
                  <c:v>1427.5809566120361</c:v>
                </c:pt>
                <c:pt idx="6">
                  <c:v>1441.9224301844524</c:v>
                </c:pt>
                <c:pt idx="7">
                  <c:v>1449.254979212822</c:v>
                </c:pt>
                <c:pt idx="8">
                  <c:v>1451.8416562799184</c:v>
                </c:pt>
                <c:pt idx="9">
                  <c:v>1451.2087799351089</c:v>
                </c:pt>
                <c:pt idx="10">
                  <c:v>1448.3954853684809</c:v>
                </c:pt>
                <c:pt idx="11">
                  <c:v>1444.11473232868</c:v>
                </c:pt>
                <c:pt idx="12">
                  <c:v>1438.8587547371742</c:v>
                </c:pt>
                <c:pt idx="13">
                  <c:v>1432.9690508841343</c:v>
                </c:pt>
                <c:pt idx="14">
                  <c:v>1426.6833819021922</c:v>
                </c:pt>
                <c:pt idx="15">
                  <c:v>1420.1676484874906</c:v>
                </c:pt>
                <c:pt idx="16">
                  <c:v>1413.5376961985551</c:v>
                </c:pt>
                <c:pt idx="17">
                  <c:v>1406.8743396275918</c:v>
                </c:pt>
                <c:pt idx="18">
                  <c:v>1400.2337782270633</c:v>
                </c:pt>
                <c:pt idx="19">
                  <c:v>1393.654855641375</c:v>
                </c:pt>
                <c:pt idx="20">
                  <c:v>1387.1641425410455</c:v>
                </c:pt>
                <c:pt idx="21">
                  <c:v>1380.7795101623612</c:v>
                </c:pt>
                <c:pt idx="22">
                  <c:v>1374.5126520990927</c:v>
                </c:pt>
                <c:pt idx="23">
                  <c:v>1368.3708700384543</c:v>
                </c:pt>
                <c:pt idx="24">
                  <c:v>1362.358342390424</c:v>
                </c:pt>
                <c:pt idx="25">
                  <c:v>1356.4770283418452</c:v>
                </c:pt>
                <c:pt idx="26">
                  <c:v>1350.727314013378</c:v>
                </c:pt>
                <c:pt idx="27">
                  <c:v>1345.1084755913416</c:v>
                </c:pt>
                <c:pt idx="28">
                  <c:v>1339.6190121547193</c:v>
                </c:pt>
                <c:pt idx="29">
                  <c:v>1334.2568854347655</c:v>
                </c:pt>
                <c:pt idx="30">
                  <c:v>1329.0196928883822</c:v>
                </c:pt>
                <c:pt idx="31">
                  <c:v>1323.9047928316729</c:v>
                </c:pt>
                <c:pt idx="32">
                  <c:v>1318.9093949957057</c:v>
                </c:pt>
                <c:pt idx="33">
                  <c:v>1314.0306260586872</c:v>
                </c:pt>
                <c:pt idx="34">
                  <c:v>1309.2655770083877</c:v>
                </c:pt>
                <c:pt idx="35">
                  <c:v>1304.6113372681962</c:v>
                </c:pt>
                <c:pt idx="36">
                  <c:v>1300.065019150378</c:v>
                </c:pt>
                <c:pt idx="37">
                  <c:v>1295.6237752200402</c:v>
                </c:pt>
                <c:pt idx="38">
                  <c:v>1291.2848104498125</c:v>
                </c:pt>
                <c:pt idx="39">
                  <c:v>1287.0453905385777</c:v>
                </c:pt>
                <c:pt idx="40">
                  <c:v>1282.9028474013433</c:v>
                </c:pt>
                <c:pt idx="41">
                  <c:v>1278.8545825716255</c:v>
                </c:pt>
                <c:pt idx="42">
                  <c:v>1274.8980690641768</c:v>
                </c:pt>
                <c:pt idx="43">
                  <c:v>1271.030852104358</c:v>
                </c:pt>
                <c:pt idx="44">
                  <c:v>1267.2505490265187</c:v>
                </c:pt>
                <c:pt idx="45">
                  <c:v>1263.5548485671138</c:v>
                </c:pt>
                <c:pt idx="46">
                  <c:v>1259.9415097215301</c:v>
                </c:pt>
                <c:pt idx="47">
                  <c:v>1256.4083602913931</c:v>
                </c:pt>
                <c:pt idx="48">
                  <c:v>1252.9532952176153</c:v>
                </c:pt>
                <c:pt idx="49">
                  <c:v>1249.5742747708232</c:v>
                </c:pt>
                <c:pt idx="50">
                  <c:v>1246.2693226530232</c:v>
                </c:pt>
                <c:pt idx="51">
                  <c:v>1243.0365240509484</c:v>
                </c:pt>
                <c:pt idx="52">
                  <c:v>1239.874023671352</c:v>
                </c:pt>
                <c:pt idx="53">
                  <c:v>1236.7800237807971</c:v>
                </c:pt>
                <c:pt idx="54">
                  <c:v>1233.7527822666002</c:v>
                </c:pt>
                <c:pt idx="55">
                  <c:v>1230.7906107311062</c:v>
                </c:pt>
                <c:pt idx="56">
                  <c:v>1227.8918726280344</c:v>
                </c:pt>
                <c:pt idx="57">
                  <c:v>1225.0549814470253</c:v>
                </c:pt>
                <c:pt idx="58">
                  <c:v>1222.2783989505044</c:v>
                </c:pt>
                <c:pt idx="59">
                  <c:v>1219.5606334654633</c:v>
                </c:pt>
                <c:pt idx="60">
                  <c:v>1216.9002382315832</c:v>
                </c:pt>
                <c:pt idx="61">
                  <c:v>1214.2958098062504</c:v>
                </c:pt>
                <c:pt idx="62">
                  <c:v>1211.7459865263511</c:v>
                </c:pt>
                <c:pt idx="63">
                  <c:v>1209.2494470262293</c:v>
                </c:pt>
                <c:pt idx="64">
                  <c:v>1206.8049088108291</c:v>
                </c:pt>
                <c:pt idx="65">
                  <c:v>1204.4111268827764</c:v>
                </c:pt>
                <c:pt idx="66">
                  <c:v>1202.0668924219653</c:v>
                </c:pt>
                <c:pt idx="67">
                  <c:v>1199.7710315160855</c:v>
                </c:pt>
                <c:pt idx="68">
                  <c:v>1197.5224039404486</c:v>
                </c:pt>
                <c:pt idx="69">
                  <c:v>1195.3199019854208</c:v>
                </c:pt>
                <c:pt idx="70">
                  <c:v>1193.1624493297513</c:v>
                </c:pt>
                <c:pt idx="71">
                  <c:v>1191.04899995809</c:v>
                </c:pt>
                <c:pt idx="72">
                  <c:v>1188.9785371210014</c:v>
                </c:pt>
                <c:pt idx="73">
                  <c:v>1186.9500723358128</c:v>
                </c:pt>
                <c:pt idx="74">
                  <c:v>1184.962644426673</c:v>
                </c:pt>
                <c:pt idx="75">
                  <c:v>1183.0153186022349</c:v>
                </c:pt>
                <c:pt idx="76">
                  <c:v>1181.1071855694336</c:v>
                </c:pt>
                <c:pt idx="77">
                  <c:v>1179.2373606818708</c:v>
                </c:pt>
                <c:pt idx="78">
                  <c:v>1177.4049831213747</c:v>
                </c:pt>
                <c:pt idx="79">
                  <c:v>1175.6092151113553</c:v>
                </c:pt>
                <c:pt idx="80">
                  <c:v>1173.8492411606271</c:v>
                </c:pt>
                <c:pt idx="81">
                  <c:v>1172.1242673364231</c:v>
                </c:pt>
                <c:pt idx="82">
                  <c:v>1170.4335205653767</c:v>
                </c:pt>
                <c:pt idx="83">
                  <c:v>1168.7762479612963</c:v>
                </c:pt>
                <c:pt idx="84">
                  <c:v>1167.1517161786076</c:v>
                </c:pt>
                <c:pt idx="85">
                  <c:v>1165.5592107903838</c:v>
                </c:pt>
                <c:pt idx="86">
                  <c:v>1163.9980356899357</c:v>
                </c:pt>
                <c:pt idx="87">
                  <c:v>1162.4675125149656</c:v>
                </c:pt>
                <c:pt idx="88">
                  <c:v>1160.966980093348</c:v>
                </c:pt>
                <c:pt idx="89">
                  <c:v>1159.4957939096255</c:v>
                </c:pt>
                <c:pt idx="90">
                  <c:v>1158.0533255913576</c:v>
                </c:pt>
                <c:pt idx="91">
                  <c:v>1156.6389624144954</c:v>
                </c:pt>
                <c:pt idx="92">
                  <c:v>1155.2521068269864</c:v>
                </c:pt>
                <c:pt idx="93">
                  <c:v>1153.8921759898581</c:v>
                </c:pt>
                <c:pt idx="94">
                  <c:v>1152.5586013350503</c:v>
                </c:pt>
                <c:pt idx="95">
                  <c:v>1151.2508281393098</c:v>
                </c:pt>
                <c:pt idx="96">
                  <c:v>1149.9683151134807</c:v>
                </c:pt>
                <c:pt idx="97">
                  <c:v>1148.7105340065607</c:v>
                </c:pt>
                <c:pt idx="98">
                  <c:v>1147.4769692239172</c:v>
                </c:pt>
                <c:pt idx="99">
                  <c:v>1146.2671174590832</c:v>
                </c:pt>
                <c:pt idx="100">
                  <c:v>1145.0804873385828</c:v>
                </c:pt>
                <c:pt idx="101">
                  <c:v>1143.9165990792533</c:v>
                </c:pt>
                <c:pt idx="102">
                  <c:v>1142.7749841575617</c:v>
                </c:pt>
                <c:pt idx="103">
                  <c:v>1141.6551849904283</c:v>
                </c:pt>
                <c:pt idx="104">
                  <c:v>1140.5567546270968</c:v>
                </c:pt>
                <c:pt idx="105">
                  <c:v>1139.4792564516072</c:v>
                </c:pt>
                <c:pt idx="106">
                  <c:v>1138.4222638954479</c:v>
                </c:pt>
                <c:pt idx="107">
                  <c:v>1137.3853601599831</c:v>
                </c:pt>
                <c:pt idx="108">
                  <c:v>1136.3681379482657</c:v>
                </c:pt>
                <c:pt idx="109">
                  <c:v>1135.3701992058668</c:v>
                </c:pt>
                <c:pt idx="110">
                  <c:v>1134.3911548703663</c:v>
                </c:pt>
                <c:pt idx="111">
                  <c:v>1133.4306246291651</c:v>
                </c:pt>
                <c:pt idx="112">
                  <c:v>1132.4882366852935</c:v>
                </c:pt>
                <c:pt idx="113">
                  <c:v>1131.5636275309057</c:v>
                </c:pt>
                <c:pt idx="114">
                  <c:v>1130.6564417281625</c:v>
                </c:pt>
                <c:pt idx="115">
                  <c:v>1129.7663316972157</c:v>
                </c:pt>
                <c:pt idx="116">
                  <c:v>1128.8929575110246</c:v>
                </c:pt>
                <c:pt idx="117">
                  <c:v>1128.0359866967401</c:v>
                </c:pt>
                <c:pt idx="118">
                  <c:v>1127.1950940434076</c:v>
                </c:pt>
                <c:pt idx="119">
                  <c:v>1126.3699614157504</c:v>
                </c:pt>
                <c:pt idx="120">
                  <c:v>1125.5602775738023</c:v>
                </c:pt>
                <c:pt idx="121">
                  <c:v>1124.7657379981702</c:v>
                </c:pt>
                <c:pt idx="122">
                  <c:v>1123.9860447207172</c:v>
                </c:pt>
                <c:pt idx="123">
                  <c:v>1123.2209061604631</c:v>
                </c:pt>
                <c:pt idx="124">
                  <c:v>1122.4700369645109</c:v>
                </c:pt>
                <c:pt idx="125">
                  <c:v>1121.733157853811</c:v>
                </c:pt>
                <c:pt idx="126">
                  <c:v>1121.0099954735895</c:v>
                </c:pt>
                <c:pt idx="127">
                  <c:v>1120.3002822482683</c:v>
                </c:pt>
                <c:pt idx="128">
                  <c:v>1119.6037562407139</c:v>
                </c:pt>
                <c:pt idx="129">
                  <c:v>1118.9201610156583</c:v>
                </c:pt>
                <c:pt idx="130">
                  <c:v>1118.2492455071447</c:v>
                </c:pt>
                <c:pt idx="131">
                  <c:v>1117.5907638898505</c:v>
                </c:pt>
                <c:pt idx="132">
                  <c:v>1116.9444754541516</c:v>
                </c:pt>
                <c:pt idx="133">
                  <c:v>1116.3101444847975</c:v>
                </c:pt>
                <c:pt idx="134">
                  <c:v>1115.6875401430661</c:v>
                </c:pt>
                <c:pt idx="135">
                  <c:v>1115.0764363522803</c:v>
                </c:pt>
                <c:pt idx="136">
                  <c:v>1114.4766116865671</c:v>
                </c:pt>
                <c:pt idx="137">
                  <c:v>1113.8878492627489</c:v>
                </c:pt>
                <c:pt idx="138">
                  <c:v>1113.3099366352583</c:v>
                </c:pt>
                <c:pt idx="139">
                  <c:v>1112.7426656939722</c:v>
                </c:pt>
                <c:pt idx="140">
                  <c:v>1112.1858325648684</c:v>
                </c:pt>
                <c:pt idx="141">
                  <c:v>1111.6392375134069</c:v>
                </c:pt>
                <c:pt idx="142">
                  <c:v>1111.1026848505451</c:v>
                </c:pt>
                <c:pt idx="143">
                  <c:v>1110.5759828413009</c:v>
                </c:pt>
                <c:pt idx="144">
                  <c:v>1110.0589436157757</c:v>
                </c:pt>
                <c:pt idx="145">
                  <c:v>1109.5513830825591</c:v>
                </c:pt>
                <c:pt idx="146">
                  <c:v>1109.0531208444361</c:v>
                </c:pt>
                <c:pt idx="147">
                  <c:v>1108.5639801163193</c:v>
                </c:pt>
                <c:pt idx="148">
                  <c:v>1108.0837876453413</c:v>
                </c:pt>
                <c:pt idx="149">
                  <c:v>1107.612373633028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5DF-481F-BC38-2693C0BF0E1F}"/>
            </c:ext>
          </c:extLst>
        </c:ser>
        <c:ser>
          <c:idx val="3"/>
          <c:order val="3"/>
          <c:tx>
            <c:v>Detritus</c:v>
          </c:tx>
          <c:spPr>
            <a:ln w="47625">
              <a:noFill/>
            </a:ln>
          </c:spPr>
          <c:xVal>
            <c:numRef>
              <c:f>'MCMC Projection'!$B$21:$EU$21</c:f>
              <c:numCache>
                <c:formatCode>General</c:formatCode>
                <c:ptCount val="150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  <c:pt idx="36">
                  <c:v>2051</c:v>
                </c:pt>
                <c:pt idx="37">
                  <c:v>2052</c:v>
                </c:pt>
                <c:pt idx="38">
                  <c:v>2053</c:v>
                </c:pt>
                <c:pt idx="39">
                  <c:v>2054</c:v>
                </c:pt>
                <c:pt idx="40">
                  <c:v>2055</c:v>
                </c:pt>
                <c:pt idx="41">
                  <c:v>2056</c:v>
                </c:pt>
                <c:pt idx="42">
                  <c:v>2057</c:v>
                </c:pt>
                <c:pt idx="43">
                  <c:v>2058</c:v>
                </c:pt>
                <c:pt idx="44">
                  <c:v>2059</c:v>
                </c:pt>
                <c:pt idx="45">
                  <c:v>2060</c:v>
                </c:pt>
                <c:pt idx="46">
                  <c:v>2061</c:v>
                </c:pt>
                <c:pt idx="47">
                  <c:v>2062</c:v>
                </c:pt>
                <c:pt idx="48">
                  <c:v>2063</c:v>
                </c:pt>
                <c:pt idx="49">
                  <c:v>2064</c:v>
                </c:pt>
                <c:pt idx="50">
                  <c:v>2065</c:v>
                </c:pt>
                <c:pt idx="51">
                  <c:v>2066</c:v>
                </c:pt>
                <c:pt idx="52">
                  <c:v>2067</c:v>
                </c:pt>
                <c:pt idx="53">
                  <c:v>2068</c:v>
                </c:pt>
                <c:pt idx="54">
                  <c:v>2069</c:v>
                </c:pt>
                <c:pt idx="55">
                  <c:v>2070</c:v>
                </c:pt>
                <c:pt idx="56">
                  <c:v>2071</c:v>
                </c:pt>
                <c:pt idx="57">
                  <c:v>2072</c:v>
                </c:pt>
                <c:pt idx="58">
                  <c:v>2073</c:v>
                </c:pt>
                <c:pt idx="59">
                  <c:v>2074</c:v>
                </c:pt>
                <c:pt idx="60">
                  <c:v>2075</c:v>
                </c:pt>
                <c:pt idx="61">
                  <c:v>2076</c:v>
                </c:pt>
                <c:pt idx="62">
                  <c:v>2077</c:v>
                </c:pt>
                <c:pt idx="63">
                  <c:v>2078</c:v>
                </c:pt>
                <c:pt idx="64">
                  <c:v>2079</c:v>
                </c:pt>
                <c:pt idx="65">
                  <c:v>2080</c:v>
                </c:pt>
                <c:pt idx="66">
                  <c:v>2081</c:v>
                </c:pt>
                <c:pt idx="67">
                  <c:v>2082</c:v>
                </c:pt>
                <c:pt idx="68">
                  <c:v>2083</c:v>
                </c:pt>
                <c:pt idx="69">
                  <c:v>2084</c:v>
                </c:pt>
                <c:pt idx="70">
                  <c:v>2085</c:v>
                </c:pt>
                <c:pt idx="71">
                  <c:v>2086</c:v>
                </c:pt>
                <c:pt idx="72">
                  <c:v>2087</c:v>
                </c:pt>
                <c:pt idx="73">
                  <c:v>2088</c:v>
                </c:pt>
                <c:pt idx="74">
                  <c:v>2089</c:v>
                </c:pt>
                <c:pt idx="75">
                  <c:v>2090</c:v>
                </c:pt>
                <c:pt idx="76">
                  <c:v>2091</c:v>
                </c:pt>
                <c:pt idx="77">
                  <c:v>2092</c:v>
                </c:pt>
                <c:pt idx="78">
                  <c:v>2093</c:v>
                </c:pt>
                <c:pt idx="79">
                  <c:v>2094</c:v>
                </c:pt>
                <c:pt idx="80">
                  <c:v>2095</c:v>
                </c:pt>
                <c:pt idx="81">
                  <c:v>2096</c:v>
                </c:pt>
                <c:pt idx="82">
                  <c:v>2097</c:v>
                </c:pt>
                <c:pt idx="83">
                  <c:v>2098</c:v>
                </c:pt>
                <c:pt idx="84">
                  <c:v>2099</c:v>
                </c:pt>
                <c:pt idx="85">
                  <c:v>2100</c:v>
                </c:pt>
                <c:pt idx="86">
                  <c:v>2101</c:v>
                </c:pt>
                <c:pt idx="87">
                  <c:v>2102</c:v>
                </c:pt>
                <c:pt idx="88">
                  <c:v>2103</c:v>
                </c:pt>
                <c:pt idx="89">
                  <c:v>2104</c:v>
                </c:pt>
                <c:pt idx="90">
                  <c:v>2105</c:v>
                </c:pt>
                <c:pt idx="91">
                  <c:v>2106</c:v>
                </c:pt>
                <c:pt idx="92">
                  <c:v>2107</c:v>
                </c:pt>
                <c:pt idx="93">
                  <c:v>2108</c:v>
                </c:pt>
                <c:pt idx="94">
                  <c:v>2109</c:v>
                </c:pt>
                <c:pt idx="95">
                  <c:v>2110</c:v>
                </c:pt>
                <c:pt idx="96">
                  <c:v>2111</c:v>
                </c:pt>
                <c:pt idx="97">
                  <c:v>2112</c:v>
                </c:pt>
                <c:pt idx="98">
                  <c:v>2113</c:v>
                </c:pt>
                <c:pt idx="99">
                  <c:v>2114</c:v>
                </c:pt>
                <c:pt idx="100">
                  <c:v>2115</c:v>
                </c:pt>
                <c:pt idx="101">
                  <c:v>2116</c:v>
                </c:pt>
                <c:pt idx="102">
                  <c:v>2117</c:v>
                </c:pt>
                <c:pt idx="103">
                  <c:v>2118</c:v>
                </c:pt>
                <c:pt idx="104">
                  <c:v>2119</c:v>
                </c:pt>
                <c:pt idx="105">
                  <c:v>2120</c:v>
                </c:pt>
                <c:pt idx="106">
                  <c:v>2121</c:v>
                </c:pt>
                <c:pt idx="107">
                  <c:v>2122</c:v>
                </c:pt>
                <c:pt idx="108">
                  <c:v>2123</c:v>
                </c:pt>
                <c:pt idx="109">
                  <c:v>2124</c:v>
                </c:pt>
                <c:pt idx="110">
                  <c:v>2125</c:v>
                </c:pt>
                <c:pt idx="111">
                  <c:v>2126</c:v>
                </c:pt>
                <c:pt idx="112">
                  <c:v>2127</c:v>
                </c:pt>
                <c:pt idx="113">
                  <c:v>2128</c:v>
                </c:pt>
                <c:pt idx="114">
                  <c:v>2129</c:v>
                </c:pt>
                <c:pt idx="115">
                  <c:v>2130</c:v>
                </c:pt>
                <c:pt idx="116">
                  <c:v>2131</c:v>
                </c:pt>
                <c:pt idx="117">
                  <c:v>2132</c:v>
                </c:pt>
                <c:pt idx="118">
                  <c:v>2133</c:v>
                </c:pt>
                <c:pt idx="119">
                  <c:v>2134</c:v>
                </c:pt>
                <c:pt idx="120">
                  <c:v>2135</c:v>
                </c:pt>
                <c:pt idx="121">
                  <c:v>2136</c:v>
                </c:pt>
                <c:pt idx="122">
                  <c:v>2137</c:v>
                </c:pt>
                <c:pt idx="123">
                  <c:v>2138</c:v>
                </c:pt>
                <c:pt idx="124">
                  <c:v>2139</c:v>
                </c:pt>
                <c:pt idx="125">
                  <c:v>2140</c:v>
                </c:pt>
                <c:pt idx="126">
                  <c:v>2141</c:v>
                </c:pt>
                <c:pt idx="127">
                  <c:v>2142</c:v>
                </c:pt>
                <c:pt idx="128">
                  <c:v>2143</c:v>
                </c:pt>
                <c:pt idx="129">
                  <c:v>2144</c:v>
                </c:pt>
                <c:pt idx="130">
                  <c:v>2145</c:v>
                </c:pt>
                <c:pt idx="131">
                  <c:v>2146</c:v>
                </c:pt>
                <c:pt idx="132">
                  <c:v>2147</c:v>
                </c:pt>
                <c:pt idx="133">
                  <c:v>2148</c:v>
                </c:pt>
                <c:pt idx="134">
                  <c:v>2149</c:v>
                </c:pt>
                <c:pt idx="135">
                  <c:v>2150</c:v>
                </c:pt>
                <c:pt idx="136">
                  <c:v>2151</c:v>
                </c:pt>
                <c:pt idx="137">
                  <c:v>2152</c:v>
                </c:pt>
                <c:pt idx="138">
                  <c:v>2153</c:v>
                </c:pt>
                <c:pt idx="139">
                  <c:v>2154</c:v>
                </c:pt>
                <c:pt idx="140">
                  <c:v>2155</c:v>
                </c:pt>
                <c:pt idx="141">
                  <c:v>2156</c:v>
                </c:pt>
                <c:pt idx="142">
                  <c:v>2157</c:v>
                </c:pt>
                <c:pt idx="143">
                  <c:v>2158</c:v>
                </c:pt>
                <c:pt idx="144">
                  <c:v>2159</c:v>
                </c:pt>
                <c:pt idx="145">
                  <c:v>2160</c:v>
                </c:pt>
                <c:pt idx="146">
                  <c:v>2161</c:v>
                </c:pt>
                <c:pt idx="147">
                  <c:v>2162</c:v>
                </c:pt>
                <c:pt idx="148">
                  <c:v>2163</c:v>
                </c:pt>
                <c:pt idx="149">
                  <c:v>2164</c:v>
                </c:pt>
              </c:numCache>
            </c:numRef>
          </c:xVal>
          <c:yVal>
            <c:numRef>
              <c:f>'MCMC Projection'!$B$30:$EU$30</c:f>
              <c:numCache>
                <c:formatCode>General</c:formatCode>
                <c:ptCount val="150"/>
                <c:pt idx="0">
                  <c:v>996.97206758297648</c:v>
                </c:pt>
                <c:pt idx="1">
                  <c:v>844.80071729850454</c:v>
                </c:pt>
                <c:pt idx="2">
                  <c:v>729.5711459776544</c:v>
                </c:pt>
                <c:pt idx="3">
                  <c:v>641.52992506697251</c:v>
                </c:pt>
                <c:pt idx="4">
                  <c:v>573.72136100798036</c:v>
                </c:pt>
                <c:pt idx="5">
                  <c:v>521.11077688990019</c:v>
                </c:pt>
                <c:pt idx="6">
                  <c:v>480.00762655094707</c:v>
                </c:pt>
                <c:pt idx="7">
                  <c:v>447.67749815293354</c:v>
                </c:pt>
                <c:pt idx="8">
                  <c:v>422.07587418139872</c:v>
                </c:pt>
                <c:pt idx="9">
                  <c:v>401.66213782513347</c:v>
                </c:pt>
                <c:pt idx="10">
                  <c:v>385.26758152822356</c:v>
                </c:pt>
                <c:pt idx="11">
                  <c:v>372.00045412138826</c:v>
                </c:pt>
                <c:pt idx="12">
                  <c:v>361.17684628232934</c:v>
                </c:pt>
                <c:pt idx="13">
                  <c:v>352.26987152134291</c:v>
                </c:pt>
                <c:pt idx="14">
                  <c:v>344.87197086559576</c:v>
                </c:pt>
                <c:pt idx="15">
                  <c:v>338.66673788398657</c:v>
                </c:pt>
                <c:pt idx="16">
                  <c:v>333.40771791019978</c:v>
                </c:pt>
                <c:pt idx="17">
                  <c:v>328.90236010547943</c:v>
                </c:pt>
                <c:pt idx="18">
                  <c:v>324.9998054223085</c:v>
                </c:pt>
                <c:pt idx="19">
                  <c:v>321.58154926488959</c:v>
                </c:pt>
                <c:pt idx="20">
                  <c:v>318.55427144600515</c:v>
                </c:pt>
                <c:pt idx="21">
                  <c:v>315.84430897149258</c:v>
                </c:pt>
                <c:pt idx="22">
                  <c:v>313.39338022287569</c:v>
                </c:pt>
                <c:pt idx="23">
                  <c:v>311.15526663989959</c:v>
                </c:pt>
                <c:pt idx="24">
                  <c:v>309.09323002099927</c:v>
                </c:pt>
                <c:pt idx="25">
                  <c:v>307.17799708460473</c:v>
                </c:pt>
                <c:pt idx="26">
                  <c:v>305.3861829546114</c:v>
                </c:pt>
                <c:pt idx="27">
                  <c:v>303.6990553224054</c:v>
                </c:pt>
                <c:pt idx="28">
                  <c:v>302.10156377632842</c:v>
                </c:pt>
                <c:pt idx="29">
                  <c:v>300.58157605519779</c:v>
                </c:pt>
                <c:pt idx="30">
                  <c:v>299.12927615093054</c:v>
                </c:pt>
                <c:pt idx="31">
                  <c:v>297.73668927027268</c:v>
                </c:pt>
                <c:pt idx="32">
                  <c:v>296.3973064187303</c:v>
                </c:pt>
                <c:pt idx="33">
                  <c:v>295.10578735134425</c:v>
                </c:pt>
                <c:pt idx="34">
                  <c:v>293.85772526482668</c:v>
                </c:pt>
                <c:pt idx="35">
                  <c:v>292.6494601999832</c:v>
                </c:pt>
                <c:pt idx="36">
                  <c:v>291.47793092153495</c:v>
                </c:pt>
                <c:pt idx="37">
                  <c:v>290.34055722625476</c:v>
                </c:pt>
                <c:pt idx="38">
                  <c:v>289.23514633852085</c:v>
                </c:pt>
                <c:pt idx="39">
                  <c:v>288.15981839130461</c:v>
                </c:pt>
                <c:pt idx="40">
                  <c:v>287.11294704202248</c:v>
                </c:pt>
                <c:pt idx="41">
                  <c:v>286.09311209970951</c:v>
                </c:pt>
                <c:pt idx="42">
                  <c:v>285.09906169147592</c:v>
                </c:pt>
                <c:pt idx="43">
                  <c:v>284.12968201012529</c:v>
                </c:pt>
                <c:pt idx="44">
                  <c:v>283.18397309068871</c:v>
                </c:pt>
                <c:pt idx="45">
                  <c:v>282.26102938451498</c:v>
                </c:pt>
                <c:pt idx="46">
                  <c:v>281.36002415349236</c:v>
                </c:pt>
                <c:pt idx="47">
                  <c:v>280.48019690810236</c:v>
                </c:pt>
                <c:pt idx="48">
                  <c:v>279.62084327241962</c:v>
                </c:pt>
                <c:pt idx="49">
                  <c:v>278.7813067856128</c:v>
                </c:pt>
                <c:pt idx="50">
                  <c:v>277.96097224984607</c:v>
                </c:pt>
                <c:pt idx="51">
                  <c:v>277.15926031416063</c:v>
                </c:pt>
                <c:pt idx="52">
                  <c:v>276.37562304721422</c:v>
                </c:pt>
                <c:pt idx="53">
                  <c:v>275.60954030206369</c:v>
                </c:pt>
                <c:pt idx="54">
                  <c:v>274.86051671617463</c:v>
                </c:pt>
                <c:pt idx="55">
                  <c:v>274.1280792216541</c:v>
                </c:pt>
                <c:pt idx="56">
                  <c:v>273.41177496601415</c:v>
                </c:pt>
                <c:pt idx="57">
                  <c:v>272.71116956391631</c:v>
                </c:pt>
                <c:pt idx="58">
                  <c:v>272.02584561638486</c:v>
                </c:pt>
                <c:pt idx="59">
                  <c:v>271.35540144674616</c:v>
                </c:pt>
                <c:pt idx="60">
                  <c:v>270.69945001272379</c:v>
                </c:pt>
                <c:pt idx="61">
                  <c:v>270.05761796222328</c:v>
                </c:pt>
                <c:pt idx="62">
                  <c:v>269.42954480680169</c:v>
                </c:pt>
                <c:pt idx="63">
                  <c:v>268.81488219196501</c:v>
                </c:pt>
                <c:pt idx="64">
                  <c:v>268.21329324754737</c:v>
                </c:pt>
                <c:pt idx="65">
                  <c:v>267.62445200469938</c:v>
                </c:pt>
                <c:pt idx="66">
                  <c:v>267.0480428686331</c:v>
                </c:pt>
                <c:pt idx="67">
                  <c:v>266.48376013835696</c:v>
                </c:pt>
                <c:pt idx="68">
                  <c:v>265.93130756630592</c:v>
                </c:pt>
                <c:pt idx="69">
                  <c:v>265.39039795210539</c:v>
                </c:pt>
                <c:pt idx="70">
                  <c:v>264.86075276577731</c:v>
                </c:pt>
                <c:pt idx="71">
                  <c:v>264.34210179655105</c:v>
                </c:pt>
                <c:pt idx="72">
                  <c:v>263.83418282412856</c:v>
                </c:pt>
                <c:pt idx="73">
                  <c:v>263.33674130980478</c:v>
                </c:pt>
                <c:pt idx="74">
                  <c:v>262.84953010528545</c:v>
                </c:pt>
                <c:pt idx="75">
                  <c:v>262.37230917740351</c:v>
                </c:pt>
                <c:pt idx="76">
                  <c:v>261.9048453472206</c:v>
                </c:pt>
                <c:pt idx="77">
                  <c:v>261.44691204223574</c:v>
                </c:pt>
                <c:pt idx="78">
                  <c:v>260.99828906060998</c:v>
                </c:pt>
                <c:pt idx="79">
                  <c:v>260.55876234647064</c:v>
                </c:pt>
                <c:pt idx="80">
                  <c:v>260.12812377548414</c:v>
                </c:pt>
                <c:pt idx="81">
                  <c:v>259.70617094998948</c:v>
                </c:pt>
                <c:pt idx="82">
                  <c:v>259.29270700306859</c:v>
                </c:pt>
                <c:pt idx="83">
                  <c:v>258.8875404110006</c:v>
                </c:pt>
                <c:pt idx="84">
                  <c:v>258.49048481360586</c:v>
                </c:pt>
                <c:pt idx="85">
                  <c:v>258.10135884203328</c:v>
                </c:pt>
                <c:pt idx="86">
                  <c:v>257.71998595358718</c:v>
                </c:pt>
                <c:pt idx="87">
                  <c:v>257.34619427322485</c:v>
                </c:pt>
                <c:pt idx="88">
                  <c:v>256.97981644138503</c:v>
                </c:pt>
                <c:pt idx="89">
                  <c:v>256.62068946783501</c:v>
                </c:pt>
                <c:pt idx="90">
                  <c:v>256.26865459124571</c:v>
                </c:pt>
                <c:pt idx="91">
                  <c:v>255.92355714422399</c:v>
                </c:pt>
                <c:pt idx="92">
                  <c:v>255.58524642354968</c:v>
                </c:pt>
                <c:pt idx="93">
                  <c:v>255.25357556537975</c:v>
                </c:pt>
                <c:pt idx="94">
                  <c:v>254.92840142519628</c:v>
                </c:pt>
                <c:pt idx="95">
                  <c:v>254.60958446228801</c:v>
                </c:pt>
                <c:pt idx="96">
                  <c:v>254.29698862856606</c:v>
                </c:pt>
                <c:pt idx="97">
                  <c:v>253.99048126152593</c:v>
                </c:pt>
                <c:pt idx="98">
                  <c:v>253.68993298117681</c:v>
                </c:pt>
                <c:pt idx="99">
                  <c:v>253.39521759076908</c:v>
                </c:pt>
                <c:pt idx="100">
                  <c:v>253.10621198115811</c:v>
                </c:pt>
                <c:pt idx="101">
                  <c:v>252.822796038652</c:v>
                </c:pt>
                <c:pt idx="102">
                  <c:v>252.54485255619647</c:v>
                </c:pt>
                <c:pt idx="103">
                  <c:v>252.27226714775816</c:v>
                </c:pt>
                <c:pt idx="104">
                  <c:v>252.00492816577383</c:v>
                </c:pt>
                <c:pt idx="105">
                  <c:v>251.74272662153874</c:v>
                </c:pt>
                <c:pt idx="106">
                  <c:v>251.48555610841365</c:v>
                </c:pt>
                <c:pt idx="107">
                  <c:v>251.23331272773521</c:v>
                </c:pt>
                <c:pt idx="108">
                  <c:v>250.98589501731959</c:v>
                </c:pt>
                <c:pt idx="109">
                  <c:v>250.74320388245448</c:v>
                </c:pt>
                <c:pt idx="110">
                  <c:v>250.50514252927871</c:v>
                </c:pt>
                <c:pt idx="111">
                  <c:v>250.27161640045387</c:v>
                </c:pt>
                <c:pt idx="112">
                  <c:v>250.0425331130358</c:v>
                </c:pt>
                <c:pt idx="113">
                  <c:v>249.8178023984585</c:v>
                </c:pt>
                <c:pt idx="114">
                  <c:v>249.59733604454664</c:v>
                </c:pt>
                <c:pt idx="115">
                  <c:v>249.38104783947608</c:v>
                </c:pt>
                <c:pt idx="116">
                  <c:v>249.16885351760607</c:v>
                </c:pt>
                <c:pt idx="117">
                  <c:v>248.96067070710947</c:v>
                </c:pt>
                <c:pt idx="118">
                  <c:v>248.75641887933091</c:v>
                </c:pt>
                <c:pt idx="119">
                  <c:v>248.55601929980554</c:v>
                </c:pt>
                <c:pt idx="120">
                  <c:v>248.35939498087413</c:v>
                </c:pt>
                <c:pt idx="121">
                  <c:v>248.16647063583295</c:v>
                </c:pt>
                <c:pt idx="122">
                  <c:v>247.97717263455945</c:v>
                </c:pt>
                <c:pt idx="123">
                  <c:v>247.79142896055743</c:v>
                </c:pt>
                <c:pt idx="124">
                  <c:v>247.60916916936742</c:v>
                </c:pt>
                <c:pt idx="125">
                  <c:v>247.43032434829095</c:v>
                </c:pt>
                <c:pt idx="126">
                  <c:v>247.25482707737874</c:v>
                </c:pt>
                <c:pt idx="127">
                  <c:v>247.08261139163551</c:v>
                </c:pt>
                <c:pt idx="128">
                  <c:v>246.91361274439618</c:v>
                </c:pt>
                <c:pt idx="129">
                  <c:v>246.7477679718296</c:v>
                </c:pt>
                <c:pt idx="130">
                  <c:v>246.5850152585281</c:v>
                </c:pt>
                <c:pt idx="131">
                  <c:v>246.42529410414301</c:v>
                </c:pt>
                <c:pt idx="132">
                  <c:v>246.26854529102783</c:v>
                </c:pt>
                <c:pt idx="133">
                  <c:v>246.11471085285231</c:v>
                </c:pt>
                <c:pt idx="134">
                  <c:v>245.96373404415186</c:v>
                </c:pt>
                <c:pt idx="135">
                  <c:v>245.81555931077918</c:v>
                </c:pt>
                <c:pt idx="136">
                  <c:v>245.67013226122529</c:v>
                </c:pt>
                <c:pt idx="137">
                  <c:v>245.52739963877889</c:v>
                </c:pt>
                <c:pt idx="138">
                  <c:v>245.38730929449454</c:v>
                </c:pt>
                <c:pt idx="139">
                  <c:v>245.24981016094085</c:v>
                </c:pt>
                <c:pt idx="140">
                  <c:v>245.1148522267014</c:v>
                </c:pt>
                <c:pt idx="141">
                  <c:v>244.98238651160204</c:v>
                </c:pt>
                <c:pt idx="142">
                  <c:v>244.85236504263952</c:v>
                </c:pt>
                <c:pt idx="143">
                  <c:v>244.72474083058665</c:v>
                </c:pt>
                <c:pt idx="144">
                  <c:v>244.59946784725159</c:v>
                </c:pt>
                <c:pt idx="145">
                  <c:v>244.47650100336824</c:v>
                </c:pt>
                <c:pt idx="146">
                  <c:v>244.35579612709665</c:v>
                </c:pt>
                <c:pt idx="147">
                  <c:v>244.23730994311273</c:v>
                </c:pt>
                <c:pt idx="148">
                  <c:v>244.12100005226742</c:v>
                </c:pt>
                <c:pt idx="149">
                  <c:v>244.00682491179671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5DF-481F-BC38-2693C0BF0E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0857568"/>
        <c:axId val="710858128"/>
      </c:scatterChart>
      <c:valAx>
        <c:axId val="7108575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710858128"/>
        <c:crosses val="autoZero"/>
        <c:crossBetween val="midCat"/>
      </c:valAx>
      <c:valAx>
        <c:axId val="71085812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Carbon Conentration</a:t>
                </a:r>
                <a:r>
                  <a:rPr lang="en-US" baseline="0"/>
                  <a:t> (gigatons)</a:t>
                </a:r>
                <a:endParaRPr lang="en-US"/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71085756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" l="0.75" r="0.7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Carbon</a:t>
            </a:r>
            <a:r>
              <a:rPr lang="en-US" baseline="0"/>
              <a:t> System Fluctuation, Human Impact</a:t>
            </a:r>
            <a:endParaRPr 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Atmosphere</c:v>
          </c:tx>
          <c:spPr>
            <a:ln w="47625">
              <a:noFill/>
            </a:ln>
          </c:spPr>
          <c:xVal>
            <c:numRef>
              <c:f>'MCMC Projection'!$B$48:$EU$48</c:f>
              <c:numCache>
                <c:formatCode>General</c:formatCode>
                <c:ptCount val="150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  <c:pt idx="36">
                  <c:v>2051</c:v>
                </c:pt>
                <c:pt idx="37">
                  <c:v>2052</c:v>
                </c:pt>
                <c:pt idx="38">
                  <c:v>2053</c:v>
                </c:pt>
                <c:pt idx="39">
                  <c:v>2054</c:v>
                </c:pt>
                <c:pt idx="40">
                  <c:v>2055</c:v>
                </c:pt>
                <c:pt idx="41">
                  <c:v>2056</c:v>
                </c:pt>
                <c:pt idx="42">
                  <c:v>2057</c:v>
                </c:pt>
                <c:pt idx="43">
                  <c:v>2058</c:v>
                </c:pt>
                <c:pt idx="44">
                  <c:v>2059</c:v>
                </c:pt>
                <c:pt idx="45">
                  <c:v>2060</c:v>
                </c:pt>
                <c:pt idx="46">
                  <c:v>2061</c:v>
                </c:pt>
                <c:pt idx="47">
                  <c:v>2062</c:v>
                </c:pt>
                <c:pt idx="48">
                  <c:v>2063</c:v>
                </c:pt>
                <c:pt idx="49">
                  <c:v>2064</c:v>
                </c:pt>
                <c:pt idx="50">
                  <c:v>2065</c:v>
                </c:pt>
                <c:pt idx="51">
                  <c:v>2066</c:v>
                </c:pt>
                <c:pt idx="52">
                  <c:v>2067</c:v>
                </c:pt>
                <c:pt idx="53">
                  <c:v>2068</c:v>
                </c:pt>
                <c:pt idx="54">
                  <c:v>2069</c:v>
                </c:pt>
                <c:pt idx="55">
                  <c:v>2070</c:v>
                </c:pt>
                <c:pt idx="56">
                  <c:v>2071</c:v>
                </c:pt>
                <c:pt idx="57">
                  <c:v>2072</c:v>
                </c:pt>
                <c:pt idx="58">
                  <c:v>2073</c:v>
                </c:pt>
                <c:pt idx="59">
                  <c:v>2074</c:v>
                </c:pt>
                <c:pt idx="60">
                  <c:v>2075</c:v>
                </c:pt>
                <c:pt idx="61">
                  <c:v>2076</c:v>
                </c:pt>
                <c:pt idx="62">
                  <c:v>2077</c:v>
                </c:pt>
                <c:pt idx="63">
                  <c:v>2078</c:v>
                </c:pt>
                <c:pt idx="64">
                  <c:v>2079</c:v>
                </c:pt>
                <c:pt idx="65">
                  <c:v>2080</c:v>
                </c:pt>
                <c:pt idx="66">
                  <c:v>2081</c:v>
                </c:pt>
                <c:pt idx="67">
                  <c:v>2082</c:v>
                </c:pt>
                <c:pt idx="68">
                  <c:v>2083</c:v>
                </c:pt>
                <c:pt idx="69">
                  <c:v>2084</c:v>
                </c:pt>
                <c:pt idx="70">
                  <c:v>2085</c:v>
                </c:pt>
                <c:pt idx="71">
                  <c:v>2086</c:v>
                </c:pt>
                <c:pt idx="72">
                  <c:v>2087</c:v>
                </c:pt>
                <c:pt idx="73">
                  <c:v>2088</c:v>
                </c:pt>
                <c:pt idx="74">
                  <c:v>2089</c:v>
                </c:pt>
                <c:pt idx="75">
                  <c:v>2090</c:v>
                </c:pt>
                <c:pt idx="76">
                  <c:v>2091</c:v>
                </c:pt>
                <c:pt idx="77">
                  <c:v>2092</c:v>
                </c:pt>
                <c:pt idx="78">
                  <c:v>2093</c:v>
                </c:pt>
                <c:pt idx="79">
                  <c:v>2094</c:v>
                </c:pt>
                <c:pt idx="80">
                  <c:v>2095</c:v>
                </c:pt>
                <c:pt idx="81">
                  <c:v>2096</c:v>
                </c:pt>
                <c:pt idx="82">
                  <c:v>2097</c:v>
                </c:pt>
                <c:pt idx="83">
                  <c:v>2098</c:v>
                </c:pt>
                <c:pt idx="84">
                  <c:v>2099</c:v>
                </c:pt>
                <c:pt idx="85">
                  <c:v>2100</c:v>
                </c:pt>
                <c:pt idx="86">
                  <c:v>2101</c:v>
                </c:pt>
                <c:pt idx="87">
                  <c:v>2102</c:v>
                </c:pt>
                <c:pt idx="88">
                  <c:v>2103</c:v>
                </c:pt>
                <c:pt idx="89">
                  <c:v>2104</c:v>
                </c:pt>
                <c:pt idx="90">
                  <c:v>2105</c:v>
                </c:pt>
                <c:pt idx="91">
                  <c:v>2106</c:v>
                </c:pt>
                <c:pt idx="92">
                  <c:v>2107</c:v>
                </c:pt>
                <c:pt idx="93">
                  <c:v>2108</c:v>
                </c:pt>
                <c:pt idx="94">
                  <c:v>2109</c:v>
                </c:pt>
                <c:pt idx="95">
                  <c:v>2110</c:v>
                </c:pt>
                <c:pt idx="96">
                  <c:v>2111</c:v>
                </c:pt>
                <c:pt idx="97">
                  <c:v>2112</c:v>
                </c:pt>
                <c:pt idx="98">
                  <c:v>2113</c:v>
                </c:pt>
                <c:pt idx="99">
                  <c:v>2114</c:v>
                </c:pt>
                <c:pt idx="100">
                  <c:v>2115</c:v>
                </c:pt>
                <c:pt idx="101">
                  <c:v>2116</c:v>
                </c:pt>
                <c:pt idx="102">
                  <c:v>2117</c:v>
                </c:pt>
                <c:pt idx="103">
                  <c:v>2118</c:v>
                </c:pt>
                <c:pt idx="104">
                  <c:v>2119</c:v>
                </c:pt>
                <c:pt idx="105">
                  <c:v>2120</c:v>
                </c:pt>
                <c:pt idx="106">
                  <c:v>2121</c:v>
                </c:pt>
                <c:pt idx="107">
                  <c:v>2122</c:v>
                </c:pt>
                <c:pt idx="108">
                  <c:v>2123</c:v>
                </c:pt>
                <c:pt idx="109">
                  <c:v>2124</c:v>
                </c:pt>
                <c:pt idx="110">
                  <c:v>2125</c:v>
                </c:pt>
                <c:pt idx="111">
                  <c:v>2126</c:v>
                </c:pt>
                <c:pt idx="112">
                  <c:v>2127</c:v>
                </c:pt>
                <c:pt idx="113">
                  <c:v>2128</c:v>
                </c:pt>
                <c:pt idx="114">
                  <c:v>2129</c:v>
                </c:pt>
                <c:pt idx="115">
                  <c:v>2130</c:v>
                </c:pt>
                <c:pt idx="116">
                  <c:v>2131</c:v>
                </c:pt>
                <c:pt idx="117">
                  <c:v>2132</c:v>
                </c:pt>
                <c:pt idx="118">
                  <c:v>2133</c:v>
                </c:pt>
                <c:pt idx="119">
                  <c:v>2134</c:v>
                </c:pt>
                <c:pt idx="120">
                  <c:v>2135</c:v>
                </c:pt>
                <c:pt idx="121">
                  <c:v>2136</c:v>
                </c:pt>
                <c:pt idx="122">
                  <c:v>2137</c:v>
                </c:pt>
                <c:pt idx="123">
                  <c:v>2138</c:v>
                </c:pt>
                <c:pt idx="124">
                  <c:v>2139</c:v>
                </c:pt>
                <c:pt idx="125">
                  <c:v>2140</c:v>
                </c:pt>
                <c:pt idx="126">
                  <c:v>2141</c:v>
                </c:pt>
                <c:pt idx="127">
                  <c:v>2142</c:v>
                </c:pt>
                <c:pt idx="128">
                  <c:v>2143</c:v>
                </c:pt>
                <c:pt idx="129">
                  <c:v>2144</c:v>
                </c:pt>
                <c:pt idx="130">
                  <c:v>2145</c:v>
                </c:pt>
                <c:pt idx="131">
                  <c:v>2146</c:v>
                </c:pt>
                <c:pt idx="132">
                  <c:v>2147</c:v>
                </c:pt>
                <c:pt idx="133">
                  <c:v>2148</c:v>
                </c:pt>
                <c:pt idx="134">
                  <c:v>2149</c:v>
                </c:pt>
                <c:pt idx="135">
                  <c:v>2150</c:v>
                </c:pt>
                <c:pt idx="136">
                  <c:v>2151</c:v>
                </c:pt>
                <c:pt idx="137">
                  <c:v>2152</c:v>
                </c:pt>
                <c:pt idx="138">
                  <c:v>2153</c:v>
                </c:pt>
                <c:pt idx="139">
                  <c:v>2154</c:v>
                </c:pt>
                <c:pt idx="140">
                  <c:v>2155</c:v>
                </c:pt>
                <c:pt idx="141">
                  <c:v>2156</c:v>
                </c:pt>
                <c:pt idx="142">
                  <c:v>2157</c:v>
                </c:pt>
                <c:pt idx="143">
                  <c:v>2158</c:v>
                </c:pt>
                <c:pt idx="144">
                  <c:v>2159</c:v>
                </c:pt>
                <c:pt idx="145">
                  <c:v>2160</c:v>
                </c:pt>
                <c:pt idx="146">
                  <c:v>2161</c:v>
                </c:pt>
                <c:pt idx="147">
                  <c:v>2162</c:v>
                </c:pt>
                <c:pt idx="148">
                  <c:v>2163</c:v>
                </c:pt>
                <c:pt idx="149">
                  <c:v>2164</c:v>
                </c:pt>
              </c:numCache>
            </c:numRef>
          </c:xVal>
          <c:yVal>
            <c:numRef>
              <c:f>'MCMC Projection'!$B$49:$EU$49</c:f>
              <c:numCache>
                <c:formatCode>General</c:formatCode>
                <c:ptCount val="150"/>
                <c:pt idx="0">
                  <c:v>1140.4634608319286</c:v>
                </c:pt>
                <c:pt idx="1">
                  <c:v>1460.1878088152257</c:v>
                </c:pt>
                <c:pt idx="2">
                  <c:v>1709.2033090703596</c:v>
                </c:pt>
                <c:pt idx="3">
                  <c:v>1905.7031358099441</c:v>
                </c:pt>
                <c:pt idx="4">
                  <c:v>2061.5653304221441</c:v>
                </c:pt>
                <c:pt idx="5">
                  <c:v>2185.1116265874002</c:v>
                </c:pt>
                <c:pt idx="6">
                  <c:v>2282.518804597596</c:v>
                </c:pt>
                <c:pt idx="7">
                  <c:v>2358.5686413943085</c:v>
                </c:pt>
                <c:pt idx="8">
                  <c:v>2417.0688616719885</c:v>
                </c:pt>
                <c:pt idx="9">
                  <c:v>2461.1064683084583</c:v>
                </c:pt>
                <c:pt idx="10">
                  <c:v>2493.2122835262021</c:v>
                </c:pt>
                <c:pt idx="11">
                  <c:v>2515.4757244011926</c:v>
                </c:pt>
                <c:pt idx="12">
                  <c:v>2529.629611690435</c:v>
                </c:pt>
                <c:pt idx="13">
                  <c:v>2537.1154730380235</c:v>
                </c:pt>
                <c:pt idx="14">
                  <c:v>2539.1352049776419</c:v>
                </c:pt>
                <c:pt idx="15">
                  <c:v>2536.6926367921251</c:v>
                </c:pt>
                <c:pt idx="16">
                  <c:v>2530.6273155384897</c:v>
                </c:pt>
                <c:pt idx="17">
                  <c:v>2521.6421444353086</c:v>
                </c:pt>
                <c:pt idx="18">
                  <c:v>2510.3260892165863</c:v>
                </c:pt>
                <c:pt idx="19">
                  <c:v>2497.1728912148792</c:v>
                </c:pt>
                <c:pt idx="20">
                  <c:v>2482.5965299094096</c:v>
                </c:pt>
                <c:pt idx="21">
                  <c:v>2466.9440305709099</c:v>
                </c:pt>
                <c:pt idx="22">
                  <c:v>2450.5060982518576</c:v>
                </c:pt>
                <c:pt idx="23">
                  <c:v>2433.525968549051</c:v>
                </c:pt>
                <c:pt idx="24">
                  <c:v>2416.2067926257969</c:v>
                </c:pt>
                <c:pt idx="25">
                  <c:v>2398.7178150628488</c:v>
                </c:pt>
                <c:pt idx="26">
                  <c:v>2381.1995553838346</c:v>
                </c:pt>
                <c:pt idx="27">
                  <c:v>2363.7681653963341</c:v>
                </c:pt>
                <c:pt idx="28">
                  <c:v>2346.5191030798323</c:v>
                </c:pt>
                <c:pt idx="29">
                  <c:v>2329.5302382500199</c:v>
                </c:pt>
                <c:pt idx="30">
                  <c:v>2312.8644845133308</c:v>
                </c:pt>
                <c:pt idx="31">
                  <c:v>2296.5720351864647</c:v>
                </c:pt>
                <c:pt idx="32">
                  <c:v>2280.6922671552311</c:v>
                </c:pt>
                <c:pt idx="33">
                  <c:v>2265.2553654877966</c:v>
                </c:pt>
                <c:pt idx="34">
                  <c:v>2250.2837125157171</c:v>
                </c:pt>
                <c:pt idx="35">
                  <c:v>2235.7930776609064</c:v>
                </c:pt>
                <c:pt idx="36">
                  <c:v>2221.7936382019871</c:v>
                </c:pt>
                <c:pt idx="37">
                  <c:v>2208.2908561841023</c:v>
                </c:pt>
                <c:pt idx="38">
                  <c:v>2195.2862325760693</c:v>
                </c:pt>
                <c:pt idx="39">
                  <c:v>2182.7779564013499</c:v>
                </c:pt>
                <c:pt idx="40">
                  <c:v>2170.7614637801116</c:v>
                </c:pt>
                <c:pt idx="41">
                  <c:v>2159.2299195100331</c:v>
                </c:pt>
                <c:pt idx="42">
                  <c:v>2148.1746318954433</c:v>
                </c:pt>
                <c:pt idx="43">
                  <c:v>2137.5854099367389</c:v>
                </c:pt>
                <c:pt idx="44">
                  <c:v>2127.4508706570873</c:v>
                </c:pt>
                <c:pt idx="45">
                  <c:v>2117.7587032243491</c:v>
                </c:pt>
                <c:pt idx="46">
                  <c:v>2108.4958955849711</c:v>
                </c:pt>
                <c:pt idx="47">
                  <c:v>2099.6489285323023</c:v>
                </c:pt>
                <c:pt idx="48">
                  <c:v>2091.2039414591923</c:v>
                </c:pt>
                <c:pt idx="49">
                  <c:v>2083.1468734732534</c:v>
                </c:pt>
                <c:pt idx="50">
                  <c:v>2075.4635830659386</c:v>
                </c:pt>
                <c:pt idx="51">
                  <c:v>2068.1399491098064</c:v>
                </c:pt>
                <c:pt idx="52">
                  <c:v>2061.1619556006817</c:v>
                </c:pt>
                <c:pt idx="53">
                  <c:v>2054.5157622535021</c:v>
                </c:pt>
                <c:pt idx="54">
                  <c:v>2048.187762794757</c:v>
                </c:pt>
                <c:pt idx="55">
                  <c:v>2042.1646325641668</c:v>
                </c:pt>
                <c:pt idx="56">
                  <c:v>2036.4333668383279</c:v>
                </c:pt>
                <c:pt idx="57">
                  <c:v>2030.9813111149788</c:v>
                </c:pt>
                <c:pt idx="58">
                  <c:v>2025.7961844446922</c:v>
                </c:pt>
                <c:pt idx="59">
                  <c:v>2020.8660967639626</c:v>
                </c:pt>
                <c:pt idx="60">
                  <c:v>2016.1795610673178</c:v>
                </c:pt>
                <c:pt idx="61">
                  <c:v>2011.7255011539346</c:v>
                </c:pt>
                <c:pt idx="62">
                  <c:v>2007.4932555944631</c:v>
                </c:pt>
                <c:pt idx="63">
                  <c:v>2003.4725784847276</c:v>
                </c:pt>
                <c:pt idx="64">
                  <c:v>1999.6536374833231</c:v>
                </c:pt>
                <c:pt idx="65">
                  <c:v>1996.0270095686833</c:v>
                </c:pt>
                <c:pt idx="66">
                  <c:v>1992.5836748969582</c:v>
                </c:pt>
                <c:pt idx="67">
                  <c:v>1989.3150090941187</c:v>
                </c:pt>
                <c:pt idx="68">
                  <c:v>1986.212774273368</c:v>
                </c:pt>
                <c:pt idx="69">
                  <c:v>1983.2691090315036</c:v>
                </c:pt>
                <c:pt idx="70">
                  <c:v>1980.4765176447968</c:v>
                </c:pt>
                <c:pt idx="71">
                  <c:v>1977.8278586556976</c:v>
                </c:pt>
                <c:pt idx="72">
                  <c:v>1975.31633301583</c:v>
                </c:pt>
                <c:pt idx="73">
                  <c:v>1972.9354719279163</c:v>
                </c:pt>
                <c:pt idx="74">
                  <c:v>1970.6791245091051</c:v>
                </c:pt>
                <c:pt idx="75">
                  <c:v>1968.5414453803962</c:v>
                </c:pt>
                <c:pt idx="76">
                  <c:v>1966.5168822711873</c:v>
                </c:pt>
                <c:pt idx="77">
                  <c:v>1964.6001637141658</c:v>
                </c:pt>
                <c:pt idx="78">
                  <c:v>1962.7862868936297</c:v>
                </c:pt>
                <c:pt idx="79">
                  <c:v>1961.0705056996806</c:v>
                </c:pt>
                <c:pt idx="80">
                  <c:v>1959.4483190313831</c:v>
                </c:pt>
                <c:pt idx="81">
                  <c:v>1957.9154593838214</c:v>
                </c:pt>
                <c:pt idx="82">
                  <c:v>1956.4678817468539</c:v>
                </c:pt>
                <c:pt idx="83">
                  <c:v>1955.1017528371533</c:v>
                </c:pt>
                <c:pt idx="84">
                  <c:v>1953.8134406797342</c:v>
                </c:pt>
                <c:pt idx="85">
                  <c:v>1952.5995045505031</c:v>
                </c:pt>
                <c:pt idx="86">
                  <c:v>1951.4566852873452</c:v>
                </c:pt>
                <c:pt idx="87">
                  <c:v>1950.3818959737987</c:v>
                </c:pt>
                <c:pt idx="88">
                  <c:v>1949.3722129964326</c:v>
                </c:pt>
                <c:pt idx="89">
                  <c:v>1948.4248674745279</c:v>
                </c:pt>
                <c:pt idx="90">
                  <c:v>1947.5372370585444</c:v>
                </c:pt>
                <c:pt idx="91">
                  <c:v>1946.7068380920941</c:v>
                </c:pt>
                <c:pt idx="92">
                  <c:v>1945.9313181306725</c:v>
                </c:pt>
                <c:pt idx="93">
                  <c:v>1945.2084488091919</c:v>
                </c:pt>
                <c:pt idx="94">
                  <c:v>1944.5361190494068</c:v>
                </c:pt>
                <c:pt idx="95">
                  <c:v>1943.9123285975422</c:v>
                </c:pt>
                <c:pt idx="96">
                  <c:v>1943.3351818818594</c:v>
                </c:pt>
                <c:pt idx="97">
                  <c:v>1942.8028821794551</c:v>
                </c:pt>
                <c:pt idx="98">
                  <c:v>1942.3137260812882</c:v>
                </c:pt>
                <c:pt idx="99">
                  <c:v>1941.8660982442484</c:v>
                </c:pt>
                <c:pt idx="100">
                  <c:v>1941.4584664189845</c:v>
                </c:pt>
                <c:pt idx="101">
                  <c:v>1941.0893767422151</c:v>
                </c:pt>
                <c:pt idx="102">
                  <c:v>1940.7574492823023</c:v>
                </c:pt>
                <c:pt idx="103">
                  <c:v>1940.4613738270089</c:v>
                </c:pt>
                <c:pt idx="104">
                  <c:v>1940.1999059025193</c:v>
                </c:pt>
                <c:pt idx="105">
                  <c:v>1939.9718630130415</c:v>
                </c:pt>
                <c:pt idx="106">
                  <c:v>1939.7761210905444</c:v>
                </c:pt>
                <c:pt idx="107">
                  <c:v>1939.611611144471</c:v>
                </c:pt>
                <c:pt idx="108">
                  <c:v>1939.4773161015682</c:v>
                </c:pt>
                <c:pt idx="109">
                  <c:v>1939.3722678262855</c:v>
                </c:pt>
                <c:pt idx="110">
                  <c:v>1939.295544312525</c:v>
                </c:pt>
                <c:pt idx="111">
                  <c:v>1939.2462670378643</c:v>
                </c:pt>
                <c:pt idx="112">
                  <c:v>1939.2235984717063</c:v>
                </c:pt>
                <c:pt idx="113">
                  <c:v>1939.2267397291532</c:v>
                </c:pt>
                <c:pt idx="114">
                  <c:v>1939.254928362752</c:v>
                </c:pt>
                <c:pt idx="115">
                  <c:v>1939.30743628458</c:v>
                </c:pt>
                <c:pt idx="116">
                  <c:v>1939.3835678114924</c:v>
                </c:pt>
                <c:pt idx="117">
                  <c:v>1939.4826578266623</c:v>
                </c:pt>
                <c:pt idx="118">
                  <c:v>1939.6040700508797</c:v>
                </c:pt>
                <c:pt idx="119">
                  <c:v>1939.7471954173814</c:v>
                </c:pt>
                <c:pt idx="120">
                  <c:v>1939.9114505442883</c:v>
                </c:pt>
                <c:pt idx="121">
                  <c:v>1940.0962762990262</c:v>
                </c:pt>
                <c:pt idx="122">
                  <c:v>1940.3011364493827</c:v>
                </c:pt>
                <c:pt idx="123">
                  <c:v>1940.5255163961403</c:v>
                </c:pt>
                <c:pt idx="124">
                  <c:v>1940.7689219824783</c:v>
                </c:pt>
                <c:pt idx="125">
                  <c:v>1941.0308783755993</c:v>
                </c:pt>
                <c:pt idx="126">
                  <c:v>1941.3109290162784</c:v>
                </c:pt>
                <c:pt idx="127">
                  <c:v>1941.6086346322659</c:v>
                </c:pt>
                <c:pt idx="128">
                  <c:v>1941.9235723116981</c:v>
                </c:pt>
                <c:pt idx="129">
                  <c:v>1942.2553346328884</c:v>
                </c:pt>
                <c:pt idx="130">
                  <c:v>1942.6035288470666</c:v>
                </c:pt>
                <c:pt idx="131">
                  <c:v>1942.9677761108433</c:v>
                </c:pt>
                <c:pt idx="132">
                  <c:v>1943.3477107653412</c:v>
                </c:pt>
                <c:pt idx="133">
                  <c:v>1943.7429796591323</c:v>
                </c:pt>
                <c:pt idx="134">
                  <c:v>1944.1532415122688</c:v>
                </c:pt>
                <c:pt idx="135">
                  <c:v>1944.578166318865</c:v>
                </c:pt>
                <c:pt idx="136">
                  <c:v>1945.0174347858365</c:v>
                </c:pt>
                <c:pt idx="137">
                  <c:v>1945.4707378055407</c:v>
                </c:pt>
                <c:pt idx="138">
                  <c:v>1945.9377759601994</c:v>
                </c:pt>
                <c:pt idx="139">
                  <c:v>1946.4182590561172</c:v>
                </c:pt>
                <c:pt idx="140">
                  <c:v>1946.9119056858194</c:v>
                </c:pt>
                <c:pt idx="141">
                  <c:v>1947.4184428163567</c:v>
                </c:pt>
                <c:pt idx="142">
                  <c:v>1947.9376054021268</c:v>
                </c:pt>
                <c:pt idx="143">
                  <c:v>1948.4691360206634</c:v>
                </c:pt>
                <c:pt idx="144">
                  <c:v>1949.0127845299426</c:v>
                </c:pt>
                <c:pt idx="145">
                  <c:v>1949.5683077458411</c:v>
                </c:pt>
                <c:pt idx="146">
                  <c:v>1950.1354691384745</c:v>
                </c:pt>
                <c:pt idx="147">
                  <c:v>1950.7140385462114</c:v>
                </c:pt>
                <c:pt idx="148">
                  <c:v>1951.3037919062483</c:v>
                </c:pt>
                <c:pt idx="149">
                  <c:v>1951.9045110006853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F44-4B51-A7DC-3F67F6C05EF4}"/>
            </c:ext>
          </c:extLst>
        </c:ser>
        <c:ser>
          <c:idx val="1"/>
          <c:order val="1"/>
          <c:tx>
            <c:v>Marine Organic</c:v>
          </c:tx>
          <c:spPr>
            <a:ln w="47625">
              <a:noFill/>
            </a:ln>
          </c:spPr>
          <c:xVal>
            <c:numRef>
              <c:f>'MCMC Projection'!$B$48:$EU$48</c:f>
              <c:numCache>
                <c:formatCode>General</c:formatCode>
                <c:ptCount val="150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  <c:pt idx="36">
                  <c:v>2051</c:v>
                </c:pt>
                <c:pt idx="37">
                  <c:v>2052</c:v>
                </c:pt>
                <c:pt idx="38">
                  <c:v>2053</c:v>
                </c:pt>
                <c:pt idx="39">
                  <c:v>2054</c:v>
                </c:pt>
                <c:pt idx="40">
                  <c:v>2055</c:v>
                </c:pt>
                <c:pt idx="41">
                  <c:v>2056</c:v>
                </c:pt>
                <c:pt idx="42">
                  <c:v>2057</c:v>
                </c:pt>
                <c:pt idx="43">
                  <c:v>2058</c:v>
                </c:pt>
                <c:pt idx="44">
                  <c:v>2059</c:v>
                </c:pt>
                <c:pt idx="45">
                  <c:v>2060</c:v>
                </c:pt>
                <c:pt idx="46">
                  <c:v>2061</c:v>
                </c:pt>
                <c:pt idx="47">
                  <c:v>2062</c:v>
                </c:pt>
                <c:pt idx="48">
                  <c:v>2063</c:v>
                </c:pt>
                <c:pt idx="49">
                  <c:v>2064</c:v>
                </c:pt>
                <c:pt idx="50">
                  <c:v>2065</c:v>
                </c:pt>
                <c:pt idx="51">
                  <c:v>2066</c:v>
                </c:pt>
                <c:pt idx="52">
                  <c:v>2067</c:v>
                </c:pt>
                <c:pt idx="53">
                  <c:v>2068</c:v>
                </c:pt>
                <c:pt idx="54">
                  <c:v>2069</c:v>
                </c:pt>
                <c:pt idx="55">
                  <c:v>2070</c:v>
                </c:pt>
                <c:pt idx="56">
                  <c:v>2071</c:v>
                </c:pt>
                <c:pt idx="57">
                  <c:v>2072</c:v>
                </c:pt>
                <c:pt idx="58">
                  <c:v>2073</c:v>
                </c:pt>
                <c:pt idx="59">
                  <c:v>2074</c:v>
                </c:pt>
                <c:pt idx="60">
                  <c:v>2075</c:v>
                </c:pt>
                <c:pt idx="61">
                  <c:v>2076</c:v>
                </c:pt>
                <c:pt idx="62">
                  <c:v>2077</c:v>
                </c:pt>
                <c:pt idx="63">
                  <c:v>2078</c:v>
                </c:pt>
                <c:pt idx="64">
                  <c:v>2079</c:v>
                </c:pt>
                <c:pt idx="65">
                  <c:v>2080</c:v>
                </c:pt>
                <c:pt idx="66">
                  <c:v>2081</c:v>
                </c:pt>
                <c:pt idx="67">
                  <c:v>2082</c:v>
                </c:pt>
                <c:pt idx="68">
                  <c:v>2083</c:v>
                </c:pt>
                <c:pt idx="69">
                  <c:v>2084</c:v>
                </c:pt>
                <c:pt idx="70">
                  <c:v>2085</c:v>
                </c:pt>
                <c:pt idx="71">
                  <c:v>2086</c:v>
                </c:pt>
                <c:pt idx="72">
                  <c:v>2087</c:v>
                </c:pt>
                <c:pt idx="73">
                  <c:v>2088</c:v>
                </c:pt>
                <c:pt idx="74">
                  <c:v>2089</c:v>
                </c:pt>
                <c:pt idx="75">
                  <c:v>2090</c:v>
                </c:pt>
                <c:pt idx="76">
                  <c:v>2091</c:v>
                </c:pt>
                <c:pt idx="77">
                  <c:v>2092</c:v>
                </c:pt>
                <c:pt idx="78">
                  <c:v>2093</c:v>
                </c:pt>
                <c:pt idx="79">
                  <c:v>2094</c:v>
                </c:pt>
                <c:pt idx="80">
                  <c:v>2095</c:v>
                </c:pt>
                <c:pt idx="81">
                  <c:v>2096</c:v>
                </c:pt>
                <c:pt idx="82">
                  <c:v>2097</c:v>
                </c:pt>
                <c:pt idx="83">
                  <c:v>2098</c:v>
                </c:pt>
                <c:pt idx="84">
                  <c:v>2099</c:v>
                </c:pt>
                <c:pt idx="85">
                  <c:v>2100</c:v>
                </c:pt>
                <c:pt idx="86">
                  <c:v>2101</c:v>
                </c:pt>
                <c:pt idx="87">
                  <c:v>2102</c:v>
                </c:pt>
                <c:pt idx="88">
                  <c:v>2103</c:v>
                </c:pt>
                <c:pt idx="89">
                  <c:v>2104</c:v>
                </c:pt>
                <c:pt idx="90">
                  <c:v>2105</c:v>
                </c:pt>
                <c:pt idx="91">
                  <c:v>2106</c:v>
                </c:pt>
                <c:pt idx="92">
                  <c:v>2107</c:v>
                </c:pt>
                <c:pt idx="93">
                  <c:v>2108</c:v>
                </c:pt>
                <c:pt idx="94">
                  <c:v>2109</c:v>
                </c:pt>
                <c:pt idx="95">
                  <c:v>2110</c:v>
                </c:pt>
                <c:pt idx="96">
                  <c:v>2111</c:v>
                </c:pt>
                <c:pt idx="97">
                  <c:v>2112</c:v>
                </c:pt>
                <c:pt idx="98">
                  <c:v>2113</c:v>
                </c:pt>
                <c:pt idx="99">
                  <c:v>2114</c:v>
                </c:pt>
                <c:pt idx="100">
                  <c:v>2115</c:v>
                </c:pt>
                <c:pt idx="101">
                  <c:v>2116</c:v>
                </c:pt>
                <c:pt idx="102">
                  <c:v>2117</c:v>
                </c:pt>
                <c:pt idx="103">
                  <c:v>2118</c:v>
                </c:pt>
                <c:pt idx="104">
                  <c:v>2119</c:v>
                </c:pt>
                <c:pt idx="105">
                  <c:v>2120</c:v>
                </c:pt>
                <c:pt idx="106">
                  <c:v>2121</c:v>
                </c:pt>
                <c:pt idx="107">
                  <c:v>2122</c:v>
                </c:pt>
                <c:pt idx="108">
                  <c:v>2123</c:v>
                </c:pt>
                <c:pt idx="109">
                  <c:v>2124</c:v>
                </c:pt>
                <c:pt idx="110">
                  <c:v>2125</c:v>
                </c:pt>
                <c:pt idx="111">
                  <c:v>2126</c:v>
                </c:pt>
                <c:pt idx="112">
                  <c:v>2127</c:v>
                </c:pt>
                <c:pt idx="113">
                  <c:v>2128</c:v>
                </c:pt>
                <c:pt idx="114">
                  <c:v>2129</c:v>
                </c:pt>
                <c:pt idx="115">
                  <c:v>2130</c:v>
                </c:pt>
                <c:pt idx="116">
                  <c:v>2131</c:v>
                </c:pt>
                <c:pt idx="117">
                  <c:v>2132</c:v>
                </c:pt>
                <c:pt idx="118">
                  <c:v>2133</c:v>
                </c:pt>
                <c:pt idx="119">
                  <c:v>2134</c:v>
                </c:pt>
                <c:pt idx="120">
                  <c:v>2135</c:v>
                </c:pt>
                <c:pt idx="121">
                  <c:v>2136</c:v>
                </c:pt>
                <c:pt idx="122">
                  <c:v>2137</c:v>
                </c:pt>
                <c:pt idx="123">
                  <c:v>2138</c:v>
                </c:pt>
                <c:pt idx="124">
                  <c:v>2139</c:v>
                </c:pt>
                <c:pt idx="125">
                  <c:v>2140</c:v>
                </c:pt>
                <c:pt idx="126">
                  <c:v>2141</c:v>
                </c:pt>
                <c:pt idx="127">
                  <c:v>2142</c:v>
                </c:pt>
                <c:pt idx="128">
                  <c:v>2143</c:v>
                </c:pt>
                <c:pt idx="129">
                  <c:v>2144</c:v>
                </c:pt>
                <c:pt idx="130">
                  <c:v>2145</c:v>
                </c:pt>
                <c:pt idx="131">
                  <c:v>2146</c:v>
                </c:pt>
                <c:pt idx="132">
                  <c:v>2147</c:v>
                </c:pt>
                <c:pt idx="133">
                  <c:v>2148</c:v>
                </c:pt>
                <c:pt idx="134">
                  <c:v>2149</c:v>
                </c:pt>
                <c:pt idx="135">
                  <c:v>2150</c:v>
                </c:pt>
                <c:pt idx="136">
                  <c:v>2151</c:v>
                </c:pt>
                <c:pt idx="137">
                  <c:v>2152</c:v>
                </c:pt>
                <c:pt idx="138">
                  <c:v>2153</c:v>
                </c:pt>
                <c:pt idx="139">
                  <c:v>2154</c:v>
                </c:pt>
                <c:pt idx="140">
                  <c:v>2155</c:v>
                </c:pt>
                <c:pt idx="141">
                  <c:v>2156</c:v>
                </c:pt>
                <c:pt idx="142">
                  <c:v>2157</c:v>
                </c:pt>
                <c:pt idx="143">
                  <c:v>2158</c:v>
                </c:pt>
                <c:pt idx="144">
                  <c:v>2159</c:v>
                </c:pt>
                <c:pt idx="145">
                  <c:v>2160</c:v>
                </c:pt>
                <c:pt idx="146">
                  <c:v>2161</c:v>
                </c:pt>
                <c:pt idx="147">
                  <c:v>2162</c:v>
                </c:pt>
                <c:pt idx="148">
                  <c:v>2163</c:v>
                </c:pt>
                <c:pt idx="149">
                  <c:v>2164</c:v>
                </c:pt>
              </c:numCache>
            </c:numRef>
          </c:xVal>
          <c:yVal>
            <c:numRef>
              <c:f>'MCMC Projection'!$B$54:$EU$54</c:f>
              <c:numCache>
                <c:formatCode>General</c:formatCode>
                <c:ptCount val="150"/>
                <c:pt idx="0">
                  <c:v>818.95242829819165</c:v>
                </c:pt>
                <c:pt idx="1">
                  <c:v>690.21848370251064</c:v>
                </c:pt>
                <c:pt idx="2">
                  <c:v>598.68853037188376</c:v>
                </c:pt>
                <c:pt idx="3">
                  <c:v>533.78181811118111</c:v>
                </c:pt>
                <c:pt idx="4">
                  <c:v>488.05063914127987</c:v>
                </c:pt>
                <c:pt idx="5">
                  <c:v>456.20300848452348</c:v>
                </c:pt>
                <c:pt idx="6">
                  <c:v>434.4361675881953</c:v>
                </c:pt>
                <c:pt idx="7">
                  <c:v>419.98663270100786</c:v>
                </c:pt>
                <c:pt idx="8">
                  <c:v>410.82620330764325</c:v>
                </c:pt>
                <c:pt idx="9">
                  <c:v>405.45483764255249</c:v>
                </c:pt>
                <c:pt idx="10">
                  <c:v>402.75757082801192</c:v>
                </c:pt>
                <c:pt idx="11">
                  <c:v>401.90398211549268</c:v>
                </c:pt>
                <c:pt idx="12">
                  <c:v>402.27625971560013</c:v>
                </c:pt>
                <c:pt idx="13">
                  <c:v>403.41680422767161</c:v>
                </c:pt>
                <c:pt idx="14">
                  <c:v>404.98944325969626</c:v>
                </c:pt>
                <c:pt idx="15">
                  <c:v>406.75032555925139</c:v>
                </c:pt>
                <c:pt idx="16">
                  <c:v>408.52583870634606</c:v>
                </c:pt>
                <c:pt idx="17">
                  <c:v>410.19571764750617</c:v>
                </c:pt>
                <c:pt idx="18">
                  <c:v>411.68005061190297</c:v>
                </c:pt>
                <c:pt idx="19">
                  <c:v>412.9292491535125</c:v>
                </c:pt>
                <c:pt idx="20">
                  <c:v>413.91629516109015</c:v>
                </c:pt>
                <c:pt idx="21">
                  <c:v>414.63074990242922</c:v>
                </c:pt>
                <c:pt idx="22">
                  <c:v>415.07413358833105</c:v>
                </c:pt>
                <c:pt idx="23">
                  <c:v>415.2563743491541</c:v>
                </c:pt>
                <c:pt idx="24">
                  <c:v>415.19309302687202</c:v>
                </c:pt>
                <c:pt idx="25">
                  <c:v>414.90354141031446</c:v>
                </c:pt>
                <c:pt idx="26">
                  <c:v>414.40905090868193</c:v>
                </c:pt>
                <c:pt idx="27">
                  <c:v>413.73187921198837</c:v>
                </c:pt>
                <c:pt idx="28">
                  <c:v>412.8943663742092</c:v>
                </c:pt>
                <c:pt idx="29">
                  <c:v>411.91833052872306</c:v>
                </c:pt>
                <c:pt idx="30">
                  <c:v>410.82464825454133</c:v>
                </c:pt>
                <c:pt idx="31">
                  <c:v>409.63297632098784</c:v>
                </c:pt>
                <c:pt idx="32">
                  <c:v>408.36158080968448</c:v>
                </c:pt>
                <c:pt idx="33">
                  <c:v>407.02724695815863</c:v>
                </c:pt>
                <c:pt idx="34">
                  <c:v>405.64524888919539</c:v>
                </c:pt>
                <c:pt idx="35">
                  <c:v>404.22936299881854</c:v>
                </c:pt>
                <c:pt idx="36">
                  <c:v>402.79191242207025</c:v>
                </c:pt>
                <c:pt idx="37">
                  <c:v>401.34383287666287</c:v>
                </c:pt>
                <c:pt idx="38">
                  <c:v>399.8947524567414</c:v>
                </c:pt>
                <c:pt idx="39">
                  <c:v>398.45307973710771</c:v>
                </c:pt>
                <c:pt idx="40">
                  <c:v>397.02609595167303</c:v>
                </c:pt>
                <c:pt idx="41">
                  <c:v>395.62004810783901</c:v>
                </c:pt>
                <c:pt idx="42">
                  <c:v>394.2402407541145</c:v>
                </c:pt>
                <c:pt idx="43">
                  <c:v>392.89112478192646</c:v>
                </c:pt>
                <c:pt idx="44">
                  <c:v>391.57638215442086</c:v>
                </c:pt>
                <c:pt idx="45">
                  <c:v>390.2990058470557</c:v>
                </c:pt>
                <c:pt idx="46">
                  <c:v>389.06137458243848</c:v>
                </c:pt>
                <c:pt idx="47">
                  <c:v>387.86532216540326</c:v>
                </c:pt>
                <c:pt idx="48">
                  <c:v>386.71220138986689</c:v>
                </c:pt>
                <c:pt idx="49">
                  <c:v>385.60294260932505</c:v>
                </c:pt>
                <c:pt idx="50">
                  <c:v>384.53810714807724</c:v>
                </c:pt>
                <c:pt idx="51">
                  <c:v>383.51793578841944</c:v>
                </c:pt>
                <c:pt idx="52">
                  <c:v>382.5423926064442</c:v>
                </c:pt>
                <c:pt idx="53">
                  <c:v>381.6112044507264</c:v>
                </c:pt>
                <c:pt idx="54">
                  <c:v>380.7238963679635</c:v>
                </c:pt>
                <c:pt idx="55">
                  <c:v>379.87982328065755</c:v>
                </c:pt>
                <c:pt idx="56">
                  <c:v>379.07819821655676</c:v>
                </c:pt>
                <c:pt idx="57">
                  <c:v>378.3181173796811</c:v>
                </c:pt>
                <c:pt idx="58">
                  <c:v>377.59858233977536</c:v>
                </c:pt>
                <c:pt idx="59">
                  <c:v>376.91851960206043</c:v>
                </c:pt>
                <c:pt idx="60">
                  <c:v>376.27679780302913</c:v>
                </c:pt>
                <c:pt idx="61">
                  <c:v>375.67224276138705</c:v>
                </c:pt>
                <c:pt idx="62">
                  <c:v>375.10365059653765</c:v>
                </c:pt>
                <c:pt idx="63">
                  <c:v>374.5697991105925</c:v>
                </c:pt>
                <c:pt idx="64">
                  <c:v>374.06945761400004</c:v>
                </c:pt>
                <c:pt idx="65">
                  <c:v>373.60139535968779</c:v>
                </c:pt>
                <c:pt idx="66">
                  <c:v>373.16438873621723</c:v>
                </c:pt>
                <c:pt idx="67">
                  <c:v>372.75722735691625</c:v>
                </c:pt>
                <c:pt idx="68">
                  <c:v>372.37871916931186</c:v>
                </c:pt>
                <c:pt idx="69">
                  <c:v>372.02769469744032</c:v>
                </c:pt>
                <c:pt idx="70">
                  <c:v>371.70301051874759</c:v>
                </c:pt>
                <c:pt idx="71">
                  <c:v>371.40355206728452</c:v>
                </c:pt>
                <c:pt idx="72">
                  <c:v>371.12823584571123</c:v>
                </c:pt>
                <c:pt idx="73">
                  <c:v>370.87601112021264</c:v>
                </c:pt>
                <c:pt idx="74">
                  <c:v>370.64586116474777</c:v>
                </c:pt>
                <c:pt idx="75">
                  <c:v>370.43680411405859</c:v>
                </c:pt>
                <c:pt idx="76">
                  <c:v>370.24789347850663</c:v>
                </c:pt>
                <c:pt idx="77">
                  <c:v>370.07821836804038</c:v>
                </c:pt>
                <c:pt idx="78">
                  <c:v>369.9269034673739</c:v>
                </c:pt>
                <c:pt idx="79">
                  <c:v>369.79310879973866</c:v>
                </c:pt>
                <c:pt idx="80">
                  <c:v>369.6760293123134</c:v>
                </c:pt>
                <c:pt idx="81">
                  <c:v>369.57489431259955</c:v>
                </c:pt>
                <c:pt idx="82">
                  <c:v>369.48896678155916</c:v>
                </c:pt>
                <c:pt idx="83">
                  <c:v>369.41754258623286</c:v>
                </c:pt>
                <c:pt idx="84">
                  <c:v>369.35994961177386</c:v>
                </c:pt>
                <c:pt idx="85">
                  <c:v>369.3155468303446</c:v>
                </c:pt>
                <c:pt idx="86">
                  <c:v>369.28372332209381</c:v>
                </c:pt>
                <c:pt idx="87">
                  <c:v>369.26389726144436</c:v>
                </c:pt>
                <c:pt idx="88">
                  <c:v>369.25551488014662</c:v>
                </c:pt>
                <c:pt idx="89">
                  <c:v>369.25804941697425</c:v>
                </c:pt>
                <c:pt idx="90">
                  <c:v>369.27100006253443</c:v>
                </c:pt>
                <c:pt idx="91">
                  <c:v>369.29389090641968</c:v>
                </c:pt>
                <c:pt idx="92">
                  <c:v>369.3262698928242</c:v>
                </c:pt>
                <c:pt idx="93">
                  <c:v>369.36770778977296</c:v>
                </c:pt>
                <c:pt idx="94">
                  <c:v>369.41779717625013</c:v>
                </c:pt>
                <c:pt idx="95">
                  <c:v>369.47615145075679</c:v>
                </c:pt>
                <c:pt idx="96">
                  <c:v>369.54240386416097</c:v>
                </c:pt>
                <c:pt idx="97">
                  <c:v>369.61620657912226</c:v>
                </c:pt>
                <c:pt idx="98">
                  <c:v>369.69722975786061</c:v>
                </c:pt>
                <c:pt idx="99">
                  <c:v>369.78516067959987</c:v>
                </c:pt>
                <c:pt idx="100">
                  <c:v>369.87970288862823</c:v>
                </c:pt>
                <c:pt idx="101">
                  <c:v>369.98057537358716</c:v>
                </c:pt>
                <c:pt idx="102">
                  <c:v>370.08751177831437</c:v>
                </c:pt>
                <c:pt idx="103">
                  <c:v>370.20025964432057</c:v>
                </c:pt>
                <c:pt idx="104">
                  <c:v>370.31857968477226</c:v>
                </c:pt>
                <c:pt idx="105">
                  <c:v>370.44224508967653</c:v>
                </c:pt>
                <c:pt idx="106">
                  <c:v>370.57104086181681</c:v>
                </c:pt>
                <c:pt idx="107">
                  <c:v>370.70476318286467</c:v>
                </c:pt>
                <c:pt idx="108">
                  <c:v>370.84321880899432</c:v>
                </c:pt>
                <c:pt idx="109">
                  <c:v>370.98622449524487</c:v>
                </c:pt>
                <c:pt idx="110">
                  <c:v>371.13360644781017</c:v>
                </c:pt>
                <c:pt idx="111">
                  <c:v>371.28519980338916</c:v>
                </c:pt>
                <c:pt idx="112">
                  <c:v>371.44084813469146</c:v>
                </c:pt>
                <c:pt idx="113">
                  <c:v>371.60040298116843</c:v>
                </c:pt>
                <c:pt idx="114">
                  <c:v>371.76372340402463</c:v>
                </c:pt>
                <c:pt idx="115">
                  <c:v>371.93067556455645</c:v>
                </c:pt>
                <c:pt idx="116">
                  <c:v>372.10113232486503</c:v>
                </c:pt>
                <c:pt idx="117">
                  <c:v>372.2749728699963</c:v>
                </c:pt>
                <c:pt idx="118">
                  <c:v>372.45208235057078</c:v>
                </c:pt>
                <c:pt idx="119">
                  <c:v>372.6323515449821</c:v>
                </c:pt>
                <c:pt idx="120">
                  <c:v>372.81567654026043</c:v>
                </c:pt>
                <c:pt idx="121">
                  <c:v>373.0019584307185</c:v>
                </c:pt>
                <c:pt idx="122">
                  <c:v>373.19110303352215</c:v>
                </c:pt>
                <c:pt idx="123">
                  <c:v>373.38302062035132</c:v>
                </c:pt>
                <c:pt idx="124">
                  <c:v>373.57762566434531</c:v>
                </c:pt>
                <c:pt idx="125">
                  <c:v>373.77483660155298</c:v>
                </c:pt>
                <c:pt idx="126">
                  <c:v>373.97457560613731</c:v>
                </c:pt>
                <c:pt idx="127">
                  <c:v>374.1767683786116</c:v>
                </c:pt>
                <c:pt idx="128">
                  <c:v>374.38134394641469</c:v>
                </c:pt>
                <c:pt idx="129">
                  <c:v>374.58823447616061</c:v>
                </c:pt>
                <c:pt idx="130">
                  <c:v>374.79737509692609</c:v>
                </c:pt>
                <c:pt idx="131">
                  <c:v>375.00870373396862</c:v>
                </c:pt>
                <c:pt idx="132">
                  <c:v>375.22216095229487</c:v>
                </c:pt>
                <c:pt idx="133">
                  <c:v>375.43768980952666</c:v>
                </c:pt>
                <c:pt idx="134">
                  <c:v>375.65523571753698</c:v>
                </c:pt>
                <c:pt idx="135">
                  <c:v>375.87474631235659</c:v>
                </c:pt>
                <c:pt idx="136">
                  <c:v>376.09617133187379</c:v>
                </c:pt>
                <c:pt idx="137">
                  <c:v>376.31946250087685</c:v>
                </c:pt>
                <c:pt idx="138">
                  <c:v>376.54457342300896</c:v>
                </c:pt>
                <c:pt idx="139">
                  <c:v>376.77145947923157</c:v>
                </c:pt>
                <c:pt idx="140">
                  <c:v>377.00007773240907</c:v>
                </c:pt>
                <c:pt idx="141">
                  <c:v>377.23038683765253</c:v>
                </c:pt>
                <c:pt idx="142">
                  <c:v>377.4623469580776</c:v>
                </c:pt>
                <c:pt idx="143">
                  <c:v>377.69591968565163</c:v>
                </c:pt>
                <c:pt idx="144">
                  <c:v>377.93106796682179</c:v>
                </c:pt>
                <c:pt idx="145">
                  <c:v>378.16775603263585</c:v>
                </c:pt>
                <c:pt idx="146">
                  <c:v>378.40594933308046</c:v>
                </c:pt>
                <c:pt idx="147">
                  <c:v>378.64561447537983</c:v>
                </c:pt>
                <c:pt idx="148">
                  <c:v>378.88671916601214</c:v>
                </c:pt>
                <c:pt idx="149">
                  <c:v>379.1292321562135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F44-4B51-A7DC-3F67F6C05EF4}"/>
            </c:ext>
          </c:extLst>
        </c:ser>
        <c:ser>
          <c:idx val="2"/>
          <c:order val="2"/>
          <c:tx>
            <c:v>Terrestrial Life</c:v>
          </c:tx>
          <c:spPr>
            <a:ln w="47625">
              <a:noFill/>
            </a:ln>
          </c:spPr>
          <c:xVal>
            <c:numRef>
              <c:f>'MCMC Projection'!$B$48:$EU$48</c:f>
              <c:numCache>
                <c:formatCode>General</c:formatCode>
                <c:ptCount val="150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  <c:pt idx="36">
                  <c:v>2051</c:v>
                </c:pt>
                <c:pt idx="37">
                  <c:v>2052</c:v>
                </c:pt>
                <c:pt idx="38">
                  <c:v>2053</c:v>
                </c:pt>
                <c:pt idx="39">
                  <c:v>2054</c:v>
                </c:pt>
                <c:pt idx="40">
                  <c:v>2055</c:v>
                </c:pt>
                <c:pt idx="41">
                  <c:v>2056</c:v>
                </c:pt>
                <c:pt idx="42">
                  <c:v>2057</c:v>
                </c:pt>
                <c:pt idx="43">
                  <c:v>2058</c:v>
                </c:pt>
                <c:pt idx="44">
                  <c:v>2059</c:v>
                </c:pt>
                <c:pt idx="45">
                  <c:v>2060</c:v>
                </c:pt>
                <c:pt idx="46">
                  <c:v>2061</c:v>
                </c:pt>
                <c:pt idx="47">
                  <c:v>2062</c:v>
                </c:pt>
                <c:pt idx="48">
                  <c:v>2063</c:v>
                </c:pt>
                <c:pt idx="49">
                  <c:v>2064</c:v>
                </c:pt>
                <c:pt idx="50">
                  <c:v>2065</c:v>
                </c:pt>
                <c:pt idx="51">
                  <c:v>2066</c:v>
                </c:pt>
                <c:pt idx="52">
                  <c:v>2067</c:v>
                </c:pt>
                <c:pt idx="53">
                  <c:v>2068</c:v>
                </c:pt>
                <c:pt idx="54">
                  <c:v>2069</c:v>
                </c:pt>
                <c:pt idx="55">
                  <c:v>2070</c:v>
                </c:pt>
                <c:pt idx="56">
                  <c:v>2071</c:v>
                </c:pt>
                <c:pt idx="57">
                  <c:v>2072</c:v>
                </c:pt>
                <c:pt idx="58">
                  <c:v>2073</c:v>
                </c:pt>
                <c:pt idx="59">
                  <c:v>2074</c:v>
                </c:pt>
                <c:pt idx="60">
                  <c:v>2075</c:v>
                </c:pt>
                <c:pt idx="61">
                  <c:v>2076</c:v>
                </c:pt>
                <c:pt idx="62">
                  <c:v>2077</c:v>
                </c:pt>
                <c:pt idx="63">
                  <c:v>2078</c:v>
                </c:pt>
                <c:pt idx="64">
                  <c:v>2079</c:v>
                </c:pt>
                <c:pt idx="65">
                  <c:v>2080</c:v>
                </c:pt>
                <c:pt idx="66">
                  <c:v>2081</c:v>
                </c:pt>
                <c:pt idx="67">
                  <c:v>2082</c:v>
                </c:pt>
                <c:pt idx="68">
                  <c:v>2083</c:v>
                </c:pt>
                <c:pt idx="69">
                  <c:v>2084</c:v>
                </c:pt>
                <c:pt idx="70">
                  <c:v>2085</c:v>
                </c:pt>
                <c:pt idx="71">
                  <c:v>2086</c:v>
                </c:pt>
                <c:pt idx="72">
                  <c:v>2087</c:v>
                </c:pt>
                <c:pt idx="73">
                  <c:v>2088</c:v>
                </c:pt>
                <c:pt idx="74">
                  <c:v>2089</c:v>
                </c:pt>
                <c:pt idx="75">
                  <c:v>2090</c:v>
                </c:pt>
                <c:pt idx="76">
                  <c:v>2091</c:v>
                </c:pt>
                <c:pt idx="77">
                  <c:v>2092</c:v>
                </c:pt>
                <c:pt idx="78">
                  <c:v>2093</c:v>
                </c:pt>
                <c:pt idx="79">
                  <c:v>2094</c:v>
                </c:pt>
                <c:pt idx="80">
                  <c:v>2095</c:v>
                </c:pt>
                <c:pt idx="81">
                  <c:v>2096</c:v>
                </c:pt>
                <c:pt idx="82">
                  <c:v>2097</c:v>
                </c:pt>
                <c:pt idx="83">
                  <c:v>2098</c:v>
                </c:pt>
                <c:pt idx="84">
                  <c:v>2099</c:v>
                </c:pt>
                <c:pt idx="85">
                  <c:v>2100</c:v>
                </c:pt>
                <c:pt idx="86">
                  <c:v>2101</c:v>
                </c:pt>
                <c:pt idx="87">
                  <c:v>2102</c:v>
                </c:pt>
                <c:pt idx="88">
                  <c:v>2103</c:v>
                </c:pt>
                <c:pt idx="89">
                  <c:v>2104</c:v>
                </c:pt>
                <c:pt idx="90">
                  <c:v>2105</c:v>
                </c:pt>
                <c:pt idx="91">
                  <c:v>2106</c:v>
                </c:pt>
                <c:pt idx="92">
                  <c:v>2107</c:v>
                </c:pt>
                <c:pt idx="93">
                  <c:v>2108</c:v>
                </c:pt>
                <c:pt idx="94">
                  <c:v>2109</c:v>
                </c:pt>
                <c:pt idx="95">
                  <c:v>2110</c:v>
                </c:pt>
                <c:pt idx="96">
                  <c:v>2111</c:v>
                </c:pt>
                <c:pt idx="97">
                  <c:v>2112</c:v>
                </c:pt>
                <c:pt idx="98">
                  <c:v>2113</c:v>
                </c:pt>
                <c:pt idx="99">
                  <c:v>2114</c:v>
                </c:pt>
                <c:pt idx="100">
                  <c:v>2115</c:v>
                </c:pt>
                <c:pt idx="101">
                  <c:v>2116</c:v>
                </c:pt>
                <c:pt idx="102">
                  <c:v>2117</c:v>
                </c:pt>
                <c:pt idx="103">
                  <c:v>2118</c:v>
                </c:pt>
                <c:pt idx="104">
                  <c:v>2119</c:v>
                </c:pt>
                <c:pt idx="105">
                  <c:v>2120</c:v>
                </c:pt>
                <c:pt idx="106">
                  <c:v>2121</c:v>
                </c:pt>
                <c:pt idx="107">
                  <c:v>2122</c:v>
                </c:pt>
                <c:pt idx="108">
                  <c:v>2123</c:v>
                </c:pt>
                <c:pt idx="109">
                  <c:v>2124</c:v>
                </c:pt>
                <c:pt idx="110">
                  <c:v>2125</c:v>
                </c:pt>
                <c:pt idx="111">
                  <c:v>2126</c:v>
                </c:pt>
                <c:pt idx="112">
                  <c:v>2127</c:v>
                </c:pt>
                <c:pt idx="113">
                  <c:v>2128</c:v>
                </c:pt>
                <c:pt idx="114">
                  <c:v>2129</c:v>
                </c:pt>
                <c:pt idx="115">
                  <c:v>2130</c:v>
                </c:pt>
                <c:pt idx="116">
                  <c:v>2131</c:v>
                </c:pt>
                <c:pt idx="117">
                  <c:v>2132</c:v>
                </c:pt>
                <c:pt idx="118">
                  <c:v>2133</c:v>
                </c:pt>
                <c:pt idx="119">
                  <c:v>2134</c:v>
                </c:pt>
                <c:pt idx="120">
                  <c:v>2135</c:v>
                </c:pt>
                <c:pt idx="121">
                  <c:v>2136</c:v>
                </c:pt>
                <c:pt idx="122">
                  <c:v>2137</c:v>
                </c:pt>
                <c:pt idx="123">
                  <c:v>2138</c:v>
                </c:pt>
                <c:pt idx="124">
                  <c:v>2139</c:v>
                </c:pt>
                <c:pt idx="125">
                  <c:v>2140</c:v>
                </c:pt>
                <c:pt idx="126">
                  <c:v>2141</c:v>
                </c:pt>
                <c:pt idx="127">
                  <c:v>2142</c:v>
                </c:pt>
                <c:pt idx="128">
                  <c:v>2143</c:v>
                </c:pt>
                <c:pt idx="129">
                  <c:v>2144</c:v>
                </c:pt>
                <c:pt idx="130">
                  <c:v>2145</c:v>
                </c:pt>
                <c:pt idx="131">
                  <c:v>2146</c:v>
                </c:pt>
                <c:pt idx="132">
                  <c:v>2147</c:v>
                </c:pt>
                <c:pt idx="133">
                  <c:v>2148</c:v>
                </c:pt>
                <c:pt idx="134">
                  <c:v>2149</c:v>
                </c:pt>
                <c:pt idx="135">
                  <c:v>2150</c:v>
                </c:pt>
                <c:pt idx="136">
                  <c:v>2151</c:v>
                </c:pt>
                <c:pt idx="137">
                  <c:v>2152</c:v>
                </c:pt>
                <c:pt idx="138">
                  <c:v>2153</c:v>
                </c:pt>
                <c:pt idx="139">
                  <c:v>2154</c:v>
                </c:pt>
                <c:pt idx="140">
                  <c:v>2155</c:v>
                </c:pt>
                <c:pt idx="141">
                  <c:v>2156</c:v>
                </c:pt>
                <c:pt idx="142">
                  <c:v>2157</c:v>
                </c:pt>
                <c:pt idx="143">
                  <c:v>2158</c:v>
                </c:pt>
                <c:pt idx="144">
                  <c:v>2159</c:v>
                </c:pt>
                <c:pt idx="145">
                  <c:v>2160</c:v>
                </c:pt>
                <c:pt idx="146">
                  <c:v>2161</c:v>
                </c:pt>
                <c:pt idx="147">
                  <c:v>2162</c:v>
                </c:pt>
                <c:pt idx="148">
                  <c:v>2163</c:v>
                </c:pt>
                <c:pt idx="149">
                  <c:v>2164</c:v>
                </c:pt>
              </c:numCache>
            </c:numRef>
          </c:xVal>
          <c:yVal>
            <c:numRef>
              <c:f>'MCMC Projection'!$B$56:$EU$56</c:f>
              <c:numCache>
                <c:formatCode>General</c:formatCode>
                <c:ptCount val="150"/>
                <c:pt idx="0">
                  <c:v>616.63204674919859</c:v>
                </c:pt>
                <c:pt idx="1">
                  <c:v>539.1479154924175</c:v>
                </c:pt>
                <c:pt idx="2">
                  <c:v>515.00301868119845</c:v>
                </c:pt>
                <c:pt idx="3">
                  <c:v>516.91616949487104</c:v>
                </c:pt>
                <c:pt idx="4">
                  <c:v>530.80117297518359</c:v>
                </c:pt>
                <c:pt idx="5">
                  <c:v>549.46662906471317</c:v>
                </c:pt>
                <c:pt idx="6">
                  <c:v>569.31899554837412</c:v>
                </c:pt>
                <c:pt idx="7">
                  <c:v>588.63423379031804</c:v>
                </c:pt>
                <c:pt idx="8">
                  <c:v>606.65110697928037</c:v>
                </c:pt>
                <c:pt idx="9">
                  <c:v>623.09596179473351</c:v>
                </c:pt>
                <c:pt idx="10">
                  <c:v>637.93452668987652</c:v>
                </c:pt>
                <c:pt idx="11">
                  <c:v>651.2432563147463</c:v>
                </c:pt>
                <c:pt idx="12">
                  <c:v>663.1435876701388</c:v>
                </c:pt>
                <c:pt idx="13">
                  <c:v>673.76920431114127</c:v>
                </c:pt>
                <c:pt idx="14">
                  <c:v>683.25050320020478</c:v>
                </c:pt>
                <c:pt idx="15">
                  <c:v>691.70791410846243</c:v>
                </c:pt>
                <c:pt idx="16">
                  <c:v>699.24967185583876</c:v>
                </c:pt>
                <c:pt idx="17">
                  <c:v>705.97173718814975</c:v>
                </c:pt>
                <c:pt idx="18">
                  <c:v>711.95867333817262</c:v>
                </c:pt>
                <c:pt idx="19">
                  <c:v>717.28487321800321</c:v>
                </c:pt>
                <c:pt idx="20">
                  <c:v>722.01584149575899</c:v>
                </c:pt>
                <c:pt idx="21">
                  <c:v>726.20939683574863</c:v>
                </c:pt>
                <c:pt idx="22">
                  <c:v>729.91674185429451</c:v>
                </c:pt>
                <c:pt idx="23">
                  <c:v>733.18338900206356</c:v>
                </c:pt>
                <c:pt idx="24">
                  <c:v>736.0499494648077</c:v>
                </c:pt>
                <c:pt idx="25">
                  <c:v>738.55279985296841</c:v>
                </c:pt>
                <c:pt idx="26">
                  <c:v>740.72464353804776</c:v>
                </c:pt>
                <c:pt idx="27">
                  <c:v>742.59498294106822</c:v>
                </c:pt>
                <c:pt idx="28">
                  <c:v>744.19051741353758</c:v>
                </c:pt>
                <c:pt idx="29">
                  <c:v>745.53547934353651</c:v>
                </c:pt>
                <c:pt idx="30">
                  <c:v>746.65191913764806</c:v>
                </c:pt>
                <c:pt idx="31">
                  <c:v>747.55994793356899</c:v>
                </c:pt>
                <c:pt idx="32">
                  <c:v>748.2779453425419</c:v>
                </c:pt>
                <c:pt idx="33">
                  <c:v>748.82273820787373</c:v>
                </c:pt>
                <c:pt idx="34">
                  <c:v>749.20975527547887</c:v>
                </c:pt>
                <c:pt idx="35">
                  <c:v>749.45316177596374</c:v>
                </c:pt>
                <c:pt idx="36">
                  <c:v>749.56597718546368</c:v>
                </c:pt>
                <c:pt idx="37">
                  <c:v>749.56017883658967</c:v>
                </c:pt>
                <c:pt idx="38">
                  <c:v>749.44679356715665</c:v>
                </c:pt>
                <c:pt idx="39">
                  <c:v>749.2359792022188</c:v>
                </c:pt>
                <c:pt idx="40">
                  <c:v>748.93709734711911</c:v>
                </c:pt>
                <c:pt idx="41">
                  <c:v>748.55877871163932</c:v>
                </c:pt>
                <c:pt idx="42">
                  <c:v>748.10898197634185</c:v>
                </c:pt>
                <c:pt idx="43">
                  <c:v>747.59504704245342</c:v>
                </c:pt>
                <c:pt idx="44">
                  <c:v>747.02374336856474</c:v>
                </c:pt>
                <c:pt idx="45">
                  <c:v>746.40131398488415</c:v>
                </c:pt>
                <c:pt idx="46">
                  <c:v>745.73351568384874</c:v>
                </c:pt>
                <c:pt idx="47">
                  <c:v>745.02565581059253</c:v>
                </c:pt>
                <c:pt idx="48">
                  <c:v>744.28262601490803</c:v>
                </c:pt>
                <c:pt idx="49">
                  <c:v>743.50893327532424</c:v>
                </c:pt>
                <c:pt idx="50">
                  <c:v>742.70872846372072</c:v>
                </c:pt>
                <c:pt idx="51">
                  <c:v>741.88583268381194</c:v>
                </c:pt>
                <c:pt idx="52">
                  <c:v>741.04376158755269</c:v>
                </c:pt>
                <c:pt idx="53">
                  <c:v>740.18574784894167</c:v>
                </c:pt>
                <c:pt idx="54">
                  <c:v>739.31476195397443</c:v>
                </c:pt>
                <c:pt idx="55">
                  <c:v>738.43353144792115</c:v>
                </c:pt>
                <c:pt idx="56">
                  <c:v>737.54455876610473</c:v>
                </c:pt>
                <c:pt idx="57">
                  <c:v>736.65013776148783</c:v>
                </c:pt>
                <c:pt idx="58">
                  <c:v>735.75236903126483</c:v>
                </c:pt>
                <c:pt idx="59">
                  <c:v>734.85317413499774</c:v>
                </c:pt>
                <c:pt idx="60">
                  <c:v>733.95430878840239</c:v>
                </c:pt>
                <c:pt idx="61">
                  <c:v>733.05737510946631</c:v>
                </c:pt>
                <c:pt idx="62">
                  <c:v>732.16383298702476</c:v>
                </c:pt>
                <c:pt idx="63">
                  <c:v>731.27501063608315</c:v>
                </c:pt>
                <c:pt idx="64">
                  <c:v>730.39211439896258</c:v>
                </c:pt>
                <c:pt idx="65">
                  <c:v>729.51623784666322</c:v>
                </c:pt>
                <c:pt idx="66">
                  <c:v>728.64837023061148</c:v>
                </c:pt>
                <c:pt idx="67">
                  <c:v>727.7894043311353</c:v>
                </c:pt>
                <c:pt idx="68">
                  <c:v>726.94014374552569</c:v>
                </c:pt>
                <c:pt idx="69">
                  <c:v>726.10130965537485</c:v>
                </c:pt>
                <c:pt idx="70">
                  <c:v>725.2735471099694</c:v>
                </c:pt>
                <c:pt idx="71">
                  <c:v>724.45743085985896</c:v>
                </c:pt>
                <c:pt idx="72">
                  <c:v>723.65347077226249</c:v>
                </c:pt>
                <c:pt idx="73">
                  <c:v>722.86211685772309</c:v>
                </c:pt>
                <c:pt idx="74">
                  <c:v>722.08376393533274</c:v>
                </c:pt>
                <c:pt idx="75">
                  <c:v>721.31875596192344</c:v>
                </c:pt>
                <c:pt idx="76">
                  <c:v>720.56739004883684</c:v>
                </c:pt>
                <c:pt idx="77">
                  <c:v>719.8299201882312</c:v>
                </c:pt>
                <c:pt idx="78">
                  <c:v>719.10656070934999</c:v>
                </c:pt>
                <c:pt idx="79">
                  <c:v>718.39748948375507</c:v>
                </c:pt>
                <c:pt idx="80">
                  <c:v>717.70285089720142</c:v>
                </c:pt>
                <c:pt idx="81">
                  <c:v>717.02275860460531</c:v>
                </c:pt>
                <c:pt idx="82">
                  <c:v>716.35729808340955</c:v>
                </c:pt>
                <c:pt idx="83">
                  <c:v>715.70652899959077</c:v>
                </c:pt>
                <c:pt idx="84">
                  <c:v>715.07048739956099</c:v>
                </c:pt>
                <c:pt idx="85">
                  <c:v>714.44918774029679</c:v>
                </c:pt>
                <c:pt idx="86">
                  <c:v>713.84262476916865</c:v>
                </c:pt>
                <c:pt idx="87">
                  <c:v>713.25077526415043</c:v>
                </c:pt>
                <c:pt idx="88">
                  <c:v>712.67359964433808</c:v>
                </c:pt>
                <c:pt idx="89">
                  <c:v>712.1110434600223</c:v>
                </c:pt>
                <c:pt idx="90">
                  <c:v>711.56303877090841</c:v>
                </c:pt>
                <c:pt idx="91">
                  <c:v>711.02950542048166</c:v>
                </c:pt>
                <c:pt idx="92">
                  <c:v>710.51035221395352</c:v>
                </c:pt>
                <c:pt idx="93">
                  <c:v>710.00547800670643</c:v>
                </c:pt>
                <c:pt idx="94">
                  <c:v>709.51477270966802</c:v>
                </c:pt>
                <c:pt idx="95">
                  <c:v>709.03811821759541</c:v>
                </c:pt>
                <c:pt idx="96">
                  <c:v>708.57538926583095</c:v>
                </c:pt>
                <c:pt idx="97">
                  <c:v>708.12645422069659</c:v>
                </c:pt>
                <c:pt idx="98">
                  <c:v>707.69117580833324</c:v>
                </c:pt>
                <c:pt idx="99">
                  <c:v>707.2694117864495</c:v>
                </c:pt>
                <c:pt idx="100">
                  <c:v>706.86101556313258</c:v>
                </c:pt>
                <c:pt idx="101">
                  <c:v>706.46583676657497</c:v>
                </c:pt>
                <c:pt idx="102">
                  <c:v>706.08372176930357</c:v>
                </c:pt>
                <c:pt idx="103">
                  <c:v>705.71451417023786</c:v>
                </c:pt>
                <c:pt idx="104">
                  <c:v>705.35805523767135</c:v>
                </c:pt>
                <c:pt idx="105">
                  <c:v>705.01418431604907</c:v>
                </c:pt>
                <c:pt idx="106">
                  <c:v>704.68273919920773</c:v>
                </c:pt>
                <c:pt idx="107">
                  <c:v>704.36355647255766</c:v>
                </c:pt>
                <c:pt idx="108">
                  <c:v>704.05647182650614</c:v>
                </c:pt>
                <c:pt idx="109">
                  <c:v>703.7613203432586</c:v>
                </c:pt>
                <c:pt idx="110">
                  <c:v>703.47793675897969</c:v>
                </c:pt>
                <c:pt idx="111">
                  <c:v>703.20615570315533</c:v>
                </c:pt>
                <c:pt idx="112">
                  <c:v>702.94581191686427</c:v>
                </c:pt>
                <c:pt idx="113">
                  <c:v>702.69674045154329</c:v>
                </c:pt>
                <c:pt idx="114">
                  <c:v>702.4587768497172</c:v>
                </c:pt>
                <c:pt idx="115">
                  <c:v>702.23175730905996</c:v>
                </c:pt>
                <c:pt idx="116">
                  <c:v>702.01551883105014</c:v>
                </c:pt>
                <c:pt idx="117">
                  <c:v>701.8098993553964</c:v>
                </c:pt>
                <c:pt idx="118">
                  <c:v>701.61473788132298</c:v>
                </c:pt>
                <c:pt idx="119">
                  <c:v>701.42987457672302</c:v>
                </c:pt>
                <c:pt idx="120">
                  <c:v>701.25515087611768</c:v>
                </c:pt>
                <c:pt idx="121">
                  <c:v>701.09040956828835</c:v>
                </c:pt>
                <c:pt idx="122">
                  <c:v>700.9354948743869</c:v>
                </c:pt>
                <c:pt idx="123">
                  <c:v>700.79025251726989</c:v>
                </c:pt>
                <c:pt idx="124">
                  <c:v>700.65452978274686</c:v>
                </c:pt>
                <c:pt idx="125">
                  <c:v>700.52817557338517</c:v>
                </c:pt>
                <c:pt idx="126">
                  <c:v>700.41104045546172</c:v>
                </c:pt>
                <c:pt idx="127">
                  <c:v>700.30297669961408</c:v>
                </c:pt>
                <c:pt idx="128">
                  <c:v>700.20383831569723</c:v>
                </c:pt>
                <c:pt idx="129">
                  <c:v>700.1134810823188</c:v>
                </c:pt>
                <c:pt idx="130">
                  <c:v>700.0317625714888</c:v>
                </c:pt>
                <c:pt idx="131">
                  <c:v>699.95854216878649</c:v>
                </c:pt>
                <c:pt idx="132">
                  <c:v>699.8936810894204</c:v>
                </c:pt>
                <c:pt idx="133">
                  <c:v>699.83704239052463</c:v>
                </c:pt>
                <c:pt idx="134">
                  <c:v>699.78849098001331</c:v>
                </c:pt>
                <c:pt idx="135">
                  <c:v>699.74789362228807</c:v>
                </c:pt>
                <c:pt idx="136">
                  <c:v>699.71511894107277</c:v>
                </c:pt>
                <c:pt idx="137">
                  <c:v>699.69003741962729</c:v>
                </c:pt>
                <c:pt idx="138">
                  <c:v>699.6725213985759</c:v>
                </c:pt>
                <c:pt idx="139">
                  <c:v>699.66244507156523</c:v>
                </c:pt>
                <c:pt idx="140">
                  <c:v>699.65968447895023</c:v>
                </c:pt>
                <c:pt idx="141">
                  <c:v>699.66411749969541</c:v>
                </c:pt>
                <c:pt idx="142">
                  <c:v>699.67562384165808</c:v>
                </c:pt>
                <c:pt idx="143">
                  <c:v>699.69408503041416</c:v>
                </c:pt>
                <c:pt idx="144">
                  <c:v>699.71938439676785</c:v>
                </c:pt>
                <c:pt idx="145">
                  <c:v>699.75140706308184</c:v>
                </c:pt>
                <c:pt idx="146">
                  <c:v>699.7900399285495</c:v>
                </c:pt>
                <c:pt idx="147">
                  <c:v>699.83517165352373</c:v>
                </c:pt>
                <c:pt idx="148">
                  <c:v>699.88669264300597</c:v>
                </c:pt>
                <c:pt idx="149">
                  <c:v>699.94449502939256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F44-4B51-A7DC-3F67F6C05EF4}"/>
            </c:ext>
          </c:extLst>
        </c:ser>
        <c:ser>
          <c:idx val="3"/>
          <c:order val="3"/>
          <c:tx>
            <c:v>Detritus</c:v>
          </c:tx>
          <c:spPr>
            <a:ln w="47625">
              <a:noFill/>
            </a:ln>
          </c:spPr>
          <c:xVal>
            <c:numRef>
              <c:f>'MCMC Projection'!$B$48:$EU$48</c:f>
              <c:numCache>
                <c:formatCode>General</c:formatCode>
                <c:ptCount val="150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  <c:pt idx="36">
                  <c:v>2051</c:v>
                </c:pt>
                <c:pt idx="37">
                  <c:v>2052</c:v>
                </c:pt>
                <c:pt idx="38">
                  <c:v>2053</c:v>
                </c:pt>
                <c:pt idx="39">
                  <c:v>2054</c:v>
                </c:pt>
                <c:pt idx="40">
                  <c:v>2055</c:v>
                </c:pt>
                <c:pt idx="41">
                  <c:v>2056</c:v>
                </c:pt>
                <c:pt idx="42">
                  <c:v>2057</c:v>
                </c:pt>
                <c:pt idx="43">
                  <c:v>2058</c:v>
                </c:pt>
                <c:pt idx="44">
                  <c:v>2059</c:v>
                </c:pt>
                <c:pt idx="45">
                  <c:v>2060</c:v>
                </c:pt>
                <c:pt idx="46">
                  <c:v>2061</c:v>
                </c:pt>
                <c:pt idx="47">
                  <c:v>2062</c:v>
                </c:pt>
                <c:pt idx="48">
                  <c:v>2063</c:v>
                </c:pt>
                <c:pt idx="49">
                  <c:v>2064</c:v>
                </c:pt>
                <c:pt idx="50">
                  <c:v>2065</c:v>
                </c:pt>
                <c:pt idx="51">
                  <c:v>2066</c:v>
                </c:pt>
                <c:pt idx="52">
                  <c:v>2067</c:v>
                </c:pt>
                <c:pt idx="53">
                  <c:v>2068</c:v>
                </c:pt>
                <c:pt idx="54">
                  <c:v>2069</c:v>
                </c:pt>
                <c:pt idx="55">
                  <c:v>2070</c:v>
                </c:pt>
                <c:pt idx="56">
                  <c:v>2071</c:v>
                </c:pt>
                <c:pt idx="57">
                  <c:v>2072</c:v>
                </c:pt>
                <c:pt idx="58">
                  <c:v>2073</c:v>
                </c:pt>
                <c:pt idx="59">
                  <c:v>2074</c:v>
                </c:pt>
                <c:pt idx="60">
                  <c:v>2075</c:v>
                </c:pt>
                <c:pt idx="61">
                  <c:v>2076</c:v>
                </c:pt>
                <c:pt idx="62">
                  <c:v>2077</c:v>
                </c:pt>
                <c:pt idx="63">
                  <c:v>2078</c:v>
                </c:pt>
                <c:pt idx="64">
                  <c:v>2079</c:v>
                </c:pt>
                <c:pt idx="65">
                  <c:v>2080</c:v>
                </c:pt>
                <c:pt idx="66">
                  <c:v>2081</c:v>
                </c:pt>
                <c:pt idx="67">
                  <c:v>2082</c:v>
                </c:pt>
                <c:pt idx="68">
                  <c:v>2083</c:v>
                </c:pt>
                <c:pt idx="69">
                  <c:v>2084</c:v>
                </c:pt>
                <c:pt idx="70">
                  <c:v>2085</c:v>
                </c:pt>
                <c:pt idx="71">
                  <c:v>2086</c:v>
                </c:pt>
                <c:pt idx="72">
                  <c:v>2087</c:v>
                </c:pt>
                <c:pt idx="73">
                  <c:v>2088</c:v>
                </c:pt>
                <c:pt idx="74">
                  <c:v>2089</c:v>
                </c:pt>
                <c:pt idx="75">
                  <c:v>2090</c:v>
                </c:pt>
                <c:pt idx="76">
                  <c:v>2091</c:v>
                </c:pt>
                <c:pt idx="77">
                  <c:v>2092</c:v>
                </c:pt>
                <c:pt idx="78">
                  <c:v>2093</c:v>
                </c:pt>
                <c:pt idx="79">
                  <c:v>2094</c:v>
                </c:pt>
                <c:pt idx="80">
                  <c:v>2095</c:v>
                </c:pt>
                <c:pt idx="81">
                  <c:v>2096</c:v>
                </c:pt>
                <c:pt idx="82">
                  <c:v>2097</c:v>
                </c:pt>
                <c:pt idx="83">
                  <c:v>2098</c:v>
                </c:pt>
                <c:pt idx="84">
                  <c:v>2099</c:v>
                </c:pt>
                <c:pt idx="85">
                  <c:v>2100</c:v>
                </c:pt>
                <c:pt idx="86">
                  <c:v>2101</c:v>
                </c:pt>
                <c:pt idx="87">
                  <c:v>2102</c:v>
                </c:pt>
                <c:pt idx="88">
                  <c:v>2103</c:v>
                </c:pt>
                <c:pt idx="89">
                  <c:v>2104</c:v>
                </c:pt>
                <c:pt idx="90">
                  <c:v>2105</c:v>
                </c:pt>
                <c:pt idx="91">
                  <c:v>2106</c:v>
                </c:pt>
                <c:pt idx="92">
                  <c:v>2107</c:v>
                </c:pt>
                <c:pt idx="93">
                  <c:v>2108</c:v>
                </c:pt>
                <c:pt idx="94">
                  <c:v>2109</c:v>
                </c:pt>
                <c:pt idx="95">
                  <c:v>2110</c:v>
                </c:pt>
                <c:pt idx="96">
                  <c:v>2111</c:v>
                </c:pt>
                <c:pt idx="97">
                  <c:v>2112</c:v>
                </c:pt>
                <c:pt idx="98">
                  <c:v>2113</c:v>
                </c:pt>
                <c:pt idx="99">
                  <c:v>2114</c:v>
                </c:pt>
                <c:pt idx="100">
                  <c:v>2115</c:v>
                </c:pt>
                <c:pt idx="101">
                  <c:v>2116</c:v>
                </c:pt>
                <c:pt idx="102">
                  <c:v>2117</c:v>
                </c:pt>
                <c:pt idx="103">
                  <c:v>2118</c:v>
                </c:pt>
                <c:pt idx="104">
                  <c:v>2119</c:v>
                </c:pt>
                <c:pt idx="105">
                  <c:v>2120</c:v>
                </c:pt>
                <c:pt idx="106">
                  <c:v>2121</c:v>
                </c:pt>
                <c:pt idx="107">
                  <c:v>2122</c:v>
                </c:pt>
                <c:pt idx="108">
                  <c:v>2123</c:v>
                </c:pt>
                <c:pt idx="109">
                  <c:v>2124</c:v>
                </c:pt>
                <c:pt idx="110">
                  <c:v>2125</c:v>
                </c:pt>
                <c:pt idx="111">
                  <c:v>2126</c:v>
                </c:pt>
                <c:pt idx="112">
                  <c:v>2127</c:v>
                </c:pt>
                <c:pt idx="113">
                  <c:v>2128</c:v>
                </c:pt>
                <c:pt idx="114">
                  <c:v>2129</c:v>
                </c:pt>
                <c:pt idx="115">
                  <c:v>2130</c:v>
                </c:pt>
                <c:pt idx="116">
                  <c:v>2131</c:v>
                </c:pt>
                <c:pt idx="117">
                  <c:v>2132</c:v>
                </c:pt>
                <c:pt idx="118">
                  <c:v>2133</c:v>
                </c:pt>
                <c:pt idx="119">
                  <c:v>2134</c:v>
                </c:pt>
                <c:pt idx="120">
                  <c:v>2135</c:v>
                </c:pt>
                <c:pt idx="121">
                  <c:v>2136</c:v>
                </c:pt>
                <c:pt idx="122">
                  <c:v>2137</c:v>
                </c:pt>
                <c:pt idx="123">
                  <c:v>2138</c:v>
                </c:pt>
                <c:pt idx="124">
                  <c:v>2139</c:v>
                </c:pt>
                <c:pt idx="125">
                  <c:v>2140</c:v>
                </c:pt>
                <c:pt idx="126">
                  <c:v>2141</c:v>
                </c:pt>
                <c:pt idx="127">
                  <c:v>2142</c:v>
                </c:pt>
                <c:pt idx="128">
                  <c:v>2143</c:v>
                </c:pt>
                <c:pt idx="129">
                  <c:v>2144</c:v>
                </c:pt>
                <c:pt idx="130">
                  <c:v>2145</c:v>
                </c:pt>
                <c:pt idx="131">
                  <c:v>2146</c:v>
                </c:pt>
                <c:pt idx="132">
                  <c:v>2147</c:v>
                </c:pt>
                <c:pt idx="133">
                  <c:v>2148</c:v>
                </c:pt>
                <c:pt idx="134">
                  <c:v>2149</c:v>
                </c:pt>
                <c:pt idx="135">
                  <c:v>2150</c:v>
                </c:pt>
                <c:pt idx="136">
                  <c:v>2151</c:v>
                </c:pt>
                <c:pt idx="137">
                  <c:v>2152</c:v>
                </c:pt>
                <c:pt idx="138">
                  <c:v>2153</c:v>
                </c:pt>
                <c:pt idx="139">
                  <c:v>2154</c:v>
                </c:pt>
                <c:pt idx="140">
                  <c:v>2155</c:v>
                </c:pt>
                <c:pt idx="141">
                  <c:v>2156</c:v>
                </c:pt>
                <c:pt idx="142">
                  <c:v>2157</c:v>
                </c:pt>
                <c:pt idx="143">
                  <c:v>2158</c:v>
                </c:pt>
                <c:pt idx="144">
                  <c:v>2159</c:v>
                </c:pt>
                <c:pt idx="145">
                  <c:v>2160</c:v>
                </c:pt>
                <c:pt idx="146">
                  <c:v>2161</c:v>
                </c:pt>
                <c:pt idx="147">
                  <c:v>2162</c:v>
                </c:pt>
                <c:pt idx="148">
                  <c:v>2163</c:v>
                </c:pt>
                <c:pt idx="149">
                  <c:v>2164</c:v>
                </c:pt>
              </c:numCache>
            </c:numRef>
          </c:xVal>
          <c:yVal>
            <c:numRef>
              <c:f>'MCMC Projection'!$B$57:$EU$57</c:f>
              <c:numCache>
                <c:formatCode>General</c:formatCode>
                <c:ptCount val="150"/>
                <c:pt idx="0">
                  <c:v>1295.5486092088213</c:v>
                </c:pt>
                <c:pt idx="1">
                  <c:v>1340.6225549092651</c:v>
                </c:pt>
                <c:pt idx="2">
                  <c:v>1364.5072343649522</c:v>
                </c:pt>
                <c:pt idx="3">
                  <c:v>1381.5146713197455</c:v>
                </c:pt>
                <c:pt idx="4">
                  <c:v>1398.2694073436071</c:v>
                </c:pt>
                <c:pt idx="5">
                  <c:v>1417.5019545164366</c:v>
                </c:pt>
                <c:pt idx="6">
                  <c:v>1440.0194465341738</c:v>
                </c:pt>
                <c:pt idx="7">
                  <c:v>1465.7235266892035</c:v>
                </c:pt>
                <c:pt idx="8">
                  <c:v>1494.1301124886782</c:v>
                </c:pt>
                <c:pt idx="9">
                  <c:v>1524.6291705525812</c:v>
                </c:pt>
                <c:pt idx="10">
                  <c:v>1556.6094381041485</c:v>
                </c:pt>
                <c:pt idx="11">
                  <c:v>1589.5136724326223</c:v>
                </c:pt>
                <c:pt idx="12">
                  <c:v>1622.8588102055423</c:v>
                </c:pt>
                <c:pt idx="13">
                  <c:v>1656.238989474105</c:v>
                </c:pt>
                <c:pt idx="14">
                  <c:v>1689.320729800934</c:v>
                </c:pt>
                <c:pt idx="15">
                  <c:v>1721.8350080271048</c:v>
                </c:pt>
                <c:pt idx="16">
                  <c:v>1753.5685758178793</c:v>
                </c:pt>
                <c:pt idx="17">
                  <c:v>1784.3556197285966</c:v>
                </c:pt>
                <c:pt idx="18">
                  <c:v>1814.070224892755</c:v>
                </c:pt>
                <c:pt idx="19">
                  <c:v>1842.6197830380245</c:v>
                </c:pt>
                <c:pt idx="20">
                  <c:v>1869.9393322761771</c:v>
                </c:pt>
                <c:pt idx="21">
                  <c:v>1895.9867492765907</c:v>
                </c:pt>
                <c:pt idx="22">
                  <c:v>1920.7386913035609</c:v>
                </c:pt>
                <c:pt idx="23">
                  <c:v>1944.1871837022732</c:v>
                </c:pt>
                <c:pt idx="24">
                  <c:v>1966.3367560658514</c:v>
                </c:pt>
                <c:pt idx="25">
                  <c:v>1987.2020415443701</c:v>
                </c:pt>
                <c:pt idx="26">
                  <c:v>2006.8057656317751</c:v>
                </c:pt>
                <c:pt idx="27">
                  <c:v>2025.1770619379186</c:v>
                </c:pt>
                <c:pt idx="28">
                  <c:v>2042.3500623837174</c:v>
                </c:pt>
                <c:pt idx="29">
                  <c:v>2058.362717816226</c:v>
                </c:pt>
                <c:pt idx="30">
                  <c:v>2073.2558122856426</c:v>
                </c:pt>
                <c:pt idx="31">
                  <c:v>2087.0721402953518</c:v>
                </c:pt>
                <c:pt idx="32">
                  <c:v>2099.8558213894844</c:v>
                </c:pt>
                <c:pt idx="33">
                  <c:v>2111.6517306368951</c:v>
                </c:pt>
                <c:pt idx="34">
                  <c:v>2122.5050270475781</c:v>
                </c:pt>
                <c:pt idx="35">
                  <c:v>2132.4607648401293</c:v>
                </c:pt>
                <c:pt idx="36">
                  <c:v>2141.5635748707718</c:v>
                </c:pt>
                <c:pt idx="37">
                  <c:v>2149.8574055223171</c:v>
                </c:pt>
                <c:pt idx="38">
                  <c:v>2157.3853140067772</c:v>
                </c:pt>
                <c:pt idx="39">
                  <c:v>2164.189300417012</c:v>
                </c:pt>
                <c:pt idx="40">
                  <c:v>2170.3101780189604</c:v>
                </c:pt>
                <c:pt idx="41">
                  <c:v>2175.7874742461008</c:v>
                </c:pt>
                <c:pt idx="42">
                  <c:v>2180.659357674012</c:v>
                </c:pt>
                <c:pt idx="43">
                  <c:v>2184.9625869416609</c:v>
                </c:pt>
                <c:pt idx="44">
                  <c:v>2188.7324781688558</c:v>
                </c:pt>
                <c:pt idx="45">
                  <c:v>2192.0028879138958</c:v>
                </c:pt>
                <c:pt idx="46">
                  <c:v>2194.8062091363181</c:v>
                </c:pt>
                <c:pt idx="47">
                  <c:v>2197.1733779887454</c:v>
                </c:pt>
                <c:pt idx="48">
                  <c:v>2199.1338895690205</c:v>
                </c:pt>
                <c:pt idx="49">
                  <c:v>2200.7158210272132</c:v>
                </c:pt>
                <c:pt idx="50">
                  <c:v>2201.9458606484695</c:v>
                </c:pt>
                <c:pt idx="51">
                  <c:v>2202.849341727619</c:v>
                </c:pt>
                <c:pt idx="52">
                  <c:v>2203.4502802196757</c:v>
                </c:pt>
                <c:pt idx="53">
                  <c:v>2203.7714152957378</c:v>
                </c:pt>
                <c:pt idx="54">
                  <c:v>2203.8342520596266</c:v>
                </c:pt>
                <c:pt idx="55">
                  <c:v>2203.6591057896353</c:v>
                </c:pt>
                <c:pt idx="56">
                  <c:v>2203.2651471643353</c:v>
                </c:pt>
                <c:pt idx="57">
                  <c:v>2202.6704480134863</c:v>
                </c:pt>
                <c:pt idx="58">
                  <c:v>2201.8920272063879</c:v>
                </c:pt>
                <c:pt idx="59">
                  <c:v>2200.9458963519414</c:v>
                </c:pt>
                <c:pt idx="60">
                  <c:v>2199.8471050384733</c:v>
                </c:pt>
                <c:pt idx="61">
                  <c:v>2198.6097853880715</c:v>
                </c:pt>
                <c:pt idx="62">
                  <c:v>2197.2471957407101</c:v>
                </c:pt>
                <c:pt idx="63">
                  <c:v>2195.7717633185575</c:v>
                </c:pt>
                <c:pt idx="64">
                  <c:v>2194.195125751271</c:v>
                </c:pt>
                <c:pt idx="65">
                  <c:v>2192.5281713693644</c:v>
                </c:pt>
                <c:pt idx="66">
                  <c:v>2190.7810781953958</c:v>
                </c:pt>
                <c:pt idx="67">
                  <c:v>2188.9633515822252</c:v>
                </c:pt>
                <c:pt idx="68">
                  <c:v>2187.0838604643159</c:v>
                </c:pt>
                <c:pt idx="69">
                  <c:v>2185.1508722023427</c:v>
                </c:pt>
                <c:pt idx="70">
                  <c:v>2183.1720860135351</c:v>
                </c:pt>
                <c:pt idx="71">
                  <c:v>2181.1546649904753</c:v>
                </c:pt>
                <c:pt idx="72">
                  <c:v>2179.1052667197337</c:v>
                </c:pt>
                <c:pt idx="73">
                  <c:v>2177.0300725189486</c:v>
                </c:pt>
                <c:pt idx="74">
                  <c:v>2174.9348153169499</c:v>
                </c:pt>
                <c:pt idx="75">
                  <c:v>2172.824806206404</c:v>
                </c:pt>
                <c:pt idx="76">
                  <c:v>2170.7049597024088</c:v>
                </c:pt>
                <c:pt idx="77">
                  <c:v>2168.5798177435822</c:v>
                </c:pt>
                <c:pt idx="78">
                  <c:v>2166.4535724745838</c:v>
                </c:pt>
                <c:pt idx="79">
                  <c:v>2164.3300878507962</c:v>
                </c:pt>
                <c:pt idx="80">
                  <c:v>2162.212920107133</c:v>
                </c:pt>
                <c:pt idx="81">
                  <c:v>2160.1053371337289</c:v>
                </c:pt>
                <c:pt idx="82">
                  <c:v>2158.0103368016657</c:v>
                </c:pt>
                <c:pt idx="83">
                  <c:v>2155.9306642819402</c:v>
                </c:pt>
                <c:pt idx="84">
                  <c:v>2153.8688284006598</c:v>
                </c:pt>
                <c:pt idx="85">
                  <c:v>2151.8271170729922</c:v>
                </c:pt>
                <c:pt idx="86">
                  <c:v>2149.8076118577283</c:v>
                </c:pt>
                <c:pt idx="87">
                  <c:v>2147.8122016734987</c:v>
                </c:pt>
                <c:pt idx="88">
                  <c:v>2145.8425957167265</c:v>
                </c:pt>
                <c:pt idx="89">
                  <c:v>2143.900335620328</c:v>
                </c:pt>
                <c:pt idx="90">
                  <c:v>2141.9868068910346</c:v>
                </c:pt>
                <c:pt idx="91">
                  <c:v>2140.103249661991</c:v>
                </c:pt>
                <c:pt idx="92">
                  <c:v>2138.250768796026</c:v>
                </c:pt>
                <c:pt idx="93">
                  <c:v>2136.4303433737068</c:v>
                </c:pt>
                <c:pt idx="94">
                  <c:v>2134.642835598981</c:v>
                </c:pt>
                <c:pt idx="95">
                  <c:v>2132.888999153889</c:v>
                </c:pt>
                <c:pt idx="96">
                  <c:v>2131.1694870325227</c:v>
                </c:pt>
                <c:pt idx="97">
                  <c:v>2129.4848588831051</c:v>
                </c:pt>
                <c:pt idx="98">
                  <c:v>2127.8355878857706</c:v>
                </c:pt>
                <c:pt idx="99">
                  <c:v>2126.2220671923751</c:v>
                </c:pt>
                <c:pt idx="100">
                  <c:v>2124.6446159534139</c:v>
                </c:pt>
                <c:pt idx="101">
                  <c:v>2123.1034849559323</c:v>
                </c:pt>
                <c:pt idx="102">
                  <c:v>2121.5988618951314</c:v>
                </c:pt>
                <c:pt idx="103">
                  <c:v>2120.1308763012385</c:v>
                </c:pt>
                <c:pt idx="104">
                  <c:v>2118.6996041421121</c:v>
                </c:pt>
                <c:pt idx="105">
                  <c:v>2117.3050721209875</c:v>
                </c:pt>
                <c:pt idx="106">
                  <c:v>2115.9472616877488</c:v>
                </c:pt>
                <c:pt idx="107">
                  <c:v>2114.626112781134</c:v>
                </c:pt>
                <c:pt idx="108">
                  <c:v>2113.3415273183314</c:v>
                </c:pt>
                <c:pt idx="109">
                  <c:v>2112.0933724475281</c:v>
                </c:pt>
                <c:pt idx="110">
                  <c:v>2110.8814835781095</c:v>
                </c:pt>
                <c:pt idx="111">
                  <c:v>2109.7056672023778</c:v>
                </c:pt>
                <c:pt idx="112">
                  <c:v>2108.565703521881</c:v>
                </c:pt>
                <c:pt idx="113">
                  <c:v>2107.4613488906857</c:v>
                </c:pt>
                <c:pt idx="114">
                  <c:v>2106.3923380872211</c:v>
                </c:pt>
                <c:pt idx="115">
                  <c:v>2105.3583864256416</c:v>
                </c:pt>
                <c:pt idx="116">
                  <c:v>2104.3591917170111</c:v>
                </c:pt>
                <c:pt idx="117">
                  <c:v>2103.3944360900045</c:v>
                </c:pt>
                <c:pt idx="118">
                  <c:v>2102.4637876802426</c:v>
                </c:pt>
                <c:pt idx="119">
                  <c:v>2101.5669021968238</c:v>
                </c:pt>
                <c:pt idx="120">
                  <c:v>2100.7034243741073</c:v>
                </c:pt>
                <c:pt idx="121">
                  <c:v>2099.8729893163013</c:v>
                </c:pt>
                <c:pt idx="122">
                  <c:v>2099.0752237419533</c:v>
                </c:pt>
                <c:pt idx="123">
                  <c:v>2098.3097471350002</c:v>
                </c:pt>
                <c:pt idx="124">
                  <c:v>2097.5761728086209</c:v>
                </c:pt>
                <c:pt idx="125">
                  <c:v>2096.8741088877459</c:v>
                </c:pt>
                <c:pt idx="126">
                  <c:v>2096.2031592157118</c:v>
                </c:pt>
                <c:pt idx="127">
                  <c:v>2095.5629241901984</c:v>
                </c:pt>
                <c:pt idx="128">
                  <c:v>2094.9530015332698</c:v>
                </c:pt>
                <c:pt idx="129">
                  <c:v>2094.3729870000175</c:v>
                </c:pt>
                <c:pt idx="130">
                  <c:v>2093.8224750300342</c:v>
                </c:pt>
                <c:pt idx="131">
                  <c:v>2093.3010593456615</c:v>
                </c:pt>
                <c:pt idx="132">
                  <c:v>2092.8083335007041</c:v>
                </c:pt>
                <c:pt idx="133">
                  <c:v>2092.343891383066</c:v>
                </c:pt>
                <c:pt idx="134">
                  <c:v>2091.9073276745344</c:v>
                </c:pt>
                <c:pt idx="135">
                  <c:v>2091.4982382707308</c:v>
                </c:pt>
                <c:pt idx="136">
                  <c:v>2091.1162206640438</c:v>
                </c:pt>
                <c:pt idx="137">
                  <c:v>2090.7608742921807</c:v>
                </c:pt>
                <c:pt idx="138">
                  <c:v>2090.4318008547943</c:v>
                </c:pt>
                <c:pt idx="139">
                  <c:v>2090.128604600477</c:v>
                </c:pt>
                <c:pt idx="140">
                  <c:v>2089.8508925862693</c:v>
                </c:pt>
                <c:pt idx="141">
                  <c:v>2089.5982749116743</c:v>
                </c:pt>
                <c:pt idx="142">
                  <c:v>2089.3703649290478</c:v>
                </c:pt>
                <c:pt idx="143">
                  <c:v>2089.1667794320983</c:v>
                </c:pt>
                <c:pt idx="144">
                  <c:v>2088.9871388241186</c:v>
                </c:pt>
                <c:pt idx="145">
                  <c:v>2088.831067267457</c:v>
                </c:pt>
                <c:pt idx="146">
                  <c:v>2088.6981928156392</c:v>
                </c:pt>
                <c:pt idx="147">
                  <c:v>2088.5881475294464</c:v>
                </c:pt>
                <c:pt idx="148">
                  <c:v>2088.5005675781745</c:v>
                </c:pt>
                <c:pt idx="149">
                  <c:v>2088.4350933272099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F44-4B51-A7DC-3F67F6C05E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0862608"/>
        <c:axId val="710863168"/>
      </c:scatterChart>
      <c:valAx>
        <c:axId val="7108626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710863168"/>
        <c:crosses val="autoZero"/>
        <c:crossBetween val="midCat"/>
      </c:valAx>
      <c:valAx>
        <c:axId val="7108631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Carbon</a:t>
                </a:r>
                <a:r>
                  <a:rPr lang="en-US" baseline="0"/>
                  <a:t> Conentration (gigatons)</a:t>
                </a:r>
                <a:endParaRPr lang="en-US"/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71086260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" l="0.75" r="0.7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Fossil Fuel Consumption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No Human Impact</c:v>
          </c:tx>
          <c:spPr>
            <a:ln w="47625">
              <a:noFill/>
            </a:ln>
          </c:spPr>
          <c:xVal>
            <c:numRef>
              <c:f>'MCMC Projection'!$B$21:$EU$21</c:f>
              <c:numCache>
                <c:formatCode>General</c:formatCode>
                <c:ptCount val="150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  <c:pt idx="36">
                  <c:v>2051</c:v>
                </c:pt>
                <c:pt idx="37">
                  <c:v>2052</c:v>
                </c:pt>
                <c:pt idx="38">
                  <c:v>2053</c:v>
                </c:pt>
                <c:pt idx="39">
                  <c:v>2054</c:v>
                </c:pt>
                <c:pt idx="40">
                  <c:v>2055</c:v>
                </c:pt>
                <c:pt idx="41">
                  <c:v>2056</c:v>
                </c:pt>
                <c:pt idx="42">
                  <c:v>2057</c:v>
                </c:pt>
                <c:pt idx="43">
                  <c:v>2058</c:v>
                </c:pt>
                <c:pt idx="44">
                  <c:v>2059</c:v>
                </c:pt>
                <c:pt idx="45">
                  <c:v>2060</c:v>
                </c:pt>
                <c:pt idx="46">
                  <c:v>2061</c:v>
                </c:pt>
                <c:pt idx="47">
                  <c:v>2062</c:v>
                </c:pt>
                <c:pt idx="48">
                  <c:v>2063</c:v>
                </c:pt>
                <c:pt idx="49">
                  <c:v>2064</c:v>
                </c:pt>
                <c:pt idx="50">
                  <c:v>2065</c:v>
                </c:pt>
                <c:pt idx="51">
                  <c:v>2066</c:v>
                </c:pt>
                <c:pt idx="52">
                  <c:v>2067</c:v>
                </c:pt>
                <c:pt idx="53">
                  <c:v>2068</c:v>
                </c:pt>
                <c:pt idx="54">
                  <c:v>2069</c:v>
                </c:pt>
                <c:pt idx="55">
                  <c:v>2070</c:v>
                </c:pt>
                <c:pt idx="56">
                  <c:v>2071</c:v>
                </c:pt>
                <c:pt idx="57">
                  <c:v>2072</c:v>
                </c:pt>
                <c:pt idx="58">
                  <c:v>2073</c:v>
                </c:pt>
                <c:pt idx="59">
                  <c:v>2074</c:v>
                </c:pt>
                <c:pt idx="60">
                  <c:v>2075</c:v>
                </c:pt>
                <c:pt idx="61">
                  <c:v>2076</c:v>
                </c:pt>
                <c:pt idx="62">
                  <c:v>2077</c:v>
                </c:pt>
                <c:pt idx="63">
                  <c:v>2078</c:v>
                </c:pt>
                <c:pt idx="64">
                  <c:v>2079</c:v>
                </c:pt>
                <c:pt idx="65">
                  <c:v>2080</c:v>
                </c:pt>
                <c:pt idx="66">
                  <c:v>2081</c:v>
                </c:pt>
                <c:pt idx="67">
                  <c:v>2082</c:v>
                </c:pt>
                <c:pt idx="68">
                  <c:v>2083</c:v>
                </c:pt>
                <c:pt idx="69">
                  <c:v>2084</c:v>
                </c:pt>
                <c:pt idx="70">
                  <c:v>2085</c:v>
                </c:pt>
                <c:pt idx="71">
                  <c:v>2086</c:v>
                </c:pt>
                <c:pt idx="72">
                  <c:v>2087</c:v>
                </c:pt>
                <c:pt idx="73">
                  <c:v>2088</c:v>
                </c:pt>
                <c:pt idx="74">
                  <c:v>2089</c:v>
                </c:pt>
                <c:pt idx="75">
                  <c:v>2090</c:v>
                </c:pt>
                <c:pt idx="76">
                  <c:v>2091</c:v>
                </c:pt>
                <c:pt idx="77">
                  <c:v>2092</c:v>
                </c:pt>
                <c:pt idx="78">
                  <c:v>2093</c:v>
                </c:pt>
                <c:pt idx="79">
                  <c:v>2094</c:v>
                </c:pt>
                <c:pt idx="80">
                  <c:v>2095</c:v>
                </c:pt>
                <c:pt idx="81">
                  <c:v>2096</c:v>
                </c:pt>
                <c:pt idx="82">
                  <c:v>2097</c:v>
                </c:pt>
                <c:pt idx="83">
                  <c:v>2098</c:v>
                </c:pt>
                <c:pt idx="84">
                  <c:v>2099</c:v>
                </c:pt>
                <c:pt idx="85">
                  <c:v>2100</c:v>
                </c:pt>
                <c:pt idx="86">
                  <c:v>2101</c:v>
                </c:pt>
                <c:pt idx="87">
                  <c:v>2102</c:v>
                </c:pt>
                <c:pt idx="88">
                  <c:v>2103</c:v>
                </c:pt>
                <c:pt idx="89">
                  <c:v>2104</c:v>
                </c:pt>
                <c:pt idx="90">
                  <c:v>2105</c:v>
                </c:pt>
                <c:pt idx="91">
                  <c:v>2106</c:v>
                </c:pt>
                <c:pt idx="92">
                  <c:v>2107</c:v>
                </c:pt>
                <c:pt idx="93">
                  <c:v>2108</c:v>
                </c:pt>
                <c:pt idx="94">
                  <c:v>2109</c:v>
                </c:pt>
                <c:pt idx="95">
                  <c:v>2110</c:v>
                </c:pt>
                <c:pt idx="96">
                  <c:v>2111</c:v>
                </c:pt>
                <c:pt idx="97">
                  <c:v>2112</c:v>
                </c:pt>
                <c:pt idx="98">
                  <c:v>2113</c:v>
                </c:pt>
                <c:pt idx="99">
                  <c:v>2114</c:v>
                </c:pt>
                <c:pt idx="100">
                  <c:v>2115</c:v>
                </c:pt>
                <c:pt idx="101">
                  <c:v>2116</c:v>
                </c:pt>
                <c:pt idx="102">
                  <c:v>2117</c:v>
                </c:pt>
                <c:pt idx="103">
                  <c:v>2118</c:v>
                </c:pt>
                <c:pt idx="104">
                  <c:v>2119</c:v>
                </c:pt>
                <c:pt idx="105">
                  <c:v>2120</c:v>
                </c:pt>
                <c:pt idx="106">
                  <c:v>2121</c:v>
                </c:pt>
                <c:pt idx="107">
                  <c:v>2122</c:v>
                </c:pt>
                <c:pt idx="108">
                  <c:v>2123</c:v>
                </c:pt>
                <c:pt idx="109">
                  <c:v>2124</c:v>
                </c:pt>
                <c:pt idx="110">
                  <c:v>2125</c:v>
                </c:pt>
                <c:pt idx="111">
                  <c:v>2126</c:v>
                </c:pt>
                <c:pt idx="112">
                  <c:v>2127</c:v>
                </c:pt>
                <c:pt idx="113">
                  <c:v>2128</c:v>
                </c:pt>
                <c:pt idx="114">
                  <c:v>2129</c:v>
                </c:pt>
                <c:pt idx="115">
                  <c:v>2130</c:v>
                </c:pt>
                <c:pt idx="116">
                  <c:v>2131</c:v>
                </c:pt>
                <c:pt idx="117">
                  <c:v>2132</c:v>
                </c:pt>
                <c:pt idx="118">
                  <c:v>2133</c:v>
                </c:pt>
                <c:pt idx="119">
                  <c:v>2134</c:v>
                </c:pt>
                <c:pt idx="120">
                  <c:v>2135</c:v>
                </c:pt>
                <c:pt idx="121">
                  <c:v>2136</c:v>
                </c:pt>
                <c:pt idx="122">
                  <c:v>2137</c:v>
                </c:pt>
                <c:pt idx="123">
                  <c:v>2138</c:v>
                </c:pt>
                <c:pt idx="124">
                  <c:v>2139</c:v>
                </c:pt>
                <c:pt idx="125">
                  <c:v>2140</c:v>
                </c:pt>
                <c:pt idx="126">
                  <c:v>2141</c:v>
                </c:pt>
                <c:pt idx="127">
                  <c:v>2142</c:v>
                </c:pt>
                <c:pt idx="128">
                  <c:v>2143</c:v>
                </c:pt>
                <c:pt idx="129">
                  <c:v>2144</c:v>
                </c:pt>
                <c:pt idx="130">
                  <c:v>2145</c:v>
                </c:pt>
                <c:pt idx="131">
                  <c:v>2146</c:v>
                </c:pt>
                <c:pt idx="132">
                  <c:v>2147</c:v>
                </c:pt>
                <c:pt idx="133">
                  <c:v>2148</c:v>
                </c:pt>
                <c:pt idx="134">
                  <c:v>2149</c:v>
                </c:pt>
                <c:pt idx="135">
                  <c:v>2150</c:v>
                </c:pt>
                <c:pt idx="136">
                  <c:v>2151</c:v>
                </c:pt>
                <c:pt idx="137">
                  <c:v>2152</c:v>
                </c:pt>
                <c:pt idx="138">
                  <c:v>2153</c:v>
                </c:pt>
                <c:pt idx="139">
                  <c:v>2154</c:v>
                </c:pt>
                <c:pt idx="140">
                  <c:v>2155</c:v>
                </c:pt>
                <c:pt idx="141">
                  <c:v>2156</c:v>
                </c:pt>
                <c:pt idx="142">
                  <c:v>2157</c:v>
                </c:pt>
                <c:pt idx="143">
                  <c:v>2158</c:v>
                </c:pt>
                <c:pt idx="144">
                  <c:v>2159</c:v>
                </c:pt>
                <c:pt idx="145">
                  <c:v>2160</c:v>
                </c:pt>
                <c:pt idx="146">
                  <c:v>2161</c:v>
                </c:pt>
                <c:pt idx="147">
                  <c:v>2162</c:v>
                </c:pt>
                <c:pt idx="148">
                  <c:v>2163</c:v>
                </c:pt>
                <c:pt idx="149">
                  <c:v>2164</c:v>
                </c:pt>
              </c:numCache>
            </c:numRef>
          </c:xVal>
          <c:yVal>
            <c:numRef>
              <c:f>'MCMC Projection'!$B$28:$EU$28</c:f>
              <c:numCache>
                <c:formatCode>General</c:formatCode>
                <c:ptCount val="150"/>
                <c:pt idx="0">
                  <c:v>4130.4821667244687</c:v>
                </c:pt>
                <c:pt idx="1">
                  <c:v>4130.964332576099</c:v>
                </c:pt>
                <c:pt idx="2">
                  <c:v>4131.4464977731222</c:v>
                </c:pt>
                <c:pt idx="3">
                  <c:v>4131.9286624740589</c:v>
                </c:pt>
                <c:pt idx="4">
                  <c:v>4132.4108267955771</c:v>
                </c:pt>
                <c:pt idx="5">
                  <c:v>4132.8929908244982</c:v>
                </c:pt>
                <c:pt idx="6">
                  <c:v>4133.3751546260373</c:v>
                </c:pt>
                <c:pt idx="7">
                  <c:v>4133.8573182495747</c:v>
                </c:pt>
                <c:pt idx="8">
                  <c:v>4134.3394817327562</c:v>
                </c:pt>
                <c:pt idx="9">
                  <c:v>4134.8216451044545</c:v>
                </c:pt>
                <c:pt idx="10">
                  <c:v>4135.3038083869324</c:v>
                </c:pt>
                <c:pt idx="11">
                  <c:v>4135.7859715974355</c:v>
                </c:pt>
                <c:pt idx="12">
                  <c:v>4136.2681347493844</c:v>
                </c:pt>
                <c:pt idx="13">
                  <c:v>4136.7502978532657</c:v>
                </c:pt>
                <c:pt idx="14">
                  <c:v>4137.2324609173038</c:v>
                </c:pt>
                <c:pt idx="15">
                  <c:v>4137.7146239479744</c:v>
                </c:pt>
                <c:pt idx="16">
                  <c:v>4138.1967869503951</c:v>
                </c:pt>
                <c:pt idx="17">
                  <c:v>4138.6789499286269</c:v>
                </c:pt>
                <c:pt idx="18">
                  <c:v>4139.161112885904</c:v>
                </c:pt>
                <c:pt idx="19">
                  <c:v>4139.6432758248138</c:v>
                </c:pt>
                <c:pt idx="20">
                  <c:v>4140.1254387474355</c:v>
                </c:pt>
                <c:pt idx="21">
                  <c:v>4140.6076016554462</c:v>
                </c:pt>
                <c:pt idx="22">
                  <c:v>4141.0897645502082</c:v>
                </c:pt>
                <c:pt idx="23">
                  <c:v>4141.571927432833</c:v>
                </c:pt>
                <c:pt idx="24">
                  <c:v>4142.0540903042338</c:v>
                </c:pt>
                <c:pt idx="25">
                  <c:v>4142.5362531651672</c:v>
                </c:pt>
                <c:pt idx="26">
                  <c:v>4143.0184160162635</c:v>
                </c:pt>
                <c:pt idx="27">
                  <c:v>4143.500578858052</c:v>
                </c:pt>
                <c:pt idx="28">
                  <c:v>4143.9827416909829</c:v>
                </c:pt>
                <c:pt idx="29">
                  <c:v>4144.464904515442</c:v>
                </c:pt>
                <c:pt idx="30">
                  <c:v>4144.9470673317601</c:v>
                </c:pt>
                <c:pt idx="31">
                  <c:v>4145.4292301402293</c:v>
                </c:pt>
                <c:pt idx="32">
                  <c:v>4145.911392941106</c:v>
                </c:pt>
                <c:pt idx="33">
                  <c:v>4146.3935557346185</c:v>
                </c:pt>
                <c:pt idx="34">
                  <c:v>4146.8757185209734</c:v>
                </c:pt>
                <c:pt idx="35">
                  <c:v>4147.3578813003569</c:v>
                </c:pt>
                <c:pt idx="36">
                  <c:v>4147.8400440729401</c:v>
                </c:pt>
                <c:pt idx="37">
                  <c:v>4148.3222068388814</c:v>
                </c:pt>
                <c:pt idx="38">
                  <c:v>4148.804369598327</c:v>
                </c:pt>
                <c:pt idx="39">
                  <c:v>4149.2865323514143</c:v>
                </c:pt>
                <c:pt idx="40">
                  <c:v>4149.7686950982734</c:v>
                </c:pt>
                <c:pt idx="41">
                  <c:v>4150.2508578390261</c:v>
                </c:pt>
                <c:pt idx="42">
                  <c:v>4150.733020573789</c:v>
                </c:pt>
                <c:pt idx="43">
                  <c:v>4151.2151833026728</c:v>
                </c:pt>
                <c:pt idx="44">
                  <c:v>4151.6973460257841</c:v>
                </c:pt>
                <c:pt idx="45">
                  <c:v>4152.1795087432238</c:v>
                </c:pt>
                <c:pt idx="46">
                  <c:v>4152.661671455091</c:v>
                </c:pt>
                <c:pt idx="47">
                  <c:v>4153.1438341614803</c:v>
                </c:pt>
                <c:pt idx="48">
                  <c:v>4153.6259968624809</c:v>
                </c:pt>
                <c:pt idx="49">
                  <c:v>4154.1081595581827</c:v>
                </c:pt>
                <c:pt idx="50">
                  <c:v>4154.5903222486704</c:v>
                </c:pt>
                <c:pt idx="51">
                  <c:v>4155.0724849340268</c:v>
                </c:pt>
                <c:pt idx="52">
                  <c:v>4155.5546476143318</c:v>
                </c:pt>
                <c:pt idx="53">
                  <c:v>4156.0368102896646</c:v>
                </c:pt>
                <c:pt idx="54">
                  <c:v>4156.5189729600988</c:v>
                </c:pt>
                <c:pt idx="55">
                  <c:v>4157.0011356257082</c:v>
                </c:pt>
                <c:pt idx="56">
                  <c:v>4157.4832982865646</c:v>
                </c:pt>
                <c:pt idx="57">
                  <c:v>4157.965460942738</c:v>
                </c:pt>
                <c:pt idx="58">
                  <c:v>4158.4476235942957</c:v>
                </c:pt>
                <c:pt idx="59">
                  <c:v>4158.9297862413032</c:v>
                </c:pt>
                <c:pt idx="60">
                  <c:v>4159.4119488838251</c:v>
                </c:pt>
                <c:pt idx="61">
                  <c:v>4159.8941115219232</c:v>
                </c:pt>
                <c:pt idx="62">
                  <c:v>4160.3762741556584</c:v>
                </c:pt>
                <c:pt idx="63">
                  <c:v>4160.8584367850899</c:v>
                </c:pt>
                <c:pt idx="64">
                  <c:v>4161.3405994102759</c:v>
                </c:pt>
                <c:pt idx="65">
                  <c:v>4161.8227620312728</c:v>
                </c:pt>
                <c:pt idx="66">
                  <c:v>4162.3049246481341</c:v>
                </c:pt>
                <c:pt idx="67">
                  <c:v>4162.7870872609155</c:v>
                </c:pt>
                <c:pt idx="68">
                  <c:v>4163.2692498696679</c:v>
                </c:pt>
                <c:pt idx="69">
                  <c:v>4163.7514124744421</c:v>
                </c:pt>
                <c:pt idx="70">
                  <c:v>4164.2335750752882</c:v>
                </c:pt>
                <c:pt idx="71">
                  <c:v>4164.7157376722553</c:v>
                </c:pt>
                <c:pt idx="72">
                  <c:v>4165.1979002653898</c:v>
                </c:pt>
                <c:pt idx="73">
                  <c:v>4165.680062854738</c:v>
                </c:pt>
                <c:pt idx="74">
                  <c:v>4166.1622254403455</c:v>
                </c:pt>
                <c:pt idx="75">
                  <c:v>4166.6443880222569</c:v>
                </c:pt>
                <c:pt idx="76">
                  <c:v>4167.1265506005138</c:v>
                </c:pt>
                <c:pt idx="77">
                  <c:v>4167.6087131751601</c:v>
                </c:pt>
                <c:pt idx="78">
                  <c:v>4168.0908757462348</c:v>
                </c:pt>
                <c:pt idx="79">
                  <c:v>4168.5730383137789</c:v>
                </c:pt>
                <c:pt idx="80">
                  <c:v>4169.0552008778322</c:v>
                </c:pt>
                <c:pt idx="81">
                  <c:v>4169.5373634384323</c:v>
                </c:pt>
                <c:pt idx="82">
                  <c:v>4170.0195259956172</c:v>
                </c:pt>
                <c:pt idx="83">
                  <c:v>4170.5016885494224</c:v>
                </c:pt>
                <c:pt idx="84">
                  <c:v>4170.9838510998852</c:v>
                </c:pt>
                <c:pt idx="85">
                  <c:v>4171.4660136470393</c:v>
                </c:pt>
                <c:pt idx="86">
                  <c:v>4171.9481761909192</c:v>
                </c:pt>
                <c:pt idx="87">
                  <c:v>4172.4303387315585</c:v>
                </c:pt>
                <c:pt idx="88">
                  <c:v>4172.9125012689892</c:v>
                </c:pt>
                <c:pt idx="89">
                  <c:v>4173.3946638032448</c:v>
                </c:pt>
                <c:pt idx="90">
                  <c:v>4173.8768263343554</c:v>
                </c:pt>
                <c:pt idx="91">
                  <c:v>4174.358988862351</c:v>
                </c:pt>
                <c:pt idx="92">
                  <c:v>4174.8411513872625</c:v>
                </c:pt>
                <c:pt idx="93">
                  <c:v>4175.323313909119</c:v>
                </c:pt>
                <c:pt idx="94">
                  <c:v>4175.8054764279495</c:v>
                </c:pt>
                <c:pt idx="95">
                  <c:v>4176.2876389437815</c:v>
                </c:pt>
                <c:pt idx="96">
                  <c:v>4176.7698014566422</c:v>
                </c:pt>
                <c:pt idx="97">
                  <c:v>4177.2519639665588</c:v>
                </c:pt>
                <c:pt idx="98">
                  <c:v>4177.7341264735578</c:v>
                </c:pt>
                <c:pt idx="99">
                  <c:v>4178.2162889776637</c:v>
                </c:pt>
                <c:pt idx="100">
                  <c:v>4178.6984514789019</c:v>
                </c:pt>
                <c:pt idx="101">
                  <c:v>4179.1806139772989</c:v>
                </c:pt>
                <c:pt idx="102">
                  <c:v>4179.6627764728764</c:v>
                </c:pt>
                <c:pt idx="103">
                  <c:v>4180.1449389656591</c:v>
                </c:pt>
                <c:pt idx="104">
                  <c:v>4180.6271014556696</c:v>
                </c:pt>
                <c:pt idx="105">
                  <c:v>4181.1092639429316</c:v>
                </c:pt>
                <c:pt idx="106">
                  <c:v>4181.5914264274661</c:v>
                </c:pt>
                <c:pt idx="107">
                  <c:v>4182.0735889092948</c:v>
                </c:pt>
                <c:pt idx="108">
                  <c:v>4182.5557513884396</c:v>
                </c:pt>
                <c:pt idx="109">
                  <c:v>4183.0379138649214</c:v>
                </c:pt>
                <c:pt idx="110">
                  <c:v>4183.5200763387602</c:v>
                </c:pt>
                <c:pt idx="111">
                  <c:v>4184.002238809976</c:v>
                </c:pt>
                <c:pt idx="112">
                  <c:v>4184.4844012785888</c:v>
                </c:pt>
                <c:pt idx="113">
                  <c:v>4184.9665637446169</c:v>
                </c:pt>
                <c:pt idx="114">
                  <c:v>4185.4487262080793</c:v>
                </c:pt>
                <c:pt idx="115">
                  <c:v>4185.9308886689942</c:v>
                </c:pt>
                <c:pt idx="116">
                  <c:v>4186.4130511273806</c:v>
                </c:pt>
                <c:pt idx="117">
                  <c:v>4186.895213583256</c:v>
                </c:pt>
                <c:pt idx="118">
                  <c:v>4187.3773760366357</c:v>
                </c:pt>
                <c:pt idx="119">
                  <c:v>4187.8595384875389</c:v>
                </c:pt>
                <c:pt idx="120">
                  <c:v>4188.341700935981</c:v>
                </c:pt>
                <c:pt idx="121">
                  <c:v>4188.8238633819792</c:v>
                </c:pt>
                <c:pt idx="122">
                  <c:v>4189.3060258255491</c:v>
                </c:pt>
                <c:pt idx="123">
                  <c:v>4189.7881882667061</c:v>
                </c:pt>
                <c:pt idx="124">
                  <c:v>4190.2703507054657</c:v>
                </c:pt>
                <c:pt idx="125">
                  <c:v>4190.7525131418424</c:v>
                </c:pt>
                <c:pt idx="126">
                  <c:v>4191.2346755758517</c:v>
                </c:pt>
                <c:pt idx="127">
                  <c:v>4191.7168380075072</c:v>
                </c:pt>
                <c:pt idx="128">
                  <c:v>4192.1990004368236</c:v>
                </c:pt>
                <c:pt idx="129">
                  <c:v>4192.6811628638152</c:v>
                </c:pt>
                <c:pt idx="130">
                  <c:v>4193.1633252884949</c:v>
                </c:pt>
                <c:pt idx="131">
                  <c:v>4193.6454877108763</c:v>
                </c:pt>
                <c:pt idx="132">
                  <c:v>4194.1276501309721</c:v>
                </c:pt>
                <c:pt idx="133">
                  <c:v>4194.6098125487961</c:v>
                </c:pt>
                <c:pt idx="134">
                  <c:v>4195.0919749643599</c:v>
                </c:pt>
                <c:pt idx="135">
                  <c:v>4195.5741373776755</c:v>
                </c:pt>
                <c:pt idx="136">
                  <c:v>4196.0562997887555</c:v>
                </c:pt>
                <c:pt idx="137">
                  <c:v>4196.5384621976118</c:v>
                </c:pt>
                <c:pt idx="138">
                  <c:v>4197.0206246042571</c:v>
                </c:pt>
                <c:pt idx="139">
                  <c:v>4197.5027870087015</c:v>
                </c:pt>
                <c:pt idx="140">
                  <c:v>4197.9849494109558</c:v>
                </c:pt>
                <c:pt idx="141">
                  <c:v>4198.4671118110318</c:v>
                </c:pt>
                <c:pt idx="142">
                  <c:v>4198.9492742089396</c:v>
                </c:pt>
                <c:pt idx="143">
                  <c:v>4199.431436604691</c:v>
                </c:pt>
                <c:pt idx="144">
                  <c:v>4199.9135989982951</c:v>
                </c:pt>
                <c:pt idx="145">
                  <c:v>4200.3957613897628</c:v>
                </c:pt>
                <c:pt idx="146">
                  <c:v>4200.8779237791041</c:v>
                </c:pt>
                <c:pt idx="147">
                  <c:v>4201.3600861663272</c:v>
                </c:pt>
                <c:pt idx="148">
                  <c:v>4201.8422485514429</c:v>
                </c:pt>
                <c:pt idx="149">
                  <c:v>4202.3244109344605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8C-472F-9F5E-AC72ED88D632}"/>
            </c:ext>
          </c:extLst>
        </c:ser>
        <c:ser>
          <c:idx val="1"/>
          <c:order val="1"/>
          <c:tx>
            <c:v>Human Impact</c:v>
          </c:tx>
          <c:spPr>
            <a:ln w="47625">
              <a:noFill/>
            </a:ln>
          </c:spPr>
          <c:xVal>
            <c:numRef>
              <c:f>'MCMC Projection'!$B$21:$EU$21</c:f>
              <c:numCache>
                <c:formatCode>General</c:formatCode>
                <c:ptCount val="150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  <c:pt idx="36">
                  <c:v>2051</c:v>
                </c:pt>
                <c:pt idx="37">
                  <c:v>2052</c:v>
                </c:pt>
                <c:pt idx="38">
                  <c:v>2053</c:v>
                </c:pt>
                <c:pt idx="39">
                  <c:v>2054</c:v>
                </c:pt>
                <c:pt idx="40">
                  <c:v>2055</c:v>
                </c:pt>
                <c:pt idx="41">
                  <c:v>2056</c:v>
                </c:pt>
                <c:pt idx="42">
                  <c:v>2057</c:v>
                </c:pt>
                <c:pt idx="43">
                  <c:v>2058</c:v>
                </c:pt>
                <c:pt idx="44">
                  <c:v>2059</c:v>
                </c:pt>
                <c:pt idx="45">
                  <c:v>2060</c:v>
                </c:pt>
                <c:pt idx="46">
                  <c:v>2061</c:v>
                </c:pt>
                <c:pt idx="47">
                  <c:v>2062</c:v>
                </c:pt>
                <c:pt idx="48">
                  <c:v>2063</c:v>
                </c:pt>
                <c:pt idx="49">
                  <c:v>2064</c:v>
                </c:pt>
                <c:pt idx="50">
                  <c:v>2065</c:v>
                </c:pt>
                <c:pt idx="51">
                  <c:v>2066</c:v>
                </c:pt>
                <c:pt idx="52">
                  <c:v>2067</c:v>
                </c:pt>
                <c:pt idx="53">
                  <c:v>2068</c:v>
                </c:pt>
                <c:pt idx="54">
                  <c:v>2069</c:v>
                </c:pt>
                <c:pt idx="55">
                  <c:v>2070</c:v>
                </c:pt>
                <c:pt idx="56">
                  <c:v>2071</c:v>
                </c:pt>
                <c:pt idx="57">
                  <c:v>2072</c:v>
                </c:pt>
                <c:pt idx="58">
                  <c:v>2073</c:v>
                </c:pt>
                <c:pt idx="59">
                  <c:v>2074</c:v>
                </c:pt>
                <c:pt idx="60">
                  <c:v>2075</c:v>
                </c:pt>
                <c:pt idx="61">
                  <c:v>2076</c:v>
                </c:pt>
                <c:pt idx="62">
                  <c:v>2077</c:v>
                </c:pt>
                <c:pt idx="63">
                  <c:v>2078</c:v>
                </c:pt>
                <c:pt idx="64">
                  <c:v>2079</c:v>
                </c:pt>
                <c:pt idx="65">
                  <c:v>2080</c:v>
                </c:pt>
                <c:pt idx="66">
                  <c:v>2081</c:v>
                </c:pt>
                <c:pt idx="67">
                  <c:v>2082</c:v>
                </c:pt>
                <c:pt idx="68">
                  <c:v>2083</c:v>
                </c:pt>
                <c:pt idx="69">
                  <c:v>2084</c:v>
                </c:pt>
                <c:pt idx="70">
                  <c:v>2085</c:v>
                </c:pt>
                <c:pt idx="71">
                  <c:v>2086</c:v>
                </c:pt>
                <c:pt idx="72">
                  <c:v>2087</c:v>
                </c:pt>
                <c:pt idx="73">
                  <c:v>2088</c:v>
                </c:pt>
                <c:pt idx="74">
                  <c:v>2089</c:v>
                </c:pt>
                <c:pt idx="75">
                  <c:v>2090</c:v>
                </c:pt>
                <c:pt idx="76">
                  <c:v>2091</c:v>
                </c:pt>
                <c:pt idx="77">
                  <c:v>2092</c:v>
                </c:pt>
                <c:pt idx="78">
                  <c:v>2093</c:v>
                </c:pt>
                <c:pt idx="79">
                  <c:v>2094</c:v>
                </c:pt>
                <c:pt idx="80">
                  <c:v>2095</c:v>
                </c:pt>
                <c:pt idx="81">
                  <c:v>2096</c:v>
                </c:pt>
                <c:pt idx="82">
                  <c:v>2097</c:v>
                </c:pt>
                <c:pt idx="83">
                  <c:v>2098</c:v>
                </c:pt>
                <c:pt idx="84">
                  <c:v>2099</c:v>
                </c:pt>
                <c:pt idx="85">
                  <c:v>2100</c:v>
                </c:pt>
                <c:pt idx="86">
                  <c:v>2101</c:v>
                </c:pt>
                <c:pt idx="87">
                  <c:v>2102</c:v>
                </c:pt>
                <c:pt idx="88">
                  <c:v>2103</c:v>
                </c:pt>
                <c:pt idx="89">
                  <c:v>2104</c:v>
                </c:pt>
                <c:pt idx="90">
                  <c:v>2105</c:v>
                </c:pt>
                <c:pt idx="91">
                  <c:v>2106</c:v>
                </c:pt>
                <c:pt idx="92">
                  <c:v>2107</c:v>
                </c:pt>
                <c:pt idx="93">
                  <c:v>2108</c:v>
                </c:pt>
                <c:pt idx="94">
                  <c:v>2109</c:v>
                </c:pt>
                <c:pt idx="95">
                  <c:v>2110</c:v>
                </c:pt>
                <c:pt idx="96">
                  <c:v>2111</c:v>
                </c:pt>
                <c:pt idx="97">
                  <c:v>2112</c:v>
                </c:pt>
                <c:pt idx="98">
                  <c:v>2113</c:v>
                </c:pt>
                <c:pt idx="99">
                  <c:v>2114</c:v>
                </c:pt>
                <c:pt idx="100">
                  <c:v>2115</c:v>
                </c:pt>
                <c:pt idx="101">
                  <c:v>2116</c:v>
                </c:pt>
                <c:pt idx="102">
                  <c:v>2117</c:v>
                </c:pt>
                <c:pt idx="103">
                  <c:v>2118</c:v>
                </c:pt>
                <c:pt idx="104">
                  <c:v>2119</c:v>
                </c:pt>
                <c:pt idx="105">
                  <c:v>2120</c:v>
                </c:pt>
                <c:pt idx="106">
                  <c:v>2121</c:v>
                </c:pt>
                <c:pt idx="107">
                  <c:v>2122</c:v>
                </c:pt>
                <c:pt idx="108">
                  <c:v>2123</c:v>
                </c:pt>
                <c:pt idx="109">
                  <c:v>2124</c:v>
                </c:pt>
                <c:pt idx="110">
                  <c:v>2125</c:v>
                </c:pt>
                <c:pt idx="111">
                  <c:v>2126</c:v>
                </c:pt>
                <c:pt idx="112">
                  <c:v>2127</c:v>
                </c:pt>
                <c:pt idx="113">
                  <c:v>2128</c:v>
                </c:pt>
                <c:pt idx="114">
                  <c:v>2129</c:v>
                </c:pt>
                <c:pt idx="115">
                  <c:v>2130</c:v>
                </c:pt>
                <c:pt idx="116">
                  <c:v>2131</c:v>
                </c:pt>
                <c:pt idx="117">
                  <c:v>2132</c:v>
                </c:pt>
                <c:pt idx="118">
                  <c:v>2133</c:v>
                </c:pt>
                <c:pt idx="119">
                  <c:v>2134</c:v>
                </c:pt>
                <c:pt idx="120">
                  <c:v>2135</c:v>
                </c:pt>
                <c:pt idx="121">
                  <c:v>2136</c:v>
                </c:pt>
                <c:pt idx="122">
                  <c:v>2137</c:v>
                </c:pt>
                <c:pt idx="123">
                  <c:v>2138</c:v>
                </c:pt>
                <c:pt idx="124">
                  <c:v>2139</c:v>
                </c:pt>
                <c:pt idx="125">
                  <c:v>2140</c:v>
                </c:pt>
                <c:pt idx="126">
                  <c:v>2141</c:v>
                </c:pt>
                <c:pt idx="127">
                  <c:v>2142</c:v>
                </c:pt>
                <c:pt idx="128">
                  <c:v>2143</c:v>
                </c:pt>
                <c:pt idx="129">
                  <c:v>2144</c:v>
                </c:pt>
                <c:pt idx="130">
                  <c:v>2145</c:v>
                </c:pt>
                <c:pt idx="131">
                  <c:v>2146</c:v>
                </c:pt>
                <c:pt idx="132">
                  <c:v>2147</c:v>
                </c:pt>
                <c:pt idx="133">
                  <c:v>2148</c:v>
                </c:pt>
                <c:pt idx="134">
                  <c:v>2149</c:v>
                </c:pt>
                <c:pt idx="135">
                  <c:v>2150</c:v>
                </c:pt>
                <c:pt idx="136">
                  <c:v>2151</c:v>
                </c:pt>
                <c:pt idx="137">
                  <c:v>2152</c:v>
                </c:pt>
                <c:pt idx="138">
                  <c:v>2153</c:v>
                </c:pt>
                <c:pt idx="139">
                  <c:v>2154</c:v>
                </c:pt>
                <c:pt idx="140">
                  <c:v>2155</c:v>
                </c:pt>
                <c:pt idx="141">
                  <c:v>2156</c:v>
                </c:pt>
                <c:pt idx="142">
                  <c:v>2157</c:v>
                </c:pt>
                <c:pt idx="143">
                  <c:v>2158</c:v>
                </c:pt>
                <c:pt idx="144">
                  <c:v>2159</c:v>
                </c:pt>
                <c:pt idx="145">
                  <c:v>2160</c:v>
                </c:pt>
                <c:pt idx="146">
                  <c:v>2161</c:v>
                </c:pt>
                <c:pt idx="147">
                  <c:v>2162</c:v>
                </c:pt>
                <c:pt idx="148">
                  <c:v>2163</c:v>
                </c:pt>
                <c:pt idx="149">
                  <c:v>2164</c:v>
                </c:pt>
              </c:numCache>
            </c:numRef>
          </c:xVal>
          <c:yVal>
            <c:numRef>
              <c:f>'MCMC Projection'!$B$55:$EU$55</c:f>
              <c:numCache>
                <c:formatCode>General</c:formatCode>
                <c:ptCount val="150"/>
                <c:pt idx="0">
                  <c:v>3860.9477960177078</c:v>
                </c:pt>
                <c:pt idx="1">
                  <c:v>3610.5587861878366</c:v>
                </c:pt>
                <c:pt idx="2">
                  <c:v>3377.3313515772793</c:v>
                </c:pt>
                <c:pt idx="3">
                  <c:v>3160.0037861971946</c:v>
                </c:pt>
                <c:pt idx="4">
                  <c:v>2957.4673617254603</c:v>
                </c:pt>
                <c:pt idx="5">
                  <c:v>2768.7196766318211</c:v>
                </c:pt>
                <c:pt idx="6">
                  <c:v>2592.839073584094</c:v>
                </c:pt>
                <c:pt idx="7">
                  <c:v>2428.9700928113261</c:v>
                </c:pt>
                <c:pt idx="8">
                  <c:v>2276.314716004917</c:v>
                </c:pt>
                <c:pt idx="9">
                  <c:v>2134.1266569465161</c:v>
                </c:pt>
                <c:pt idx="10">
                  <c:v>2001.707265109048</c:v>
                </c:pt>
                <c:pt idx="11">
                  <c:v>1878.4022954048462</c:v>
                </c:pt>
                <c:pt idx="12">
                  <c:v>1763.5991574447803</c:v>
                </c:pt>
                <c:pt idx="13">
                  <c:v>1656.7244461749522</c:v>
                </c:pt>
                <c:pt idx="14">
                  <c:v>1557.2416539321089</c:v>
                </c:pt>
                <c:pt idx="15">
                  <c:v>1464.6490146127621</c:v>
                </c:pt>
                <c:pt idx="16">
                  <c:v>1378.4774563562755</c:v>
                </c:pt>
                <c:pt idx="17">
                  <c:v>1298.28865181675</c:v>
                </c:pt>
                <c:pt idx="18">
                  <c:v>1223.6731610351308</c:v>
                </c:pt>
                <c:pt idx="19">
                  <c:v>1154.2486644376961</c:v>
                </c:pt>
                <c:pt idx="20">
                  <c:v>1089.6582843188621</c:v>
                </c:pt>
                <c:pt idx="21">
                  <c:v>1029.5689932181269</c:v>
                </c:pt>
                <c:pt idx="22">
                  <c:v>973.67010733377697</c:v>
                </c:pt>
                <c:pt idx="23">
                  <c:v>921.67186275765971</c:v>
                </c:pt>
                <c:pt idx="24">
                  <c:v>873.30407197232796</c:v>
                </c:pt>
                <c:pt idx="25">
                  <c:v>828.31485776816885</c:v>
                </c:pt>
                <c:pt idx="26">
                  <c:v>786.4694615266701</c:v>
                </c:pt>
                <c:pt idx="27">
                  <c:v>747.54912267488942</c:v>
                </c:pt>
                <c:pt idx="28">
                  <c:v>711.35002603740168</c:v>
                </c:pt>
                <c:pt idx="29">
                  <c:v>677.68231378542998</c:v>
                </c:pt>
                <c:pt idx="30">
                  <c:v>646.36915869850259</c:v>
                </c:pt>
                <c:pt idx="31">
                  <c:v>617.24589550276937</c:v>
                </c:pt>
                <c:pt idx="32">
                  <c:v>590.15920712424679</c:v>
                </c:pt>
                <c:pt idx="33">
                  <c:v>564.96636278824383</c:v>
                </c:pt>
                <c:pt idx="34">
                  <c:v>541.53450500271038</c:v>
                </c:pt>
                <c:pt idx="35">
                  <c:v>519.73998257894857</c:v>
                </c:pt>
                <c:pt idx="36">
                  <c:v>499.46772696460584</c:v>
                </c:pt>
                <c:pt idx="37">
                  <c:v>480.6106692884137</c:v>
                </c:pt>
                <c:pt idx="38">
                  <c:v>463.06919564164207</c:v>
                </c:pt>
                <c:pt idx="39">
                  <c:v>446.75063824605894</c:v>
                </c:pt>
                <c:pt idx="40">
                  <c:v>431.56880028108452</c:v>
                </c:pt>
                <c:pt idx="41">
                  <c:v>417.44351226286409</c:v>
                </c:pt>
                <c:pt idx="42">
                  <c:v>404.3002179844778</c:v>
                </c:pt>
                <c:pt idx="43">
                  <c:v>392.06958813896347</c:v>
                </c:pt>
                <c:pt idx="44">
                  <c:v>380.68715985493168</c:v>
                </c:pt>
                <c:pt idx="45">
                  <c:v>370.09300047808318</c:v>
                </c:pt>
                <c:pt idx="46">
                  <c:v>360.2313940308029</c:v>
                </c:pt>
                <c:pt idx="47">
                  <c:v>351.05054887615938</c:v>
                </c:pt>
                <c:pt idx="48">
                  <c:v>342.50232520211807</c:v>
                </c:pt>
                <c:pt idx="49">
                  <c:v>334.54198102664913</c:v>
                </c:pt>
                <c:pt idx="50">
                  <c:v>327.12793550477988</c:v>
                </c:pt>
                <c:pt idx="51">
                  <c:v>320.22154839464332</c:v>
                </c:pt>
                <c:pt idx="52">
                  <c:v>313.78691461134724</c:v>
                </c:pt>
                <c:pt idx="53">
                  <c:v>307.79067286520234</c:v>
                </c:pt>
                <c:pt idx="54">
                  <c:v>302.2018274446595</c:v>
                </c:pt>
                <c:pt idx="55">
                  <c:v>296.99158226439596</c:v>
                </c:pt>
                <c:pt idx="56">
                  <c:v>292.1331863555273</c:v>
                </c:pt>
                <c:pt idx="57">
                  <c:v>287.60179002807581</c:v>
                </c:pt>
                <c:pt idx="58">
                  <c:v>283.37431098577326</c:v>
                </c:pt>
                <c:pt idx="59">
                  <c:v>279.42930972017535</c:v>
                </c:pt>
                <c:pt idx="60">
                  <c:v>275.74687355508507</c:v>
                </c:pt>
                <c:pt idx="61">
                  <c:v>272.3085087535747</c:v>
                </c:pt>
                <c:pt idx="62">
                  <c:v>269.09704013861511</c:v>
                </c:pt>
                <c:pt idx="63">
                  <c:v>266.09651771460915</c:v>
                </c:pt>
                <c:pt idx="64">
                  <c:v>263.29212981112505</c:v>
                </c:pt>
                <c:pt idx="65">
                  <c:v>260.67012230196644</c:v>
                </c:pt>
                <c:pt idx="66">
                  <c:v>258.21772348252352</c:v>
                </c:pt>
                <c:pt idx="67">
                  <c:v>255.92307421625122</c:v>
                </c:pt>
                <c:pt idx="68">
                  <c:v>253.7751629872192</c:v>
                </c:pt>
                <c:pt idx="69">
                  <c:v>251.76376552009589</c:v>
                </c:pt>
                <c:pt idx="70">
                  <c:v>249.87938865175562</c:v>
                </c:pt>
                <c:pt idx="71">
                  <c:v>248.11321816004099</c:v>
                </c:pt>
                <c:pt idx="72">
                  <c:v>246.45707027515644</c:v>
                </c:pt>
                <c:pt idx="73">
                  <c:v>244.90334661780673</c:v>
                </c:pt>
                <c:pt idx="74">
                  <c:v>243.44499232560122</c:v>
                </c:pt>
                <c:pt idx="75">
                  <c:v>242.07545714550483</c:v>
                </c:pt>
                <c:pt idx="76">
                  <c:v>240.78865928529694</c:v>
                </c:pt>
                <c:pt idx="77">
                  <c:v>239.57895183117211</c:v>
                </c:pt>
                <c:pt idx="78">
                  <c:v>238.44109155184356</c:v>
                </c:pt>
                <c:pt idx="79">
                  <c:v>237.37020992185495</c:v>
                </c:pt>
                <c:pt idx="80">
                  <c:v>236.36178620832109</c:v>
                </c:pt>
                <c:pt idx="81">
                  <c:v>235.41162247606204</c:v>
                </c:pt>
                <c:pt idx="82">
                  <c:v>234.51582037611408</c:v>
                </c:pt>
                <c:pt idx="83">
                  <c:v>233.67075959194344</c:v>
                </c:pt>
                <c:pt idx="84">
                  <c:v>232.87307782640062</c:v>
                </c:pt>
                <c:pt idx="85">
                  <c:v>232.11965222057211</c:v>
                </c:pt>
                <c:pt idx="86">
                  <c:v>231.40758210325535</c:v>
                </c:pt>
                <c:pt idx="87">
                  <c:v>230.73417297683551</c:v>
                </c:pt>
                <c:pt idx="88">
                  <c:v>230.09692165191404</c:v>
                </c:pt>
                <c:pt idx="89">
                  <c:v>229.49350244916141</c:v>
                </c:pt>
                <c:pt idx="90">
                  <c:v>228.92175439256914</c:v>
                </c:pt>
                <c:pt idx="91">
                  <c:v>228.37966932358776</c:v>
                </c:pt>
                <c:pt idx="92">
                  <c:v>227.86538087058312</c:v>
                </c:pt>
                <c:pt idx="93">
                  <c:v>227.37715421264915</c:v>
                </c:pt>
                <c:pt idx="94">
                  <c:v>226.9133765811024</c:v>
                </c:pt>
                <c:pt idx="95">
                  <c:v>226.47254844597552</c:v>
                </c:pt>
                <c:pt idx="96">
                  <c:v>226.05327533854046</c:v>
                </c:pt>
                <c:pt idx="97">
                  <c:v>225.65426026435051</c:v>
                </c:pt>
                <c:pt idx="98">
                  <c:v>225.27429666450678</c:v>
                </c:pt>
                <c:pt idx="99">
                  <c:v>224.91226188584713</c:v>
                </c:pt>
                <c:pt idx="100">
                  <c:v>224.56711112354188</c:v>
                </c:pt>
                <c:pt idx="101">
                  <c:v>224.2378718021688</c:v>
                </c:pt>
                <c:pt idx="102">
                  <c:v>223.92363836375094</c:v>
                </c:pt>
                <c:pt idx="103">
                  <c:v>223.62356743348013</c:v>
                </c:pt>
                <c:pt idx="104">
                  <c:v>223.33687333593323</c:v>
                </c:pt>
                <c:pt idx="105">
                  <c:v>223.06282393652538</c:v>
                </c:pt>
                <c:pt idx="106">
                  <c:v>222.80073678474568</c:v>
                </c:pt>
                <c:pt idx="107">
                  <c:v>222.54997553739511</c:v>
                </c:pt>
                <c:pt idx="108">
                  <c:v>222.30994664160312</c:v>
                </c:pt>
                <c:pt idx="109">
                  <c:v>222.0800962588456</c:v>
                </c:pt>
                <c:pt idx="110">
                  <c:v>221.85990741253232</c:v>
                </c:pt>
                <c:pt idx="111">
                  <c:v>221.64889734297995</c:v>
                </c:pt>
                <c:pt idx="112">
                  <c:v>221.44661505474875</c:v>
                </c:pt>
                <c:pt idx="113">
                  <c:v>221.25263904239981</c:v>
                </c:pt>
                <c:pt idx="114">
                  <c:v>221.06657518173029</c:v>
                </c:pt>
                <c:pt idx="115">
                  <c:v>220.88805477447738</c:v>
                </c:pt>
                <c:pt idx="116">
                  <c:v>220.71673273534384</c:v>
                </c:pt>
                <c:pt idx="117">
                  <c:v>220.55228591100322</c:v>
                </c:pt>
                <c:pt idx="118">
                  <c:v>220.39441152148734</c:v>
                </c:pt>
                <c:pt idx="119">
                  <c:v>220.24282571505177</c:v>
                </c:pt>
                <c:pt idx="120">
                  <c:v>220.09726222825867</c:v>
                </c:pt>
                <c:pt idx="121">
                  <c:v>219.95747114361259</c:v>
                </c:pt>
                <c:pt idx="122">
                  <c:v>219.82321773763977</c:v>
                </c:pt>
                <c:pt idx="123">
                  <c:v>219.69428141281662</c:v>
                </c:pt>
                <c:pt idx="124">
                  <c:v>219.57045470723037</c:v>
                </c:pt>
                <c:pt idx="125">
                  <c:v>219.45154237629808</c:v>
                </c:pt>
                <c:pt idx="126">
                  <c:v>219.337360541283</c:v>
                </c:pt>
                <c:pt idx="127">
                  <c:v>219.22773589972823</c:v>
                </c:pt>
                <c:pt idx="128">
                  <c:v>219.12250499328272</c:v>
                </c:pt>
                <c:pt idx="129">
                  <c:v>219.02151352872357</c:v>
                </c:pt>
                <c:pt idx="130">
                  <c:v>218.92461574828411</c:v>
                </c:pt>
                <c:pt idx="131">
                  <c:v>218.83167384568003</c:v>
                </c:pt>
                <c:pt idx="132">
                  <c:v>218.74255742448923</c:v>
                </c:pt>
                <c:pt idx="133">
                  <c:v>218.6571429957844</c:v>
                </c:pt>
                <c:pt idx="134">
                  <c:v>218.57531351214405</c:v>
                </c:pt>
                <c:pt idx="135">
                  <c:v>218.49695793537688</c:v>
                </c:pt>
                <c:pt idx="136">
                  <c:v>218.42197083548962</c:v>
                </c:pt>
                <c:pt idx="137">
                  <c:v>218.35025201860856</c:v>
                </c:pt>
                <c:pt idx="138">
                  <c:v>218.28170618173269</c:v>
                </c:pt>
                <c:pt idx="139">
                  <c:v>218.21624259235153</c:v>
                </c:pt>
                <c:pt idx="140">
                  <c:v>218.1537747911043</c:v>
                </c:pt>
                <c:pt idx="141">
                  <c:v>218.09422031579143</c:v>
                </c:pt>
                <c:pt idx="142">
                  <c:v>218.03750044517267</c:v>
                </c:pt>
                <c:pt idx="143">
                  <c:v>217.98353996110049</c:v>
                </c:pt>
                <c:pt idx="144">
                  <c:v>217.93226692764478</c:v>
                </c:pt>
                <c:pt idx="145">
                  <c:v>217.88361248596283</c:v>
                </c:pt>
                <c:pt idx="146">
                  <c:v>217.83751066376018</c:v>
                </c:pt>
                <c:pt idx="147">
                  <c:v>217.79389819827284</c:v>
                </c:pt>
                <c:pt idx="148">
                  <c:v>217.75271437177975</c:v>
                </c:pt>
                <c:pt idx="149">
                  <c:v>217.71390085872761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18C-472F-9F5E-AC72ED88D6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0866528"/>
        <c:axId val="710867088"/>
      </c:scatterChart>
      <c:valAx>
        <c:axId val="7108665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(Years)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710867088"/>
        <c:crosses val="autoZero"/>
        <c:crossBetween val="midCat"/>
      </c:valAx>
      <c:valAx>
        <c:axId val="71086708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Fossil Fuel (Gigatons)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71086652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8</xdr:row>
      <xdr:rowOff>1</xdr:rowOff>
    </xdr:from>
    <xdr:to>
      <xdr:col>14</xdr:col>
      <xdr:colOff>0</xdr:colOff>
      <xdr:row>21</xdr:row>
      <xdr:rowOff>1</xdr:rowOff>
    </xdr:to>
    <xdr:graphicFrame macro="">
      <xdr:nvGraphicFramePr>
        <xdr:cNvPr id="2" name="EmpHis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8</xdr:row>
      <xdr:rowOff>1</xdr:rowOff>
    </xdr:from>
    <xdr:to>
      <xdr:col>14</xdr:col>
      <xdr:colOff>0</xdr:colOff>
      <xdr:row>21</xdr:row>
      <xdr:rowOff>1</xdr:rowOff>
    </xdr:to>
    <xdr:graphicFrame macro="">
      <xdr:nvGraphicFramePr>
        <xdr:cNvPr id="2" name="EmpHis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8</xdr:row>
      <xdr:rowOff>1</xdr:rowOff>
    </xdr:from>
    <xdr:to>
      <xdr:col>14</xdr:col>
      <xdr:colOff>0</xdr:colOff>
      <xdr:row>21</xdr:row>
      <xdr:rowOff>1</xdr:rowOff>
    </xdr:to>
    <xdr:graphicFrame macro="">
      <xdr:nvGraphicFramePr>
        <xdr:cNvPr id="2" name="EmpHis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8</xdr:row>
      <xdr:rowOff>1</xdr:rowOff>
    </xdr:from>
    <xdr:to>
      <xdr:col>14</xdr:col>
      <xdr:colOff>0</xdr:colOff>
      <xdr:row>21</xdr:row>
      <xdr:rowOff>1</xdr:rowOff>
    </xdr:to>
    <xdr:graphicFrame macro="">
      <xdr:nvGraphicFramePr>
        <xdr:cNvPr id="2" name="EmpHis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8</xdr:row>
      <xdr:rowOff>1</xdr:rowOff>
    </xdr:from>
    <xdr:to>
      <xdr:col>14</xdr:col>
      <xdr:colOff>0</xdr:colOff>
      <xdr:row>21</xdr:row>
      <xdr:rowOff>1</xdr:rowOff>
    </xdr:to>
    <xdr:graphicFrame macro="">
      <xdr:nvGraphicFramePr>
        <xdr:cNvPr id="2" name="EmpHis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8</xdr:row>
      <xdr:rowOff>1</xdr:rowOff>
    </xdr:from>
    <xdr:to>
      <xdr:col>14</xdr:col>
      <xdr:colOff>0</xdr:colOff>
      <xdr:row>21</xdr:row>
      <xdr:rowOff>1</xdr:rowOff>
    </xdr:to>
    <xdr:graphicFrame macro="">
      <xdr:nvGraphicFramePr>
        <xdr:cNvPr id="2" name="EmpHis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8</xdr:row>
      <xdr:rowOff>1</xdr:rowOff>
    </xdr:from>
    <xdr:to>
      <xdr:col>14</xdr:col>
      <xdr:colOff>0</xdr:colOff>
      <xdr:row>21</xdr:row>
      <xdr:rowOff>1</xdr:rowOff>
    </xdr:to>
    <xdr:graphicFrame macro="">
      <xdr:nvGraphicFramePr>
        <xdr:cNvPr id="2" name="EmpHis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8</xdr:row>
      <xdr:rowOff>1</xdr:rowOff>
    </xdr:from>
    <xdr:to>
      <xdr:col>14</xdr:col>
      <xdr:colOff>0</xdr:colOff>
      <xdr:row>21</xdr:row>
      <xdr:rowOff>1</xdr:rowOff>
    </xdr:to>
    <xdr:graphicFrame macro="">
      <xdr:nvGraphicFramePr>
        <xdr:cNvPr id="2" name="EmpHis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8</xdr:row>
      <xdr:rowOff>1</xdr:rowOff>
    </xdr:from>
    <xdr:to>
      <xdr:col>14</xdr:col>
      <xdr:colOff>0</xdr:colOff>
      <xdr:row>21</xdr:row>
      <xdr:rowOff>1</xdr:rowOff>
    </xdr:to>
    <xdr:graphicFrame macro="">
      <xdr:nvGraphicFramePr>
        <xdr:cNvPr id="2" name="EmpHis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8</xdr:row>
      <xdr:rowOff>1</xdr:rowOff>
    </xdr:from>
    <xdr:to>
      <xdr:col>14</xdr:col>
      <xdr:colOff>0</xdr:colOff>
      <xdr:row>21</xdr:row>
      <xdr:rowOff>1</xdr:rowOff>
    </xdr:to>
    <xdr:graphicFrame macro="">
      <xdr:nvGraphicFramePr>
        <xdr:cNvPr id="2" name="EmpHis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8</xdr:row>
      <xdr:rowOff>1</xdr:rowOff>
    </xdr:from>
    <xdr:to>
      <xdr:col>14</xdr:col>
      <xdr:colOff>0</xdr:colOff>
      <xdr:row>21</xdr:row>
      <xdr:rowOff>1</xdr:rowOff>
    </xdr:to>
    <xdr:graphicFrame macro="">
      <xdr:nvGraphicFramePr>
        <xdr:cNvPr id="2" name="EmpHis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8</xdr:row>
      <xdr:rowOff>1</xdr:rowOff>
    </xdr:from>
    <xdr:to>
      <xdr:col>14</xdr:col>
      <xdr:colOff>0</xdr:colOff>
      <xdr:row>21</xdr:row>
      <xdr:rowOff>1</xdr:rowOff>
    </xdr:to>
    <xdr:graphicFrame macro="">
      <xdr:nvGraphicFramePr>
        <xdr:cNvPr id="2" name="EmpHis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8</xdr:row>
      <xdr:rowOff>1</xdr:rowOff>
    </xdr:from>
    <xdr:to>
      <xdr:col>14</xdr:col>
      <xdr:colOff>0</xdr:colOff>
      <xdr:row>21</xdr:row>
      <xdr:rowOff>1</xdr:rowOff>
    </xdr:to>
    <xdr:graphicFrame macro="">
      <xdr:nvGraphicFramePr>
        <xdr:cNvPr id="2" name="EmpHis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8</xdr:row>
      <xdr:rowOff>1</xdr:rowOff>
    </xdr:from>
    <xdr:to>
      <xdr:col>14</xdr:col>
      <xdr:colOff>0</xdr:colOff>
      <xdr:row>21</xdr:row>
      <xdr:rowOff>1</xdr:rowOff>
    </xdr:to>
    <xdr:graphicFrame macro="">
      <xdr:nvGraphicFramePr>
        <xdr:cNvPr id="2" name="EmpHis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8</xdr:row>
      <xdr:rowOff>1</xdr:rowOff>
    </xdr:from>
    <xdr:to>
      <xdr:col>14</xdr:col>
      <xdr:colOff>0</xdr:colOff>
      <xdr:row>21</xdr:row>
      <xdr:rowOff>1</xdr:rowOff>
    </xdr:to>
    <xdr:graphicFrame macro="">
      <xdr:nvGraphicFramePr>
        <xdr:cNvPr id="2" name="EmpHis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136978</xdr:colOff>
      <xdr:row>31</xdr:row>
      <xdr:rowOff>152399</xdr:rowOff>
    </xdr:from>
    <xdr:to>
      <xdr:col>36</xdr:col>
      <xdr:colOff>416379</xdr:colOff>
      <xdr:row>56</xdr:row>
      <xdr:rowOff>165100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36</xdr:col>
      <xdr:colOff>625928</xdr:colOff>
      <xdr:row>31</xdr:row>
      <xdr:rowOff>176893</xdr:rowOff>
    </xdr:from>
    <xdr:to>
      <xdr:col>47</xdr:col>
      <xdr:colOff>74385</xdr:colOff>
      <xdr:row>56</xdr:row>
      <xdr:rowOff>150586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12700</xdr:colOff>
      <xdr:row>5</xdr:row>
      <xdr:rowOff>50800</xdr:rowOff>
    </xdr:from>
    <xdr:to>
      <xdr:col>36</xdr:col>
      <xdr:colOff>152400</xdr:colOff>
      <xdr:row>30</xdr:row>
      <xdr:rowOff>177800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N401"/>
  <sheetViews>
    <sheetView showGridLines="0" workbookViewId="0">
      <selection activeCell="E10" sqref="E10"/>
    </sheetView>
  </sheetViews>
  <sheetFormatPr defaultRowHeight="15.75" x14ac:dyDescent="0.25"/>
  <cols>
    <col min="1" max="1" width="8" style="22" customWidth="1"/>
    <col min="2" max="2" width="10.625" style="11" customWidth="1"/>
    <col min="3" max="3" width="10.625" style="12" customWidth="1"/>
    <col min="4" max="4" width="7.625" style="13" customWidth="1"/>
    <col min="5" max="5" width="7.625" style="14" customWidth="1"/>
    <col min="6" max="6" width="11.625" style="15" customWidth="1"/>
    <col min="7" max="7" width="9" style="14"/>
    <col min="8" max="8" width="6.625" style="14" customWidth="1"/>
    <col min="9" max="14" width="10.125" style="14" customWidth="1"/>
    <col min="15" max="17" width="9" style="14"/>
    <col min="18" max="19" width="9" style="13"/>
    <col min="20" max="20" width="14.25" style="13" customWidth="1"/>
    <col min="21" max="22" width="11.25" style="13" customWidth="1"/>
    <col min="23" max="54" width="9" style="13"/>
    <col min="55" max="256" width="9" style="14"/>
    <col min="257" max="257" width="8" style="14" customWidth="1"/>
    <col min="258" max="259" width="10.625" style="14" customWidth="1"/>
    <col min="260" max="261" width="7.625" style="14" customWidth="1"/>
    <col min="262" max="262" width="11.625" style="14" customWidth="1"/>
    <col min="263" max="263" width="9" style="14"/>
    <col min="264" max="264" width="6.625" style="14" customWidth="1"/>
    <col min="265" max="270" width="10.125" style="14" customWidth="1"/>
    <col min="271" max="275" width="9" style="14"/>
    <col min="276" max="276" width="14.25" style="14" customWidth="1"/>
    <col min="277" max="278" width="11.25" style="14" customWidth="1"/>
    <col min="279" max="512" width="9" style="14"/>
    <col min="513" max="513" width="8" style="14" customWidth="1"/>
    <col min="514" max="515" width="10.625" style="14" customWidth="1"/>
    <col min="516" max="517" width="7.625" style="14" customWidth="1"/>
    <col min="518" max="518" width="11.625" style="14" customWidth="1"/>
    <col min="519" max="519" width="9" style="14"/>
    <col min="520" max="520" width="6.625" style="14" customWidth="1"/>
    <col min="521" max="526" width="10.125" style="14" customWidth="1"/>
    <col min="527" max="531" width="9" style="14"/>
    <col min="532" max="532" width="14.25" style="14" customWidth="1"/>
    <col min="533" max="534" width="11.25" style="14" customWidth="1"/>
    <col min="535" max="768" width="9" style="14"/>
    <col min="769" max="769" width="8" style="14" customWidth="1"/>
    <col min="770" max="771" width="10.625" style="14" customWidth="1"/>
    <col min="772" max="773" width="7.625" style="14" customWidth="1"/>
    <col min="774" max="774" width="11.625" style="14" customWidth="1"/>
    <col min="775" max="775" width="9" style="14"/>
    <col min="776" max="776" width="6.625" style="14" customWidth="1"/>
    <col min="777" max="782" width="10.125" style="14" customWidth="1"/>
    <col min="783" max="787" width="9" style="14"/>
    <col min="788" max="788" width="14.25" style="14" customWidth="1"/>
    <col min="789" max="790" width="11.25" style="14" customWidth="1"/>
    <col min="791" max="1024" width="9" style="14"/>
    <col min="1025" max="1025" width="8" style="14" customWidth="1"/>
    <col min="1026" max="1027" width="10.625" style="14" customWidth="1"/>
    <col min="1028" max="1029" width="7.625" style="14" customWidth="1"/>
    <col min="1030" max="1030" width="11.625" style="14" customWidth="1"/>
    <col min="1031" max="1031" width="9" style="14"/>
    <col min="1032" max="1032" width="6.625" style="14" customWidth="1"/>
    <col min="1033" max="1038" width="10.125" style="14" customWidth="1"/>
    <col min="1039" max="1043" width="9" style="14"/>
    <col min="1044" max="1044" width="14.25" style="14" customWidth="1"/>
    <col min="1045" max="1046" width="11.25" style="14" customWidth="1"/>
    <col min="1047" max="1280" width="9" style="14"/>
    <col min="1281" max="1281" width="8" style="14" customWidth="1"/>
    <col min="1282" max="1283" width="10.625" style="14" customWidth="1"/>
    <col min="1284" max="1285" width="7.625" style="14" customWidth="1"/>
    <col min="1286" max="1286" width="11.625" style="14" customWidth="1"/>
    <col min="1287" max="1287" width="9" style="14"/>
    <col min="1288" max="1288" width="6.625" style="14" customWidth="1"/>
    <col min="1289" max="1294" width="10.125" style="14" customWidth="1"/>
    <col min="1295" max="1299" width="9" style="14"/>
    <col min="1300" max="1300" width="14.25" style="14" customWidth="1"/>
    <col min="1301" max="1302" width="11.25" style="14" customWidth="1"/>
    <col min="1303" max="1536" width="9" style="14"/>
    <col min="1537" max="1537" width="8" style="14" customWidth="1"/>
    <col min="1538" max="1539" width="10.625" style="14" customWidth="1"/>
    <col min="1540" max="1541" width="7.625" style="14" customWidth="1"/>
    <col min="1542" max="1542" width="11.625" style="14" customWidth="1"/>
    <col min="1543" max="1543" width="9" style="14"/>
    <col min="1544" max="1544" width="6.625" style="14" customWidth="1"/>
    <col min="1545" max="1550" width="10.125" style="14" customWidth="1"/>
    <col min="1551" max="1555" width="9" style="14"/>
    <col min="1556" max="1556" width="14.25" style="14" customWidth="1"/>
    <col min="1557" max="1558" width="11.25" style="14" customWidth="1"/>
    <col min="1559" max="1792" width="9" style="14"/>
    <col min="1793" max="1793" width="8" style="14" customWidth="1"/>
    <col min="1794" max="1795" width="10.625" style="14" customWidth="1"/>
    <col min="1796" max="1797" width="7.625" style="14" customWidth="1"/>
    <col min="1798" max="1798" width="11.625" style="14" customWidth="1"/>
    <col min="1799" max="1799" width="9" style="14"/>
    <col min="1800" max="1800" width="6.625" style="14" customWidth="1"/>
    <col min="1801" max="1806" width="10.125" style="14" customWidth="1"/>
    <col min="1807" max="1811" width="9" style="14"/>
    <col min="1812" max="1812" width="14.25" style="14" customWidth="1"/>
    <col min="1813" max="1814" width="11.25" style="14" customWidth="1"/>
    <col min="1815" max="2048" width="9" style="14"/>
    <col min="2049" max="2049" width="8" style="14" customWidth="1"/>
    <col min="2050" max="2051" width="10.625" style="14" customWidth="1"/>
    <col min="2052" max="2053" width="7.625" style="14" customWidth="1"/>
    <col min="2054" max="2054" width="11.625" style="14" customWidth="1"/>
    <col min="2055" max="2055" width="9" style="14"/>
    <col min="2056" max="2056" width="6.625" style="14" customWidth="1"/>
    <col min="2057" max="2062" width="10.125" style="14" customWidth="1"/>
    <col min="2063" max="2067" width="9" style="14"/>
    <col min="2068" max="2068" width="14.25" style="14" customWidth="1"/>
    <col min="2069" max="2070" width="11.25" style="14" customWidth="1"/>
    <col min="2071" max="2304" width="9" style="14"/>
    <col min="2305" max="2305" width="8" style="14" customWidth="1"/>
    <col min="2306" max="2307" width="10.625" style="14" customWidth="1"/>
    <col min="2308" max="2309" width="7.625" style="14" customWidth="1"/>
    <col min="2310" max="2310" width="11.625" style="14" customWidth="1"/>
    <col min="2311" max="2311" width="9" style="14"/>
    <col min="2312" max="2312" width="6.625" style="14" customWidth="1"/>
    <col min="2313" max="2318" width="10.125" style="14" customWidth="1"/>
    <col min="2319" max="2323" width="9" style="14"/>
    <col min="2324" max="2324" width="14.25" style="14" customWidth="1"/>
    <col min="2325" max="2326" width="11.25" style="14" customWidth="1"/>
    <col min="2327" max="2560" width="9" style="14"/>
    <col min="2561" max="2561" width="8" style="14" customWidth="1"/>
    <col min="2562" max="2563" width="10.625" style="14" customWidth="1"/>
    <col min="2564" max="2565" width="7.625" style="14" customWidth="1"/>
    <col min="2566" max="2566" width="11.625" style="14" customWidth="1"/>
    <col min="2567" max="2567" width="9" style="14"/>
    <col min="2568" max="2568" width="6.625" style="14" customWidth="1"/>
    <col min="2569" max="2574" width="10.125" style="14" customWidth="1"/>
    <col min="2575" max="2579" width="9" style="14"/>
    <col min="2580" max="2580" width="14.25" style="14" customWidth="1"/>
    <col min="2581" max="2582" width="11.25" style="14" customWidth="1"/>
    <col min="2583" max="2816" width="9" style="14"/>
    <col min="2817" max="2817" width="8" style="14" customWidth="1"/>
    <col min="2818" max="2819" width="10.625" style="14" customWidth="1"/>
    <col min="2820" max="2821" width="7.625" style="14" customWidth="1"/>
    <col min="2822" max="2822" width="11.625" style="14" customWidth="1"/>
    <col min="2823" max="2823" width="9" style="14"/>
    <col min="2824" max="2824" width="6.625" style="14" customWidth="1"/>
    <col min="2825" max="2830" width="10.125" style="14" customWidth="1"/>
    <col min="2831" max="2835" width="9" style="14"/>
    <col min="2836" max="2836" width="14.25" style="14" customWidth="1"/>
    <col min="2837" max="2838" width="11.25" style="14" customWidth="1"/>
    <col min="2839" max="3072" width="9" style="14"/>
    <col min="3073" max="3073" width="8" style="14" customWidth="1"/>
    <col min="3074" max="3075" width="10.625" style="14" customWidth="1"/>
    <col min="3076" max="3077" width="7.625" style="14" customWidth="1"/>
    <col min="3078" max="3078" width="11.625" style="14" customWidth="1"/>
    <col min="3079" max="3079" width="9" style="14"/>
    <col min="3080" max="3080" width="6.625" style="14" customWidth="1"/>
    <col min="3081" max="3086" width="10.125" style="14" customWidth="1"/>
    <col min="3087" max="3091" width="9" style="14"/>
    <col min="3092" max="3092" width="14.25" style="14" customWidth="1"/>
    <col min="3093" max="3094" width="11.25" style="14" customWidth="1"/>
    <col min="3095" max="3328" width="9" style="14"/>
    <col min="3329" max="3329" width="8" style="14" customWidth="1"/>
    <col min="3330" max="3331" width="10.625" style="14" customWidth="1"/>
    <col min="3332" max="3333" width="7.625" style="14" customWidth="1"/>
    <col min="3334" max="3334" width="11.625" style="14" customWidth="1"/>
    <col min="3335" max="3335" width="9" style="14"/>
    <col min="3336" max="3336" width="6.625" style="14" customWidth="1"/>
    <col min="3337" max="3342" width="10.125" style="14" customWidth="1"/>
    <col min="3343" max="3347" width="9" style="14"/>
    <col min="3348" max="3348" width="14.25" style="14" customWidth="1"/>
    <col min="3349" max="3350" width="11.25" style="14" customWidth="1"/>
    <col min="3351" max="3584" width="9" style="14"/>
    <col min="3585" max="3585" width="8" style="14" customWidth="1"/>
    <col min="3586" max="3587" width="10.625" style="14" customWidth="1"/>
    <col min="3588" max="3589" width="7.625" style="14" customWidth="1"/>
    <col min="3590" max="3590" width="11.625" style="14" customWidth="1"/>
    <col min="3591" max="3591" width="9" style="14"/>
    <col min="3592" max="3592" width="6.625" style="14" customWidth="1"/>
    <col min="3593" max="3598" width="10.125" style="14" customWidth="1"/>
    <col min="3599" max="3603" width="9" style="14"/>
    <col min="3604" max="3604" width="14.25" style="14" customWidth="1"/>
    <col min="3605" max="3606" width="11.25" style="14" customWidth="1"/>
    <col min="3607" max="3840" width="9" style="14"/>
    <col min="3841" max="3841" width="8" style="14" customWidth="1"/>
    <col min="3842" max="3843" width="10.625" style="14" customWidth="1"/>
    <col min="3844" max="3845" width="7.625" style="14" customWidth="1"/>
    <col min="3846" max="3846" width="11.625" style="14" customWidth="1"/>
    <col min="3847" max="3847" width="9" style="14"/>
    <col min="3848" max="3848" width="6.625" style="14" customWidth="1"/>
    <col min="3849" max="3854" width="10.125" style="14" customWidth="1"/>
    <col min="3855" max="3859" width="9" style="14"/>
    <col min="3860" max="3860" width="14.25" style="14" customWidth="1"/>
    <col min="3861" max="3862" width="11.25" style="14" customWidth="1"/>
    <col min="3863" max="4096" width="9" style="14"/>
    <col min="4097" max="4097" width="8" style="14" customWidth="1"/>
    <col min="4098" max="4099" width="10.625" style="14" customWidth="1"/>
    <col min="4100" max="4101" width="7.625" style="14" customWidth="1"/>
    <col min="4102" max="4102" width="11.625" style="14" customWidth="1"/>
    <col min="4103" max="4103" width="9" style="14"/>
    <col min="4104" max="4104" width="6.625" style="14" customWidth="1"/>
    <col min="4105" max="4110" width="10.125" style="14" customWidth="1"/>
    <col min="4111" max="4115" width="9" style="14"/>
    <col min="4116" max="4116" width="14.25" style="14" customWidth="1"/>
    <col min="4117" max="4118" width="11.25" style="14" customWidth="1"/>
    <col min="4119" max="4352" width="9" style="14"/>
    <col min="4353" max="4353" width="8" style="14" customWidth="1"/>
    <col min="4354" max="4355" width="10.625" style="14" customWidth="1"/>
    <col min="4356" max="4357" width="7.625" style="14" customWidth="1"/>
    <col min="4358" max="4358" width="11.625" style="14" customWidth="1"/>
    <col min="4359" max="4359" width="9" style="14"/>
    <col min="4360" max="4360" width="6.625" style="14" customWidth="1"/>
    <col min="4361" max="4366" width="10.125" style="14" customWidth="1"/>
    <col min="4367" max="4371" width="9" style="14"/>
    <col min="4372" max="4372" width="14.25" style="14" customWidth="1"/>
    <col min="4373" max="4374" width="11.25" style="14" customWidth="1"/>
    <col min="4375" max="4608" width="9" style="14"/>
    <col min="4609" max="4609" width="8" style="14" customWidth="1"/>
    <col min="4610" max="4611" width="10.625" style="14" customWidth="1"/>
    <col min="4612" max="4613" width="7.625" style="14" customWidth="1"/>
    <col min="4614" max="4614" width="11.625" style="14" customWidth="1"/>
    <col min="4615" max="4615" width="9" style="14"/>
    <col min="4616" max="4616" width="6.625" style="14" customWidth="1"/>
    <col min="4617" max="4622" width="10.125" style="14" customWidth="1"/>
    <col min="4623" max="4627" width="9" style="14"/>
    <col min="4628" max="4628" width="14.25" style="14" customWidth="1"/>
    <col min="4629" max="4630" width="11.25" style="14" customWidth="1"/>
    <col min="4631" max="4864" width="9" style="14"/>
    <col min="4865" max="4865" width="8" style="14" customWidth="1"/>
    <col min="4866" max="4867" width="10.625" style="14" customWidth="1"/>
    <col min="4868" max="4869" width="7.625" style="14" customWidth="1"/>
    <col min="4870" max="4870" width="11.625" style="14" customWidth="1"/>
    <col min="4871" max="4871" width="9" style="14"/>
    <col min="4872" max="4872" width="6.625" style="14" customWidth="1"/>
    <col min="4873" max="4878" width="10.125" style="14" customWidth="1"/>
    <col min="4879" max="4883" width="9" style="14"/>
    <col min="4884" max="4884" width="14.25" style="14" customWidth="1"/>
    <col min="4885" max="4886" width="11.25" style="14" customWidth="1"/>
    <col min="4887" max="5120" width="9" style="14"/>
    <col min="5121" max="5121" width="8" style="14" customWidth="1"/>
    <col min="5122" max="5123" width="10.625" style="14" customWidth="1"/>
    <col min="5124" max="5125" width="7.625" style="14" customWidth="1"/>
    <col min="5126" max="5126" width="11.625" style="14" customWidth="1"/>
    <col min="5127" max="5127" width="9" style="14"/>
    <col min="5128" max="5128" width="6.625" style="14" customWidth="1"/>
    <col min="5129" max="5134" width="10.125" style="14" customWidth="1"/>
    <col min="5135" max="5139" width="9" style="14"/>
    <col min="5140" max="5140" width="14.25" style="14" customWidth="1"/>
    <col min="5141" max="5142" width="11.25" style="14" customWidth="1"/>
    <col min="5143" max="5376" width="9" style="14"/>
    <col min="5377" max="5377" width="8" style="14" customWidth="1"/>
    <col min="5378" max="5379" width="10.625" style="14" customWidth="1"/>
    <col min="5380" max="5381" width="7.625" style="14" customWidth="1"/>
    <col min="5382" max="5382" width="11.625" style="14" customWidth="1"/>
    <col min="5383" max="5383" width="9" style="14"/>
    <col min="5384" max="5384" width="6.625" style="14" customWidth="1"/>
    <col min="5385" max="5390" width="10.125" style="14" customWidth="1"/>
    <col min="5391" max="5395" width="9" style="14"/>
    <col min="5396" max="5396" width="14.25" style="14" customWidth="1"/>
    <col min="5397" max="5398" width="11.25" style="14" customWidth="1"/>
    <col min="5399" max="5632" width="9" style="14"/>
    <col min="5633" max="5633" width="8" style="14" customWidth="1"/>
    <col min="5634" max="5635" width="10.625" style="14" customWidth="1"/>
    <col min="5636" max="5637" width="7.625" style="14" customWidth="1"/>
    <col min="5638" max="5638" width="11.625" style="14" customWidth="1"/>
    <col min="5639" max="5639" width="9" style="14"/>
    <col min="5640" max="5640" width="6.625" style="14" customWidth="1"/>
    <col min="5641" max="5646" width="10.125" style="14" customWidth="1"/>
    <col min="5647" max="5651" width="9" style="14"/>
    <col min="5652" max="5652" width="14.25" style="14" customWidth="1"/>
    <col min="5653" max="5654" width="11.25" style="14" customWidth="1"/>
    <col min="5655" max="5888" width="9" style="14"/>
    <col min="5889" max="5889" width="8" style="14" customWidth="1"/>
    <col min="5890" max="5891" width="10.625" style="14" customWidth="1"/>
    <col min="5892" max="5893" width="7.625" style="14" customWidth="1"/>
    <col min="5894" max="5894" width="11.625" style="14" customWidth="1"/>
    <col min="5895" max="5895" width="9" style="14"/>
    <col min="5896" max="5896" width="6.625" style="14" customWidth="1"/>
    <col min="5897" max="5902" width="10.125" style="14" customWidth="1"/>
    <col min="5903" max="5907" width="9" style="14"/>
    <col min="5908" max="5908" width="14.25" style="14" customWidth="1"/>
    <col min="5909" max="5910" width="11.25" style="14" customWidth="1"/>
    <col min="5911" max="6144" width="9" style="14"/>
    <col min="6145" max="6145" width="8" style="14" customWidth="1"/>
    <col min="6146" max="6147" width="10.625" style="14" customWidth="1"/>
    <col min="6148" max="6149" width="7.625" style="14" customWidth="1"/>
    <col min="6150" max="6150" width="11.625" style="14" customWidth="1"/>
    <col min="6151" max="6151" width="9" style="14"/>
    <col min="6152" max="6152" width="6.625" style="14" customWidth="1"/>
    <col min="6153" max="6158" width="10.125" style="14" customWidth="1"/>
    <col min="6159" max="6163" width="9" style="14"/>
    <col min="6164" max="6164" width="14.25" style="14" customWidth="1"/>
    <col min="6165" max="6166" width="11.25" style="14" customWidth="1"/>
    <col min="6167" max="6400" width="9" style="14"/>
    <col min="6401" max="6401" width="8" style="14" customWidth="1"/>
    <col min="6402" max="6403" width="10.625" style="14" customWidth="1"/>
    <col min="6404" max="6405" width="7.625" style="14" customWidth="1"/>
    <col min="6406" max="6406" width="11.625" style="14" customWidth="1"/>
    <col min="6407" max="6407" width="9" style="14"/>
    <col min="6408" max="6408" width="6.625" style="14" customWidth="1"/>
    <col min="6409" max="6414" width="10.125" style="14" customWidth="1"/>
    <col min="6415" max="6419" width="9" style="14"/>
    <col min="6420" max="6420" width="14.25" style="14" customWidth="1"/>
    <col min="6421" max="6422" width="11.25" style="14" customWidth="1"/>
    <col min="6423" max="6656" width="9" style="14"/>
    <col min="6657" max="6657" width="8" style="14" customWidth="1"/>
    <col min="6658" max="6659" width="10.625" style="14" customWidth="1"/>
    <col min="6660" max="6661" width="7.625" style="14" customWidth="1"/>
    <col min="6662" max="6662" width="11.625" style="14" customWidth="1"/>
    <col min="6663" max="6663" width="9" style="14"/>
    <col min="6664" max="6664" width="6.625" style="14" customWidth="1"/>
    <col min="6665" max="6670" width="10.125" style="14" customWidth="1"/>
    <col min="6671" max="6675" width="9" style="14"/>
    <col min="6676" max="6676" width="14.25" style="14" customWidth="1"/>
    <col min="6677" max="6678" width="11.25" style="14" customWidth="1"/>
    <col min="6679" max="6912" width="9" style="14"/>
    <col min="6913" max="6913" width="8" style="14" customWidth="1"/>
    <col min="6914" max="6915" width="10.625" style="14" customWidth="1"/>
    <col min="6916" max="6917" width="7.625" style="14" customWidth="1"/>
    <col min="6918" max="6918" width="11.625" style="14" customWidth="1"/>
    <col min="6919" max="6919" width="9" style="14"/>
    <col min="6920" max="6920" width="6.625" style="14" customWidth="1"/>
    <col min="6921" max="6926" width="10.125" style="14" customWidth="1"/>
    <col min="6927" max="6931" width="9" style="14"/>
    <col min="6932" max="6932" width="14.25" style="14" customWidth="1"/>
    <col min="6933" max="6934" width="11.25" style="14" customWidth="1"/>
    <col min="6935" max="7168" width="9" style="14"/>
    <col min="7169" max="7169" width="8" style="14" customWidth="1"/>
    <col min="7170" max="7171" width="10.625" style="14" customWidth="1"/>
    <col min="7172" max="7173" width="7.625" style="14" customWidth="1"/>
    <col min="7174" max="7174" width="11.625" style="14" customWidth="1"/>
    <col min="7175" max="7175" width="9" style="14"/>
    <col min="7176" max="7176" width="6.625" style="14" customWidth="1"/>
    <col min="7177" max="7182" width="10.125" style="14" customWidth="1"/>
    <col min="7183" max="7187" width="9" style="14"/>
    <col min="7188" max="7188" width="14.25" style="14" customWidth="1"/>
    <col min="7189" max="7190" width="11.25" style="14" customWidth="1"/>
    <col min="7191" max="7424" width="9" style="14"/>
    <col min="7425" max="7425" width="8" style="14" customWidth="1"/>
    <col min="7426" max="7427" width="10.625" style="14" customWidth="1"/>
    <col min="7428" max="7429" width="7.625" style="14" customWidth="1"/>
    <col min="7430" max="7430" width="11.625" style="14" customWidth="1"/>
    <col min="7431" max="7431" width="9" style="14"/>
    <col min="7432" max="7432" width="6.625" style="14" customWidth="1"/>
    <col min="7433" max="7438" width="10.125" style="14" customWidth="1"/>
    <col min="7439" max="7443" width="9" style="14"/>
    <col min="7444" max="7444" width="14.25" style="14" customWidth="1"/>
    <col min="7445" max="7446" width="11.25" style="14" customWidth="1"/>
    <col min="7447" max="7680" width="9" style="14"/>
    <col min="7681" max="7681" width="8" style="14" customWidth="1"/>
    <col min="7682" max="7683" width="10.625" style="14" customWidth="1"/>
    <col min="7684" max="7685" width="7.625" style="14" customWidth="1"/>
    <col min="7686" max="7686" width="11.625" style="14" customWidth="1"/>
    <col min="7687" max="7687" width="9" style="14"/>
    <col min="7688" max="7688" width="6.625" style="14" customWidth="1"/>
    <col min="7689" max="7694" width="10.125" style="14" customWidth="1"/>
    <col min="7695" max="7699" width="9" style="14"/>
    <col min="7700" max="7700" width="14.25" style="14" customWidth="1"/>
    <col min="7701" max="7702" width="11.25" style="14" customWidth="1"/>
    <col min="7703" max="7936" width="9" style="14"/>
    <col min="7937" max="7937" width="8" style="14" customWidth="1"/>
    <col min="7938" max="7939" width="10.625" style="14" customWidth="1"/>
    <col min="7940" max="7941" width="7.625" style="14" customWidth="1"/>
    <col min="7942" max="7942" width="11.625" style="14" customWidth="1"/>
    <col min="7943" max="7943" width="9" style="14"/>
    <col min="7944" max="7944" width="6.625" style="14" customWidth="1"/>
    <col min="7945" max="7950" width="10.125" style="14" customWidth="1"/>
    <col min="7951" max="7955" width="9" style="14"/>
    <col min="7956" max="7956" width="14.25" style="14" customWidth="1"/>
    <col min="7957" max="7958" width="11.25" style="14" customWidth="1"/>
    <col min="7959" max="8192" width="9" style="14"/>
    <col min="8193" max="8193" width="8" style="14" customWidth="1"/>
    <col min="8194" max="8195" width="10.625" style="14" customWidth="1"/>
    <col min="8196" max="8197" width="7.625" style="14" customWidth="1"/>
    <col min="8198" max="8198" width="11.625" style="14" customWidth="1"/>
    <col min="8199" max="8199" width="9" style="14"/>
    <col min="8200" max="8200" width="6.625" style="14" customWidth="1"/>
    <col min="8201" max="8206" width="10.125" style="14" customWidth="1"/>
    <col min="8207" max="8211" width="9" style="14"/>
    <col min="8212" max="8212" width="14.25" style="14" customWidth="1"/>
    <col min="8213" max="8214" width="11.25" style="14" customWidth="1"/>
    <col min="8215" max="8448" width="9" style="14"/>
    <col min="8449" max="8449" width="8" style="14" customWidth="1"/>
    <col min="8450" max="8451" width="10.625" style="14" customWidth="1"/>
    <col min="8452" max="8453" width="7.625" style="14" customWidth="1"/>
    <col min="8454" max="8454" width="11.625" style="14" customWidth="1"/>
    <col min="8455" max="8455" width="9" style="14"/>
    <col min="8456" max="8456" width="6.625" style="14" customWidth="1"/>
    <col min="8457" max="8462" width="10.125" style="14" customWidth="1"/>
    <col min="8463" max="8467" width="9" style="14"/>
    <col min="8468" max="8468" width="14.25" style="14" customWidth="1"/>
    <col min="8469" max="8470" width="11.25" style="14" customWidth="1"/>
    <col min="8471" max="8704" width="9" style="14"/>
    <col min="8705" max="8705" width="8" style="14" customWidth="1"/>
    <col min="8706" max="8707" width="10.625" style="14" customWidth="1"/>
    <col min="8708" max="8709" width="7.625" style="14" customWidth="1"/>
    <col min="8710" max="8710" width="11.625" style="14" customWidth="1"/>
    <col min="8711" max="8711" width="9" style="14"/>
    <col min="8712" max="8712" width="6.625" style="14" customWidth="1"/>
    <col min="8713" max="8718" width="10.125" style="14" customWidth="1"/>
    <col min="8719" max="8723" width="9" style="14"/>
    <col min="8724" max="8724" width="14.25" style="14" customWidth="1"/>
    <col min="8725" max="8726" width="11.25" style="14" customWidth="1"/>
    <col min="8727" max="8960" width="9" style="14"/>
    <col min="8961" max="8961" width="8" style="14" customWidth="1"/>
    <col min="8962" max="8963" width="10.625" style="14" customWidth="1"/>
    <col min="8964" max="8965" width="7.625" style="14" customWidth="1"/>
    <col min="8966" max="8966" width="11.625" style="14" customWidth="1"/>
    <col min="8967" max="8967" width="9" style="14"/>
    <col min="8968" max="8968" width="6.625" style="14" customWidth="1"/>
    <col min="8969" max="8974" width="10.125" style="14" customWidth="1"/>
    <col min="8975" max="8979" width="9" style="14"/>
    <col min="8980" max="8980" width="14.25" style="14" customWidth="1"/>
    <col min="8981" max="8982" width="11.25" style="14" customWidth="1"/>
    <col min="8983" max="9216" width="9" style="14"/>
    <col min="9217" max="9217" width="8" style="14" customWidth="1"/>
    <col min="9218" max="9219" width="10.625" style="14" customWidth="1"/>
    <col min="9220" max="9221" width="7.625" style="14" customWidth="1"/>
    <col min="9222" max="9222" width="11.625" style="14" customWidth="1"/>
    <col min="9223" max="9223" width="9" style="14"/>
    <col min="9224" max="9224" width="6.625" style="14" customWidth="1"/>
    <col min="9225" max="9230" width="10.125" style="14" customWidth="1"/>
    <col min="9231" max="9235" width="9" style="14"/>
    <col min="9236" max="9236" width="14.25" style="14" customWidth="1"/>
    <col min="9237" max="9238" width="11.25" style="14" customWidth="1"/>
    <col min="9239" max="9472" width="9" style="14"/>
    <col min="9473" max="9473" width="8" style="14" customWidth="1"/>
    <col min="9474" max="9475" width="10.625" style="14" customWidth="1"/>
    <col min="9476" max="9477" width="7.625" style="14" customWidth="1"/>
    <col min="9478" max="9478" width="11.625" style="14" customWidth="1"/>
    <col min="9479" max="9479" width="9" style="14"/>
    <col min="9480" max="9480" width="6.625" style="14" customWidth="1"/>
    <col min="9481" max="9486" width="10.125" style="14" customWidth="1"/>
    <col min="9487" max="9491" width="9" style="14"/>
    <col min="9492" max="9492" width="14.25" style="14" customWidth="1"/>
    <col min="9493" max="9494" width="11.25" style="14" customWidth="1"/>
    <col min="9495" max="9728" width="9" style="14"/>
    <col min="9729" max="9729" width="8" style="14" customWidth="1"/>
    <col min="9730" max="9731" width="10.625" style="14" customWidth="1"/>
    <col min="9732" max="9733" width="7.625" style="14" customWidth="1"/>
    <col min="9734" max="9734" width="11.625" style="14" customWidth="1"/>
    <col min="9735" max="9735" width="9" style="14"/>
    <col min="9736" max="9736" width="6.625" style="14" customWidth="1"/>
    <col min="9737" max="9742" width="10.125" style="14" customWidth="1"/>
    <col min="9743" max="9747" width="9" style="14"/>
    <col min="9748" max="9748" width="14.25" style="14" customWidth="1"/>
    <col min="9749" max="9750" width="11.25" style="14" customWidth="1"/>
    <col min="9751" max="9984" width="9" style="14"/>
    <col min="9985" max="9985" width="8" style="14" customWidth="1"/>
    <col min="9986" max="9987" width="10.625" style="14" customWidth="1"/>
    <col min="9988" max="9989" width="7.625" style="14" customWidth="1"/>
    <col min="9990" max="9990" width="11.625" style="14" customWidth="1"/>
    <col min="9991" max="9991" width="9" style="14"/>
    <col min="9992" max="9992" width="6.625" style="14" customWidth="1"/>
    <col min="9993" max="9998" width="10.125" style="14" customWidth="1"/>
    <col min="9999" max="10003" width="9" style="14"/>
    <col min="10004" max="10004" width="14.25" style="14" customWidth="1"/>
    <col min="10005" max="10006" width="11.25" style="14" customWidth="1"/>
    <col min="10007" max="10240" width="9" style="14"/>
    <col min="10241" max="10241" width="8" style="14" customWidth="1"/>
    <col min="10242" max="10243" width="10.625" style="14" customWidth="1"/>
    <col min="10244" max="10245" width="7.625" style="14" customWidth="1"/>
    <col min="10246" max="10246" width="11.625" style="14" customWidth="1"/>
    <col min="10247" max="10247" width="9" style="14"/>
    <col min="10248" max="10248" width="6.625" style="14" customWidth="1"/>
    <col min="10249" max="10254" width="10.125" style="14" customWidth="1"/>
    <col min="10255" max="10259" width="9" style="14"/>
    <col min="10260" max="10260" width="14.25" style="14" customWidth="1"/>
    <col min="10261" max="10262" width="11.25" style="14" customWidth="1"/>
    <col min="10263" max="10496" width="9" style="14"/>
    <col min="10497" max="10497" width="8" style="14" customWidth="1"/>
    <col min="10498" max="10499" width="10.625" style="14" customWidth="1"/>
    <col min="10500" max="10501" width="7.625" style="14" customWidth="1"/>
    <col min="10502" max="10502" width="11.625" style="14" customWidth="1"/>
    <col min="10503" max="10503" width="9" style="14"/>
    <col min="10504" max="10504" width="6.625" style="14" customWidth="1"/>
    <col min="10505" max="10510" width="10.125" style="14" customWidth="1"/>
    <col min="10511" max="10515" width="9" style="14"/>
    <col min="10516" max="10516" width="14.25" style="14" customWidth="1"/>
    <col min="10517" max="10518" width="11.25" style="14" customWidth="1"/>
    <col min="10519" max="10752" width="9" style="14"/>
    <col min="10753" max="10753" width="8" style="14" customWidth="1"/>
    <col min="10754" max="10755" width="10.625" style="14" customWidth="1"/>
    <col min="10756" max="10757" width="7.625" style="14" customWidth="1"/>
    <col min="10758" max="10758" width="11.625" style="14" customWidth="1"/>
    <col min="10759" max="10759" width="9" style="14"/>
    <col min="10760" max="10760" width="6.625" style="14" customWidth="1"/>
    <col min="10761" max="10766" width="10.125" style="14" customWidth="1"/>
    <col min="10767" max="10771" width="9" style="14"/>
    <col min="10772" max="10772" width="14.25" style="14" customWidth="1"/>
    <col min="10773" max="10774" width="11.25" style="14" customWidth="1"/>
    <col min="10775" max="11008" width="9" style="14"/>
    <col min="11009" max="11009" width="8" style="14" customWidth="1"/>
    <col min="11010" max="11011" width="10.625" style="14" customWidth="1"/>
    <col min="11012" max="11013" width="7.625" style="14" customWidth="1"/>
    <col min="11014" max="11014" width="11.625" style="14" customWidth="1"/>
    <col min="11015" max="11015" width="9" style="14"/>
    <col min="11016" max="11016" width="6.625" style="14" customWidth="1"/>
    <col min="11017" max="11022" width="10.125" style="14" customWidth="1"/>
    <col min="11023" max="11027" width="9" style="14"/>
    <col min="11028" max="11028" width="14.25" style="14" customWidth="1"/>
    <col min="11029" max="11030" width="11.25" style="14" customWidth="1"/>
    <col min="11031" max="11264" width="9" style="14"/>
    <col min="11265" max="11265" width="8" style="14" customWidth="1"/>
    <col min="11266" max="11267" width="10.625" style="14" customWidth="1"/>
    <col min="11268" max="11269" width="7.625" style="14" customWidth="1"/>
    <col min="11270" max="11270" width="11.625" style="14" customWidth="1"/>
    <col min="11271" max="11271" width="9" style="14"/>
    <col min="11272" max="11272" width="6.625" style="14" customWidth="1"/>
    <col min="11273" max="11278" width="10.125" style="14" customWidth="1"/>
    <col min="11279" max="11283" width="9" style="14"/>
    <col min="11284" max="11284" width="14.25" style="14" customWidth="1"/>
    <col min="11285" max="11286" width="11.25" style="14" customWidth="1"/>
    <col min="11287" max="11520" width="9" style="14"/>
    <col min="11521" max="11521" width="8" style="14" customWidth="1"/>
    <col min="11522" max="11523" width="10.625" style="14" customWidth="1"/>
    <col min="11524" max="11525" width="7.625" style="14" customWidth="1"/>
    <col min="11526" max="11526" width="11.625" style="14" customWidth="1"/>
    <col min="11527" max="11527" width="9" style="14"/>
    <col min="11528" max="11528" width="6.625" style="14" customWidth="1"/>
    <col min="11529" max="11534" width="10.125" style="14" customWidth="1"/>
    <col min="11535" max="11539" width="9" style="14"/>
    <col min="11540" max="11540" width="14.25" style="14" customWidth="1"/>
    <col min="11541" max="11542" width="11.25" style="14" customWidth="1"/>
    <col min="11543" max="11776" width="9" style="14"/>
    <col min="11777" max="11777" width="8" style="14" customWidth="1"/>
    <col min="11778" max="11779" width="10.625" style="14" customWidth="1"/>
    <col min="11780" max="11781" width="7.625" style="14" customWidth="1"/>
    <col min="11782" max="11782" width="11.625" style="14" customWidth="1"/>
    <col min="11783" max="11783" width="9" style="14"/>
    <col min="11784" max="11784" width="6.625" style="14" customWidth="1"/>
    <col min="11785" max="11790" width="10.125" style="14" customWidth="1"/>
    <col min="11791" max="11795" width="9" style="14"/>
    <col min="11796" max="11796" width="14.25" style="14" customWidth="1"/>
    <col min="11797" max="11798" width="11.25" style="14" customWidth="1"/>
    <col min="11799" max="12032" width="9" style="14"/>
    <col min="12033" max="12033" width="8" style="14" customWidth="1"/>
    <col min="12034" max="12035" width="10.625" style="14" customWidth="1"/>
    <col min="12036" max="12037" width="7.625" style="14" customWidth="1"/>
    <col min="12038" max="12038" width="11.625" style="14" customWidth="1"/>
    <col min="12039" max="12039" width="9" style="14"/>
    <col min="12040" max="12040" width="6.625" style="14" customWidth="1"/>
    <col min="12041" max="12046" width="10.125" style="14" customWidth="1"/>
    <col min="12047" max="12051" width="9" style="14"/>
    <col min="12052" max="12052" width="14.25" style="14" customWidth="1"/>
    <col min="12053" max="12054" width="11.25" style="14" customWidth="1"/>
    <col min="12055" max="12288" width="9" style="14"/>
    <col min="12289" max="12289" width="8" style="14" customWidth="1"/>
    <col min="12290" max="12291" width="10.625" style="14" customWidth="1"/>
    <col min="12292" max="12293" width="7.625" style="14" customWidth="1"/>
    <col min="12294" max="12294" width="11.625" style="14" customWidth="1"/>
    <col min="12295" max="12295" width="9" style="14"/>
    <col min="12296" max="12296" width="6.625" style="14" customWidth="1"/>
    <col min="12297" max="12302" width="10.125" style="14" customWidth="1"/>
    <col min="12303" max="12307" width="9" style="14"/>
    <col min="12308" max="12308" width="14.25" style="14" customWidth="1"/>
    <col min="12309" max="12310" width="11.25" style="14" customWidth="1"/>
    <col min="12311" max="12544" width="9" style="14"/>
    <col min="12545" max="12545" width="8" style="14" customWidth="1"/>
    <col min="12546" max="12547" width="10.625" style="14" customWidth="1"/>
    <col min="12548" max="12549" width="7.625" style="14" customWidth="1"/>
    <col min="12550" max="12550" width="11.625" style="14" customWidth="1"/>
    <col min="12551" max="12551" width="9" style="14"/>
    <col min="12552" max="12552" width="6.625" style="14" customWidth="1"/>
    <col min="12553" max="12558" width="10.125" style="14" customWidth="1"/>
    <col min="12559" max="12563" width="9" style="14"/>
    <col min="12564" max="12564" width="14.25" style="14" customWidth="1"/>
    <col min="12565" max="12566" width="11.25" style="14" customWidth="1"/>
    <col min="12567" max="12800" width="9" style="14"/>
    <col min="12801" max="12801" width="8" style="14" customWidth="1"/>
    <col min="12802" max="12803" width="10.625" style="14" customWidth="1"/>
    <col min="12804" max="12805" width="7.625" style="14" customWidth="1"/>
    <col min="12806" max="12806" width="11.625" style="14" customWidth="1"/>
    <col min="12807" max="12807" width="9" style="14"/>
    <col min="12808" max="12808" width="6.625" style="14" customWidth="1"/>
    <col min="12809" max="12814" width="10.125" style="14" customWidth="1"/>
    <col min="12815" max="12819" width="9" style="14"/>
    <col min="12820" max="12820" width="14.25" style="14" customWidth="1"/>
    <col min="12821" max="12822" width="11.25" style="14" customWidth="1"/>
    <col min="12823" max="13056" width="9" style="14"/>
    <col min="13057" max="13057" width="8" style="14" customWidth="1"/>
    <col min="13058" max="13059" width="10.625" style="14" customWidth="1"/>
    <col min="13060" max="13061" width="7.625" style="14" customWidth="1"/>
    <col min="13062" max="13062" width="11.625" style="14" customWidth="1"/>
    <col min="13063" max="13063" width="9" style="14"/>
    <col min="13064" max="13064" width="6.625" style="14" customWidth="1"/>
    <col min="13065" max="13070" width="10.125" style="14" customWidth="1"/>
    <col min="13071" max="13075" width="9" style="14"/>
    <col min="13076" max="13076" width="14.25" style="14" customWidth="1"/>
    <col min="13077" max="13078" width="11.25" style="14" customWidth="1"/>
    <col min="13079" max="13312" width="9" style="14"/>
    <col min="13313" max="13313" width="8" style="14" customWidth="1"/>
    <col min="13314" max="13315" width="10.625" style="14" customWidth="1"/>
    <col min="13316" max="13317" width="7.625" style="14" customWidth="1"/>
    <col min="13318" max="13318" width="11.625" style="14" customWidth="1"/>
    <col min="13319" max="13319" width="9" style="14"/>
    <col min="13320" max="13320" width="6.625" style="14" customWidth="1"/>
    <col min="13321" max="13326" width="10.125" style="14" customWidth="1"/>
    <col min="13327" max="13331" width="9" style="14"/>
    <col min="13332" max="13332" width="14.25" style="14" customWidth="1"/>
    <col min="13333" max="13334" width="11.25" style="14" customWidth="1"/>
    <col min="13335" max="13568" width="9" style="14"/>
    <col min="13569" max="13569" width="8" style="14" customWidth="1"/>
    <col min="13570" max="13571" width="10.625" style="14" customWidth="1"/>
    <col min="13572" max="13573" width="7.625" style="14" customWidth="1"/>
    <col min="13574" max="13574" width="11.625" style="14" customWidth="1"/>
    <col min="13575" max="13575" width="9" style="14"/>
    <col min="13576" max="13576" width="6.625" style="14" customWidth="1"/>
    <col min="13577" max="13582" width="10.125" style="14" customWidth="1"/>
    <col min="13583" max="13587" width="9" style="14"/>
    <col min="13588" max="13588" width="14.25" style="14" customWidth="1"/>
    <col min="13589" max="13590" width="11.25" style="14" customWidth="1"/>
    <col min="13591" max="13824" width="9" style="14"/>
    <col min="13825" max="13825" width="8" style="14" customWidth="1"/>
    <col min="13826" max="13827" width="10.625" style="14" customWidth="1"/>
    <col min="13828" max="13829" width="7.625" style="14" customWidth="1"/>
    <col min="13830" max="13830" width="11.625" style="14" customWidth="1"/>
    <col min="13831" max="13831" width="9" style="14"/>
    <col min="13832" max="13832" width="6.625" style="14" customWidth="1"/>
    <col min="13833" max="13838" width="10.125" style="14" customWidth="1"/>
    <col min="13839" max="13843" width="9" style="14"/>
    <col min="13844" max="13844" width="14.25" style="14" customWidth="1"/>
    <col min="13845" max="13846" width="11.25" style="14" customWidth="1"/>
    <col min="13847" max="14080" width="9" style="14"/>
    <col min="14081" max="14081" width="8" style="14" customWidth="1"/>
    <col min="14082" max="14083" width="10.625" style="14" customWidth="1"/>
    <col min="14084" max="14085" width="7.625" style="14" customWidth="1"/>
    <col min="14086" max="14086" width="11.625" style="14" customWidth="1"/>
    <col min="14087" max="14087" width="9" style="14"/>
    <col min="14088" max="14088" width="6.625" style="14" customWidth="1"/>
    <col min="14089" max="14094" width="10.125" style="14" customWidth="1"/>
    <col min="14095" max="14099" width="9" style="14"/>
    <col min="14100" max="14100" width="14.25" style="14" customWidth="1"/>
    <col min="14101" max="14102" width="11.25" style="14" customWidth="1"/>
    <col min="14103" max="14336" width="9" style="14"/>
    <col min="14337" max="14337" width="8" style="14" customWidth="1"/>
    <col min="14338" max="14339" width="10.625" style="14" customWidth="1"/>
    <col min="14340" max="14341" width="7.625" style="14" customWidth="1"/>
    <col min="14342" max="14342" width="11.625" style="14" customWidth="1"/>
    <col min="14343" max="14343" width="9" style="14"/>
    <col min="14344" max="14344" width="6.625" style="14" customWidth="1"/>
    <col min="14345" max="14350" width="10.125" style="14" customWidth="1"/>
    <col min="14351" max="14355" width="9" style="14"/>
    <col min="14356" max="14356" width="14.25" style="14" customWidth="1"/>
    <col min="14357" max="14358" width="11.25" style="14" customWidth="1"/>
    <col min="14359" max="14592" width="9" style="14"/>
    <col min="14593" max="14593" width="8" style="14" customWidth="1"/>
    <col min="14594" max="14595" width="10.625" style="14" customWidth="1"/>
    <col min="14596" max="14597" width="7.625" style="14" customWidth="1"/>
    <col min="14598" max="14598" width="11.625" style="14" customWidth="1"/>
    <col min="14599" max="14599" width="9" style="14"/>
    <col min="14600" max="14600" width="6.625" style="14" customWidth="1"/>
    <col min="14601" max="14606" width="10.125" style="14" customWidth="1"/>
    <col min="14607" max="14611" width="9" style="14"/>
    <col min="14612" max="14612" width="14.25" style="14" customWidth="1"/>
    <col min="14613" max="14614" width="11.25" style="14" customWidth="1"/>
    <col min="14615" max="14848" width="9" style="14"/>
    <col min="14849" max="14849" width="8" style="14" customWidth="1"/>
    <col min="14850" max="14851" width="10.625" style="14" customWidth="1"/>
    <col min="14852" max="14853" width="7.625" style="14" customWidth="1"/>
    <col min="14854" max="14854" width="11.625" style="14" customWidth="1"/>
    <col min="14855" max="14855" width="9" style="14"/>
    <col min="14856" max="14856" width="6.625" style="14" customWidth="1"/>
    <col min="14857" max="14862" width="10.125" style="14" customWidth="1"/>
    <col min="14863" max="14867" width="9" style="14"/>
    <col min="14868" max="14868" width="14.25" style="14" customWidth="1"/>
    <col min="14869" max="14870" width="11.25" style="14" customWidth="1"/>
    <col min="14871" max="15104" width="9" style="14"/>
    <col min="15105" max="15105" width="8" style="14" customWidth="1"/>
    <col min="15106" max="15107" width="10.625" style="14" customWidth="1"/>
    <col min="15108" max="15109" width="7.625" style="14" customWidth="1"/>
    <col min="15110" max="15110" width="11.625" style="14" customWidth="1"/>
    <col min="15111" max="15111" width="9" style="14"/>
    <col min="15112" max="15112" width="6.625" style="14" customWidth="1"/>
    <col min="15113" max="15118" width="10.125" style="14" customWidth="1"/>
    <col min="15119" max="15123" width="9" style="14"/>
    <col min="15124" max="15124" width="14.25" style="14" customWidth="1"/>
    <col min="15125" max="15126" width="11.25" style="14" customWidth="1"/>
    <col min="15127" max="15360" width="9" style="14"/>
    <col min="15361" max="15361" width="8" style="14" customWidth="1"/>
    <col min="15362" max="15363" width="10.625" style="14" customWidth="1"/>
    <col min="15364" max="15365" width="7.625" style="14" customWidth="1"/>
    <col min="15366" max="15366" width="11.625" style="14" customWidth="1"/>
    <col min="15367" max="15367" width="9" style="14"/>
    <col min="15368" max="15368" width="6.625" style="14" customWidth="1"/>
    <col min="15369" max="15374" width="10.125" style="14" customWidth="1"/>
    <col min="15375" max="15379" width="9" style="14"/>
    <col min="15380" max="15380" width="14.25" style="14" customWidth="1"/>
    <col min="15381" max="15382" width="11.25" style="14" customWidth="1"/>
    <col min="15383" max="15616" width="9" style="14"/>
    <col min="15617" max="15617" width="8" style="14" customWidth="1"/>
    <col min="15618" max="15619" width="10.625" style="14" customWidth="1"/>
    <col min="15620" max="15621" width="7.625" style="14" customWidth="1"/>
    <col min="15622" max="15622" width="11.625" style="14" customWidth="1"/>
    <col min="15623" max="15623" width="9" style="14"/>
    <col min="15624" max="15624" width="6.625" style="14" customWidth="1"/>
    <col min="15625" max="15630" width="10.125" style="14" customWidth="1"/>
    <col min="15631" max="15635" width="9" style="14"/>
    <col min="15636" max="15636" width="14.25" style="14" customWidth="1"/>
    <col min="15637" max="15638" width="11.25" style="14" customWidth="1"/>
    <col min="15639" max="15872" width="9" style="14"/>
    <col min="15873" max="15873" width="8" style="14" customWidth="1"/>
    <col min="15874" max="15875" width="10.625" style="14" customWidth="1"/>
    <col min="15876" max="15877" width="7.625" style="14" customWidth="1"/>
    <col min="15878" max="15878" width="11.625" style="14" customWidth="1"/>
    <col min="15879" max="15879" width="9" style="14"/>
    <col min="15880" max="15880" width="6.625" style="14" customWidth="1"/>
    <col min="15881" max="15886" width="10.125" style="14" customWidth="1"/>
    <col min="15887" max="15891" width="9" style="14"/>
    <col min="15892" max="15892" width="14.25" style="14" customWidth="1"/>
    <col min="15893" max="15894" width="11.25" style="14" customWidth="1"/>
    <col min="15895" max="16128" width="9" style="14"/>
    <col min="16129" max="16129" width="8" style="14" customWidth="1"/>
    <col min="16130" max="16131" width="10.625" style="14" customWidth="1"/>
    <col min="16132" max="16133" width="7.625" style="14" customWidth="1"/>
    <col min="16134" max="16134" width="11.625" style="14" customWidth="1"/>
    <col min="16135" max="16135" width="9" style="14"/>
    <col min="16136" max="16136" width="6.625" style="14" customWidth="1"/>
    <col min="16137" max="16142" width="10.125" style="14" customWidth="1"/>
    <col min="16143" max="16147" width="9" style="14"/>
    <col min="16148" max="16148" width="14.25" style="14" customWidth="1"/>
    <col min="16149" max="16150" width="11.25" style="14" customWidth="1"/>
    <col min="16151" max="16384" width="9" style="14"/>
  </cols>
  <sheetData>
    <row r="1" spans="1:66" ht="31.5" thickBot="1" x14ac:dyDescent="0.5">
      <c r="A1" s="10" t="s">
        <v>19</v>
      </c>
      <c r="I1" s="13"/>
      <c r="J1" s="13"/>
      <c r="K1" s="13"/>
      <c r="L1" s="13"/>
      <c r="M1" s="13"/>
      <c r="N1" s="13"/>
      <c r="O1" s="13"/>
      <c r="Q1" s="13"/>
      <c r="AH1" s="16"/>
      <c r="AI1" s="16"/>
      <c r="AJ1" s="16"/>
      <c r="AK1" s="16"/>
      <c r="AL1" s="58" t="s">
        <v>30</v>
      </c>
      <c r="AM1" s="58" t="s">
        <v>31</v>
      </c>
      <c r="AN1" s="16"/>
      <c r="BC1" s="13"/>
      <c r="BD1" s="13"/>
      <c r="BE1" s="13"/>
      <c r="BF1" s="13"/>
      <c r="BG1" s="13"/>
      <c r="BH1" s="13"/>
      <c r="BI1" s="13"/>
      <c r="BJ1" s="13"/>
      <c r="BK1" s="13"/>
      <c r="BL1" s="13"/>
      <c r="BM1" s="13"/>
      <c r="BN1" s="13"/>
    </row>
    <row r="2" spans="1:66" s="20" customFormat="1" ht="39.75" customHeight="1" thickBot="1" x14ac:dyDescent="0.35">
      <c r="A2" s="17" t="s">
        <v>20</v>
      </c>
      <c r="B2" s="56" t="s">
        <v>30</v>
      </c>
      <c r="C2" s="57" t="s">
        <v>31</v>
      </c>
      <c r="D2" s="13"/>
      <c r="E2" s="19"/>
      <c r="F2" s="59" t="s">
        <v>21</v>
      </c>
      <c r="G2" s="60"/>
      <c r="I2" s="21"/>
      <c r="J2" s="21"/>
      <c r="K2" s="21"/>
      <c r="L2" s="21"/>
      <c r="M2" s="21"/>
      <c r="N2" s="21"/>
      <c r="O2" s="21"/>
      <c r="Q2" s="21"/>
      <c r="R2" s="13"/>
      <c r="S2" s="13"/>
      <c r="T2" s="13"/>
      <c r="U2" s="13"/>
      <c r="V2" s="13"/>
      <c r="W2" s="21"/>
      <c r="X2" s="21"/>
      <c r="Y2" s="13"/>
      <c r="Z2" s="13"/>
      <c r="AA2" s="13"/>
      <c r="AB2" s="13"/>
      <c r="AC2" s="13"/>
      <c r="AD2" s="13"/>
      <c r="AE2" s="13"/>
      <c r="AF2" s="13"/>
      <c r="AG2" s="13"/>
      <c r="AH2" s="16">
        <v>200</v>
      </c>
      <c r="AI2" s="16"/>
      <c r="AJ2" s="16"/>
      <c r="AK2" s="16">
        <v>200</v>
      </c>
      <c r="AL2" s="16">
        <v>0</v>
      </c>
      <c r="AM2" s="16">
        <v>0</v>
      </c>
      <c r="AN2" s="16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21"/>
      <c r="BD2" s="21"/>
      <c r="BE2" s="21"/>
      <c r="BF2" s="21"/>
      <c r="BG2" s="21"/>
      <c r="BH2" s="21"/>
      <c r="BI2" s="21"/>
      <c r="BJ2" s="21"/>
      <c r="BK2" s="21"/>
      <c r="BL2" s="21"/>
      <c r="BM2" s="21"/>
      <c r="BN2" s="21"/>
    </row>
    <row r="3" spans="1:66" ht="16.5" thickBot="1" x14ac:dyDescent="0.3">
      <c r="A3" s="22">
        <v>1</v>
      </c>
      <c r="B3" s="23">
        <v>4153.6222725731768</v>
      </c>
      <c r="C3" s="24">
        <v>546.67451321112264</v>
      </c>
      <c r="E3" s="25"/>
      <c r="F3" s="26">
        <v>10000</v>
      </c>
      <c r="G3" s="27" t="s">
        <v>22</v>
      </c>
      <c r="AH3" s="16">
        <v>220</v>
      </c>
      <c r="AI3" s="16"/>
      <c r="AJ3" s="16"/>
      <c r="AK3" s="16">
        <v>200</v>
      </c>
      <c r="AL3" s="16">
        <v>0</v>
      </c>
      <c r="AM3" s="16">
        <v>1</v>
      </c>
      <c r="AN3" s="16"/>
      <c r="BC3" s="13"/>
      <c r="BD3" s="13"/>
      <c r="BE3" s="13"/>
      <c r="BF3" s="13"/>
      <c r="BG3" s="13"/>
      <c r="BH3" s="13"/>
      <c r="BI3" s="13"/>
      <c r="BJ3" s="13"/>
      <c r="BK3" s="13"/>
      <c r="BL3" s="13"/>
      <c r="BM3" s="13"/>
      <c r="BN3" s="13"/>
    </row>
    <row r="4" spans="1:66" ht="16.5" thickBot="1" x14ac:dyDescent="0.3">
      <c r="A4" s="22">
        <v>2</v>
      </c>
      <c r="B4" s="23">
        <v>4154.6154306143108</v>
      </c>
      <c r="C4" s="24">
        <v>318.18732494095019</v>
      </c>
      <c r="E4" s="25"/>
      <c r="F4" s="28">
        <v>52.999999816529453</v>
      </c>
      <c r="G4" s="29" t="s">
        <v>23</v>
      </c>
      <c r="I4" s="61" t="s">
        <v>32</v>
      </c>
      <c r="J4" s="62"/>
      <c r="K4" s="63" t="s">
        <v>33</v>
      </c>
      <c r="L4" s="64"/>
      <c r="M4" s="65" t="s">
        <v>24</v>
      </c>
      <c r="N4" s="66"/>
      <c r="P4" s="30"/>
      <c r="AH4" s="16">
        <v>240</v>
      </c>
      <c r="AI4" s="16"/>
      <c r="AJ4" s="16"/>
      <c r="AK4" s="16">
        <v>220</v>
      </c>
      <c r="AL4" s="16">
        <v>0</v>
      </c>
      <c r="AM4" s="16">
        <v>1</v>
      </c>
      <c r="AN4" s="16"/>
      <c r="BC4" s="13"/>
      <c r="BD4" s="13"/>
      <c r="BE4" s="13"/>
      <c r="BF4" s="13"/>
      <c r="BG4" s="13"/>
      <c r="BH4" s="13"/>
      <c r="BI4" s="13"/>
      <c r="BJ4" s="13"/>
      <c r="BK4" s="13"/>
      <c r="BL4" s="13"/>
      <c r="BM4" s="13"/>
      <c r="BN4" s="13"/>
    </row>
    <row r="5" spans="1:66" x14ac:dyDescent="0.25">
      <c r="A5" s="22">
        <v>3</v>
      </c>
      <c r="B5" s="23">
        <v>4155.4034092597367</v>
      </c>
      <c r="C5" s="24">
        <v>448.78572286205485</v>
      </c>
      <c r="E5" s="31"/>
      <c r="F5" s="32"/>
      <c r="G5" s="31"/>
      <c r="I5" s="33" t="s">
        <v>25</v>
      </c>
      <c r="J5" s="34">
        <v>4154.9733080414317</v>
      </c>
      <c r="K5" s="35" t="s">
        <v>25</v>
      </c>
      <c r="L5" s="36">
        <v>437.23439050192638</v>
      </c>
      <c r="M5" s="37"/>
      <c r="N5" s="38"/>
      <c r="P5" s="30"/>
      <c r="AH5" s="16">
        <v>260</v>
      </c>
      <c r="AI5" s="16"/>
      <c r="AJ5" s="16"/>
      <c r="AK5" s="16">
        <v>220</v>
      </c>
      <c r="AL5" s="16">
        <v>0</v>
      </c>
      <c r="AM5" s="16">
        <v>5</v>
      </c>
      <c r="AN5" s="16"/>
      <c r="BC5" s="13"/>
      <c r="BD5" s="13"/>
      <c r="BE5" s="13"/>
      <c r="BF5" s="13"/>
      <c r="BG5" s="13"/>
      <c r="BH5" s="13"/>
      <c r="BI5" s="13"/>
      <c r="BJ5" s="13"/>
      <c r="BK5" s="13"/>
      <c r="BL5" s="13"/>
      <c r="BM5" s="13"/>
      <c r="BN5" s="13"/>
    </row>
    <row r="6" spans="1:66" x14ac:dyDescent="0.25">
      <c r="A6" s="22">
        <v>4</v>
      </c>
      <c r="B6" s="23">
        <v>4159.534841449894</v>
      </c>
      <c r="C6" s="24">
        <v>545.83429111604869</v>
      </c>
      <c r="I6" s="33" t="s">
        <v>26</v>
      </c>
      <c r="J6" s="39">
        <v>2.5084417510884407</v>
      </c>
      <c r="K6" s="35" t="s">
        <v>26</v>
      </c>
      <c r="L6" s="40">
        <v>86.841888090556694</v>
      </c>
      <c r="M6" s="41"/>
      <c r="N6" s="42"/>
      <c r="AH6" s="16">
        <v>280</v>
      </c>
      <c r="AI6" s="16"/>
      <c r="AJ6" s="16"/>
      <c r="AK6" s="16">
        <v>240</v>
      </c>
      <c r="AL6" s="16">
        <v>0</v>
      </c>
      <c r="AM6" s="16">
        <v>5</v>
      </c>
      <c r="AN6" s="16"/>
      <c r="BC6" s="13"/>
      <c r="BD6" s="13"/>
      <c r="BE6" s="13"/>
      <c r="BF6" s="13"/>
      <c r="BG6" s="13"/>
      <c r="BH6" s="13"/>
      <c r="BI6" s="13"/>
      <c r="BJ6" s="13"/>
      <c r="BK6" s="13"/>
      <c r="BL6" s="13"/>
      <c r="BM6" s="13"/>
      <c r="BN6" s="13"/>
    </row>
    <row r="7" spans="1:66" x14ac:dyDescent="0.25">
      <c r="A7" s="22">
        <v>5</v>
      </c>
      <c r="B7" s="23">
        <v>4157.8857343715763</v>
      </c>
      <c r="C7" s="24">
        <v>471.58357963189854</v>
      </c>
      <c r="F7" s="43"/>
      <c r="I7" s="33" t="s">
        <v>27</v>
      </c>
      <c r="J7" s="34">
        <v>4165.3719466648336</v>
      </c>
      <c r="K7" s="35" t="s">
        <v>27</v>
      </c>
      <c r="L7" s="36">
        <v>984.17944770706231</v>
      </c>
      <c r="M7" s="25"/>
      <c r="N7" s="44"/>
      <c r="AH7" s="16">
        <v>300</v>
      </c>
      <c r="AI7" s="16"/>
      <c r="AJ7" s="16"/>
      <c r="AK7" s="16">
        <v>240</v>
      </c>
      <c r="AL7" s="16">
        <v>0</v>
      </c>
      <c r="AM7" s="16">
        <v>23</v>
      </c>
      <c r="AN7" s="16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</row>
    <row r="8" spans="1:66" ht="16.5" thickBot="1" x14ac:dyDescent="0.3">
      <c r="A8" s="22">
        <v>6</v>
      </c>
      <c r="B8" s="23">
        <v>4151.8224038634335</v>
      </c>
      <c r="C8" s="24">
        <v>542.8092931107517</v>
      </c>
      <c r="F8" s="43"/>
      <c r="I8" s="45" t="s">
        <v>28</v>
      </c>
      <c r="J8" s="46">
        <v>4146.1058699682135</v>
      </c>
      <c r="K8" s="47" t="s">
        <v>28</v>
      </c>
      <c r="L8" s="48">
        <v>212.53765770013942</v>
      </c>
      <c r="M8" s="49"/>
      <c r="N8" s="50"/>
      <c r="AH8" s="16">
        <v>320</v>
      </c>
      <c r="AI8" s="16"/>
      <c r="AJ8" s="16"/>
      <c r="AK8" s="16">
        <v>260</v>
      </c>
      <c r="AL8" s="16">
        <v>0</v>
      </c>
      <c r="AM8" s="16">
        <v>23</v>
      </c>
      <c r="AN8" s="16"/>
      <c r="BC8" s="13"/>
      <c r="BD8" s="13"/>
      <c r="BE8" s="13"/>
      <c r="BF8" s="13"/>
      <c r="BG8" s="13"/>
      <c r="BH8" s="13"/>
      <c r="BI8" s="13"/>
      <c r="BJ8" s="13"/>
      <c r="BK8" s="13"/>
      <c r="BL8" s="13"/>
      <c r="BM8" s="13"/>
      <c r="BN8" s="13"/>
    </row>
    <row r="9" spans="1:66" x14ac:dyDescent="0.25">
      <c r="A9" s="22">
        <v>7</v>
      </c>
      <c r="B9" s="23">
        <v>4151.6969549298938</v>
      </c>
      <c r="C9" s="24">
        <v>310.66292235768918</v>
      </c>
      <c r="F9" s="43"/>
      <c r="I9" s="31"/>
      <c r="J9" s="51"/>
      <c r="K9" s="31"/>
      <c r="L9" s="31"/>
      <c r="M9" s="31"/>
      <c r="N9" s="31"/>
      <c r="AH9" s="16">
        <v>340</v>
      </c>
      <c r="AI9" s="16"/>
      <c r="AJ9" s="16"/>
      <c r="AK9" s="16">
        <v>260</v>
      </c>
      <c r="AL9" s="16">
        <v>0</v>
      </c>
      <c r="AM9" s="16">
        <v>69</v>
      </c>
      <c r="AN9" s="16"/>
      <c r="BC9" s="13"/>
      <c r="BD9" s="13"/>
      <c r="BE9" s="13"/>
      <c r="BF9" s="13"/>
      <c r="BG9" s="13"/>
      <c r="BH9" s="13"/>
      <c r="BI9" s="13"/>
      <c r="BJ9" s="13"/>
      <c r="BK9" s="13"/>
      <c r="BL9" s="13"/>
      <c r="BM9" s="13"/>
      <c r="BN9" s="13"/>
    </row>
    <row r="10" spans="1:66" x14ac:dyDescent="0.25">
      <c r="A10" s="22">
        <v>8</v>
      </c>
      <c r="B10" s="23">
        <v>4152.7744082972222</v>
      </c>
      <c r="C10" s="24">
        <v>437.17781833717692</v>
      </c>
      <c r="F10" s="43"/>
      <c r="I10" s="25"/>
      <c r="J10" s="51"/>
      <c r="K10" s="31"/>
      <c r="L10" s="31"/>
      <c r="M10" s="31"/>
      <c r="N10" s="31"/>
      <c r="P10" s="30"/>
      <c r="AH10" s="16">
        <v>360</v>
      </c>
      <c r="AI10" s="16"/>
      <c r="AJ10" s="16"/>
      <c r="AK10" s="16">
        <v>280</v>
      </c>
      <c r="AL10" s="16">
        <v>0</v>
      </c>
      <c r="AM10" s="16">
        <v>69</v>
      </c>
      <c r="AN10" s="16"/>
      <c r="BC10" s="13"/>
      <c r="BD10" s="13"/>
      <c r="BE10" s="13"/>
      <c r="BF10" s="13"/>
      <c r="BG10" s="13"/>
      <c r="BH10" s="13"/>
      <c r="BI10" s="13"/>
      <c r="BJ10" s="13"/>
      <c r="BK10" s="13"/>
      <c r="BL10" s="13"/>
      <c r="BM10" s="13"/>
      <c r="BN10" s="13"/>
    </row>
    <row r="11" spans="1:66" x14ac:dyDescent="0.25">
      <c r="A11" s="22">
        <v>9</v>
      </c>
      <c r="B11" s="23">
        <v>4156.6953324157375</v>
      </c>
      <c r="C11" s="24">
        <v>327.23532260132487</v>
      </c>
      <c r="I11" s="31"/>
      <c r="J11" s="51"/>
      <c r="K11" s="31"/>
      <c r="L11" s="31"/>
      <c r="M11" s="31"/>
      <c r="N11" s="31"/>
      <c r="P11" s="30"/>
      <c r="AH11" s="16">
        <v>380</v>
      </c>
      <c r="AI11" s="16"/>
      <c r="AJ11" s="16"/>
      <c r="AK11" s="16">
        <v>280</v>
      </c>
      <c r="AL11" s="16">
        <v>0</v>
      </c>
      <c r="AM11" s="16">
        <v>193</v>
      </c>
      <c r="AN11" s="16"/>
      <c r="BC11" s="13"/>
      <c r="BD11" s="13"/>
      <c r="BE11" s="13"/>
      <c r="BF11" s="13"/>
      <c r="BG11" s="13"/>
      <c r="BH11" s="13"/>
      <c r="BI11" s="13"/>
      <c r="BJ11" s="13"/>
      <c r="BK11" s="13"/>
      <c r="BL11" s="13"/>
      <c r="BM11" s="13"/>
      <c r="BN11" s="13"/>
    </row>
    <row r="12" spans="1:66" x14ac:dyDescent="0.25">
      <c r="A12" s="22">
        <v>10</v>
      </c>
      <c r="B12" s="23">
        <v>4152.301394320797</v>
      </c>
      <c r="C12" s="24">
        <v>404.47942238790688</v>
      </c>
      <c r="I12" s="31"/>
      <c r="J12" s="31"/>
      <c r="K12" s="31"/>
      <c r="L12" s="31"/>
      <c r="M12" s="31"/>
      <c r="N12" s="31"/>
      <c r="P12" s="30"/>
      <c r="AH12" s="16">
        <v>400</v>
      </c>
      <c r="AI12" s="16"/>
      <c r="AJ12" s="16"/>
      <c r="AK12" s="16">
        <v>300</v>
      </c>
      <c r="AL12" s="16">
        <v>0</v>
      </c>
      <c r="AM12" s="16">
        <v>193</v>
      </c>
      <c r="AN12" s="16"/>
      <c r="BC12" s="13"/>
      <c r="BD12" s="13"/>
      <c r="BE12" s="13"/>
      <c r="BF12" s="13"/>
      <c r="BG12" s="13"/>
      <c r="BH12" s="13"/>
      <c r="BI12" s="13"/>
      <c r="BJ12" s="13"/>
      <c r="BK12" s="13"/>
      <c r="BL12" s="13"/>
      <c r="BM12" s="13"/>
      <c r="BN12" s="13"/>
    </row>
    <row r="13" spans="1:66" x14ac:dyDescent="0.25">
      <c r="A13" s="22">
        <v>11</v>
      </c>
      <c r="B13" s="23">
        <v>4155.2704326983676</v>
      </c>
      <c r="C13" s="24">
        <v>468.98999345929008</v>
      </c>
      <c r="I13" s="31"/>
      <c r="J13" s="31"/>
      <c r="K13" s="31"/>
      <c r="L13" s="31"/>
      <c r="M13" s="31"/>
      <c r="N13" s="31"/>
      <c r="AH13" s="16">
        <v>420</v>
      </c>
      <c r="AI13" s="16"/>
      <c r="AJ13" s="16"/>
      <c r="AK13" s="16">
        <v>300</v>
      </c>
      <c r="AL13" s="16">
        <v>0</v>
      </c>
      <c r="AM13" s="16">
        <v>343</v>
      </c>
      <c r="AN13" s="16"/>
      <c r="BC13" s="13"/>
      <c r="BD13" s="13"/>
      <c r="BE13" s="13"/>
      <c r="BF13" s="13"/>
      <c r="BG13" s="13"/>
      <c r="BH13" s="13"/>
      <c r="BI13" s="13"/>
      <c r="BJ13" s="13"/>
      <c r="BK13" s="13"/>
      <c r="BL13" s="13"/>
      <c r="BM13" s="13"/>
      <c r="BN13" s="13"/>
    </row>
    <row r="14" spans="1:66" x14ac:dyDescent="0.25">
      <c r="A14" s="22">
        <v>12</v>
      </c>
      <c r="B14" s="23">
        <v>4156.7037661500744</v>
      </c>
      <c r="C14" s="24">
        <v>386.9525846446009</v>
      </c>
      <c r="E14" s="52"/>
      <c r="I14" s="31"/>
      <c r="J14" s="31"/>
      <c r="K14" s="31"/>
      <c r="L14" s="31"/>
      <c r="M14" s="31"/>
      <c r="N14" s="31"/>
      <c r="AH14" s="16">
        <v>440</v>
      </c>
      <c r="AI14" s="16"/>
      <c r="AJ14" s="16"/>
      <c r="AK14" s="16">
        <v>320</v>
      </c>
      <c r="AL14" s="16">
        <v>0</v>
      </c>
      <c r="AM14" s="16">
        <v>343</v>
      </c>
      <c r="AN14" s="16"/>
      <c r="BC14" s="13"/>
      <c r="BD14" s="13"/>
      <c r="BE14" s="13"/>
      <c r="BF14" s="13"/>
      <c r="BG14" s="13"/>
      <c r="BH14" s="13"/>
      <c r="BI14" s="13"/>
      <c r="BJ14" s="13"/>
      <c r="BK14" s="13"/>
      <c r="BL14" s="13"/>
      <c r="BM14" s="13"/>
      <c r="BN14" s="13"/>
    </row>
    <row r="15" spans="1:66" x14ac:dyDescent="0.25">
      <c r="A15" s="22">
        <v>13</v>
      </c>
      <c r="B15" s="23">
        <v>4158.7278822754097</v>
      </c>
      <c r="C15" s="24">
        <v>451.48822368474771</v>
      </c>
      <c r="E15" s="52"/>
      <c r="I15" s="31"/>
      <c r="J15" s="31"/>
      <c r="K15" s="31"/>
      <c r="L15" s="31"/>
      <c r="M15" s="31"/>
      <c r="N15" s="31"/>
      <c r="AH15" s="16">
        <v>460</v>
      </c>
      <c r="AI15" s="16"/>
      <c r="AJ15" s="16"/>
      <c r="AK15" s="16">
        <v>320</v>
      </c>
      <c r="AL15" s="16">
        <v>0</v>
      </c>
      <c r="AM15" s="16">
        <v>522</v>
      </c>
      <c r="AN15" s="16"/>
      <c r="BC15" s="13"/>
      <c r="BD15" s="13"/>
      <c r="BE15" s="13"/>
      <c r="BF15" s="13"/>
      <c r="BG15" s="13"/>
      <c r="BH15" s="13"/>
      <c r="BI15" s="13"/>
      <c r="BJ15" s="13"/>
      <c r="BK15" s="13"/>
      <c r="BL15" s="13"/>
      <c r="BM15" s="13"/>
      <c r="BN15" s="13"/>
    </row>
    <row r="16" spans="1:66" x14ac:dyDescent="0.25">
      <c r="A16" s="22">
        <v>14</v>
      </c>
      <c r="B16" s="23">
        <v>4154.3494775805893</v>
      </c>
      <c r="C16" s="24">
        <v>439.89390105004333</v>
      </c>
      <c r="E16" s="52"/>
      <c r="I16" s="31"/>
      <c r="J16" s="31"/>
      <c r="K16" s="31"/>
      <c r="L16" s="31"/>
      <c r="M16" s="31"/>
      <c r="N16" s="31"/>
      <c r="AH16" s="16">
        <v>480</v>
      </c>
      <c r="AI16" s="16"/>
      <c r="AJ16" s="16"/>
      <c r="AK16" s="16">
        <v>340</v>
      </c>
      <c r="AL16" s="16">
        <v>0</v>
      </c>
      <c r="AM16" s="16">
        <v>522</v>
      </c>
      <c r="AN16" s="16"/>
      <c r="BC16" s="13"/>
      <c r="BD16" s="13"/>
      <c r="BE16" s="13"/>
      <c r="BF16" s="13"/>
      <c r="BG16" s="13"/>
      <c r="BH16" s="13"/>
      <c r="BI16" s="13"/>
      <c r="BJ16" s="13"/>
      <c r="BK16" s="13"/>
      <c r="BL16" s="13"/>
      <c r="BM16" s="13"/>
      <c r="BN16" s="13"/>
    </row>
    <row r="17" spans="1:66" x14ac:dyDescent="0.25">
      <c r="A17" s="22">
        <v>15</v>
      </c>
      <c r="B17" s="23">
        <v>4147.1094745294158</v>
      </c>
      <c r="C17" s="24">
        <v>526.64487420416867</v>
      </c>
      <c r="I17" s="31"/>
      <c r="J17" s="31"/>
      <c r="K17" s="31"/>
      <c r="L17" s="31"/>
      <c r="M17" s="31"/>
      <c r="N17" s="31"/>
      <c r="AH17" s="16">
        <v>500</v>
      </c>
      <c r="AI17" s="16"/>
      <c r="AJ17" s="16"/>
      <c r="AK17" s="16">
        <v>340</v>
      </c>
      <c r="AL17" s="16">
        <v>0</v>
      </c>
      <c r="AM17" s="16">
        <v>723</v>
      </c>
      <c r="AN17" s="16"/>
      <c r="BC17" s="13"/>
      <c r="BD17" s="13"/>
      <c r="BE17" s="13"/>
      <c r="BF17" s="13"/>
      <c r="BG17" s="13"/>
      <c r="BH17" s="13"/>
      <c r="BI17" s="13"/>
      <c r="BJ17" s="13"/>
      <c r="BK17" s="13"/>
      <c r="BL17" s="13"/>
      <c r="BM17" s="13"/>
      <c r="BN17" s="13"/>
    </row>
    <row r="18" spans="1:66" x14ac:dyDescent="0.25">
      <c r="A18" s="22">
        <v>16</v>
      </c>
      <c r="B18" s="23">
        <v>4159.7950136885684</v>
      </c>
      <c r="C18" s="24">
        <v>371.76997325214313</v>
      </c>
      <c r="I18" s="31"/>
      <c r="J18" s="31"/>
      <c r="K18" s="31"/>
      <c r="L18" s="31"/>
      <c r="M18" s="31"/>
      <c r="N18" s="31"/>
      <c r="AH18" s="16">
        <v>520</v>
      </c>
      <c r="AI18" s="16"/>
      <c r="AJ18" s="16"/>
      <c r="AK18" s="16">
        <v>360</v>
      </c>
      <c r="AL18" s="16">
        <v>0</v>
      </c>
      <c r="AM18" s="16">
        <v>723</v>
      </c>
      <c r="AN18" s="16"/>
      <c r="BC18" s="13"/>
      <c r="BD18" s="13"/>
      <c r="BE18" s="13"/>
      <c r="BF18" s="13"/>
      <c r="BG18" s="13"/>
      <c r="BH18" s="13"/>
      <c r="BI18" s="13"/>
      <c r="BJ18" s="13"/>
      <c r="BK18" s="13"/>
      <c r="BL18" s="13"/>
      <c r="BM18" s="13"/>
      <c r="BN18" s="13"/>
    </row>
    <row r="19" spans="1:66" x14ac:dyDescent="0.25">
      <c r="A19" s="22">
        <v>17</v>
      </c>
      <c r="B19" s="23">
        <v>4147.0599025501533</v>
      </c>
      <c r="C19" s="24">
        <v>491.90407489865987</v>
      </c>
      <c r="F19" s="53">
        <v>1</v>
      </c>
      <c r="I19" s="31"/>
      <c r="J19" s="31"/>
      <c r="K19" s="31"/>
      <c r="L19" s="31"/>
      <c r="M19" s="31"/>
      <c r="N19" s="31"/>
      <c r="AH19" s="16">
        <v>540</v>
      </c>
      <c r="AI19" s="16"/>
      <c r="AJ19" s="16"/>
      <c r="AK19" s="16">
        <v>360</v>
      </c>
      <c r="AL19" s="16">
        <v>0</v>
      </c>
      <c r="AM19" s="16">
        <v>862</v>
      </c>
      <c r="AN19" s="16"/>
      <c r="BC19" s="13"/>
      <c r="BD19" s="13"/>
      <c r="BE19" s="13"/>
      <c r="BF19" s="13"/>
      <c r="BG19" s="13"/>
      <c r="BH19" s="13"/>
      <c r="BI19" s="13"/>
      <c r="BJ19" s="13"/>
      <c r="BK19" s="13"/>
      <c r="BL19" s="13"/>
      <c r="BM19" s="13"/>
      <c r="BN19" s="13"/>
    </row>
    <row r="20" spans="1:66" x14ac:dyDescent="0.25">
      <c r="A20" s="22">
        <v>18</v>
      </c>
      <c r="B20" s="23">
        <v>4154.9409122497846</v>
      </c>
      <c r="C20" s="24">
        <v>382.44487041316523</v>
      </c>
      <c r="I20" s="31"/>
      <c r="J20" s="31"/>
      <c r="K20" s="31"/>
      <c r="L20" s="31"/>
      <c r="M20" s="31"/>
      <c r="N20" s="31"/>
      <c r="AH20" s="16">
        <v>560</v>
      </c>
      <c r="AI20" s="16"/>
      <c r="AJ20" s="16"/>
      <c r="AK20" s="16">
        <v>380</v>
      </c>
      <c r="AL20" s="16">
        <v>0</v>
      </c>
      <c r="AM20" s="16">
        <v>862</v>
      </c>
      <c r="AN20" s="16"/>
      <c r="BC20" s="13"/>
      <c r="BD20" s="13"/>
      <c r="BE20" s="13"/>
      <c r="BF20" s="13"/>
      <c r="BG20" s="13"/>
      <c r="BH20" s="13"/>
      <c r="BI20" s="13"/>
      <c r="BJ20" s="13"/>
      <c r="BK20" s="13"/>
      <c r="BL20" s="13"/>
      <c r="BM20" s="13"/>
      <c r="BN20" s="13"/>
    </row>
    <row r="21" spans="1:66" x14ac:dyDescent="0.25">
      <c r="A21" s="22">
        <v>19</v>
      </c>
      <c r="B21" s="23">
        <v>4155.4156282842951</v>
      </c>
      <c r="C21" s="24">
        <v>472.61787037900058</v>
      </c>
      <c r="I21" s="31"/>
      <c r="J21" s="31"/>
      <c r="K21" s="31"/>
      <c r="L21" s="31"/>
      <c r="M21" s="31"/>
      <c r="N21" s="31"/>
      <c r="AH21" s="16">
        <v>580</v>
      </c>
      <c r="AI21" s="16"/>
      <c r="AJ21" s="16"/>
      <c r="AK21" s="16">
        <v>380</v>
      </c>
      <c r="AL21" s="16">
        <v>0</v>
      </c>
      <c r="AM21" s="16">
        <v>927</v>
      </c>
      <c r="AN21" s="16"/>
      <c r="BC21" s="13"/>
      <c r="BD21" s="13"/>
      <c r="BE21" s="13"/>
      <c r="BF21" s="13"/>
      <c r="BG21" s="13"/>
      <c r="BH21" s="13"/>
      <c r="BI21" s="13"/>
      <c r="BJ21" s="13"/>
      <c r="BK21" s="13"/>
      <c r="BL21" s="13"/>
      <c r="BM21" s="13"/>
      <c r="BN21" s="13"/>
    </row>
    <row r="22" spans="1:66" x14ac:dyDescent="0.25">
      <c r="A22" s="22">
        <v>20</v>
      </c>
      <c r="B22" s="23">
        <v>4153.3736109660094</v>
      </c>
      <c r="C22" s="24">
        <v>416.09161957524987</v>
      </c>
      <c r="I22" s="31"/>
      <c r="J22" s="31"/>
      <c r="K22" s="31"/>
      <c r="L22" s="31"/>
      <c r="M22" s="31"/>
      <c r="N22" s="31"/>
      <c r="AH22" s="16">
        <v>600</v>
      </c>
      <c r="AI22" s="16"/>
      <c r="AJ22" s="16"/>
      <c r="AK22" s="16">
        <v>400</v>
      </c>
      <c r="AL22" s="16">
        <v>0</v>
      </c>
      <c r="AM22" s="16">
        <v>927</v>
      </c>
      <c r="AN22" s="16"/>
      <c r="BC22" s="13"/>
      <c r="BD22" s="13"/>
      <c r="BE22" s="13"/>
      <c r="BF22" s="13"/>
      <c r="BG22" s="13"/>
      <c r="BH22" s="13"/>
      <c r="BI22" s="13"/>
      <c r="BJ22" s="13"/>
      <c r="BK22" s="13"/>
      <c r="BL22" s="13"/>
      <c r="BM22" s="13"/>
      <c r="BN22" s="13"/>
    </row>
    <row r="23" spans="1:66" x14ac:dyDescent="0.25">
      <c r="A23" s="22">
        <v>21</v>
      </c>
      <c r="B23" s="23">
        <v>4156.3551589634881</v>
      </c>
      <c r="C23" s="24">
        <v>313.57783975424456</v>
      </c>
      <c r="AH23" s="16">
        <v>620</v>
      </c>
      <c r="AI23" s="16"/>
      <c r="AJ23" s="16"/>
      <c r="AK23" s="16">
        <v>400</v>
      </c>
      <c r="AL23" s="16">
        <v>0</v>
      </c>
      <c r="AM23" s="16">
        <v>979</v>
      </c>
      <c r="AN23" s="16"/>
      <c r="BC23" s="13"/>
      <c r="BD23" s="13"/>
      <c r="BE23" s="13"/>
      <c r="BF23" s="13"/>
      <c r="BG23" s="13"/>
      <c r="BH23" s="13"/>
      <c r="BI23" s="13"/>
      <c r="BJ23" s="13"/>
      <c r="BK23" s="13"/>
      <c r="BL23" s="13"/>
      <c r="BM23" s="13"/>
      <c r="BN23" s="13"/>
    </row>
    <row r="24" spans="1:66" x14ac:dyDescent="0.25">
      <c r="A24" s="22">
        <v>22</v>
      </c>
      <c r="B24" s="23">
        <v>4153.0752641853624</v>
      </c>
      <c r="C24" s="24">
        <v>543.60439499774816</v>
      </c>
      <c r="I24" s="54"/>
      <c r="AH24" s="16">
        <v>640</v>
      </c>
      <c r="AI24" s="16"/>
      <c r="AJ24" s="16"/>
      <c r="AK24" s="16">
        <v>420</v>
      </c>
      <c r="AL24" s="16">
        <v>0</v>
      </c>
      <c r="AM24" s="16">
        <v>979</v>
      </c>
      <c r="AN24" s="16"/>
      <c r="BC24" s="13"/>
      <c r="BD24" s="13"/>
      <c r="BE24" s="13"/>
      <c r="BF24" s="13"/>
      <c r="BG24" s="13"/>
      <c r="BH24" s="13"/>
      <c r="BI24" s="13"/>
      <c r="BJ24" s="13"/>
      <c r="BK24" s="13"/>
      <c r="BL24" s="13"/>
      <c r="BM24" s="13"/>
      <c r="BN24" s="13"/>
    </row>
    <row r="25" spans="1:66" x14ac:dyDescent="0.25">
      <c r="A25" s="22">
        <v>23</v>
      </c>
      <c r="B25" s="23">
        <v>4156.2555340389663</v>
      </c>
      <c r="C25" s="24">
        <v>354.69002672659195</v>
      </c>
      <c r="AH25" s="16">
        <v>660</v>
      </c>
      <c r="AI25" s="16"/>
      <c r="AJ25" s="16"/>
      <c r="AK25" s="16">
        <v>420</v>
      </c>
      <c r="AL25" s="16">
        <v>0</v>
      </c>
      <c r="AM25" s="16">
        <v>938</v>
      </c>
      <c r="AN25" s="16"/>
      <c r="BC25" s="13"/>
      <c r="BD25" s="13"/>
      <c r="BE25" s="13"/>
      <c r="BF25" s="13"/>
      <c r="BG25" s="13"/>
      <c r="BH25" s="13"/>
      <c r="BI25" s="13"/>
      <c r="BJ25" s="13"/>
      <c r="BK25" s="13"/>
      <c r="BL25" s="13"/>
      <c r="BM25" s="13"/>
      <c r="BN25" s="13"/>
    </row>
    <row r="26" spans="1:66" x14ac:dyDescent="0.25">
      <c r="A26" s="22">
        <v>24</v>
      </c>
      <c r="B26" s="23">
        <v>4152.164976125986</v>
      </c>
      <c r="C26" s="24">
        <v>419.64239557932683</v>
      </c>
      <c r="AH26" s="16">
        <v>680</v>
      </c>
      <c r="AI26" s="16"/>
      <c r="AJ26" s="16"/>
      <c r="AK26" s="16">
        <v>440</v>
      </c>
      <c r="AL26" s="16">
        <v>0</v>
      </c>
      <c r="AM26" s="16">
        <v>938</v>
      </c>
      <c r="AN26" s="16"/>
      <c r="BC26" s="13"/>
      <c r="BD26" s="13"/>
      <c r="BE26" s="13"/>
      <c r="BF26" s="13"/>
      <c r="BG26" s="13"/>
      <c r="BH26" s="13"/>
      <c r="BI26" s="13"/>
      <c r="BJ26" s="13"/>
      <c r="BK26" s="13"/>
      <c r="BL26" s="13"/>
      <c r="BM26" s="13"/>
      <c r="BN26" s="13"/>
    </row>
    <row r="27" spans="1:66" x14ac:dyDescent="0.25">
      <c r="A27" s="22">
        <v>25</v>
      </c>
      <c r="B27" s="23">
        <v>4154.1358968901741</v>
      </c>
      <c r="C27" s="24">
        <v>308.92358325863529</v>
      </c>
      <c r="AH27" s="16">
        <v>700</v>
      </c>
      <c r="AI27" s="16"/>
      <c r="AJ27" s="16"/>
      <c r="AK27" s="16">
        <v>440</v>
      </c>
      <c r="AL27" s="16">
        <v>0</v>
      </c>
      <c r="AM27" s="16">
        <v>865</v>
      </c>
      <c r="AN27" s="16"/>
      <c r="BC27" s="13"/>
      <c r="BD27" s="13"/>
      <c r="BE27" s="13"/>
      <c r="BF27" s="13"/>
      <c r="BG27" s="13"/>
      <c r="BH27" s="13"/>
      <c r="BI27" s="13"/>
      <c r="BJ27" s="13"/>
      <c r="BK27" s="13"/>
      <c r="BL27" s="13"/>
      <c r="BM27" s="13"/>
      <c r="BN27" s="13"/>
    </row>
    <row r="28" spans="1:66" x14ac:dyDescent="0.25">
      <c r="A28" s="22">
        <v>26</v>
      </c>
      <c r="B28" s="23">
        <v>4150.0855637407431</v>
      </c>
      <c r="C28" s="24">
        <v>457.07399436501345</v>
      </c>
      <c r="AH28" s="16">
        <v>720</v>
      </c>
      <c r="AI28" s="16"/>
      <c r="AJ28" s="16"/>
      <c r="AK28" s="16">
        <v>460</v>
      </c>
      <c r="AL28" s="16">
        <v>0</v>
      </c>
      <c r="AM28" s="16">
        <v>865</v>
      </c>
      <c r="AN28" s="16"/>
      <c r="BC28" s="13"/>
      <c r="BD28" s="13"/>
      <c r="BE28" s="13"/>
      <c r="BF28" s="13"/>
      <c r="BG28" s="13"/>
      <c r="BH28" s="13"/>
      <c r="BI28" s="13"/>
      <c r="BJ28" s="13"/>
      <c r="BK28" s="13"/>
      <c r="BL28" s="13"/>
      <c r="BM28" s="13"/>
      <c r="BN28" s="13"/>
    </row>
    <row r="29" spans="1:66" x14ac:dyDescent="0.25">
      <c r="A29" s="22">
        <v>27</v>
      </c>
      <c r="B29" s="23">
        <v>4154.2810142467897</v>
      </c>
      <c r="C29" s="24">
        <v>386.35121837486651</v>
      </c>
      <c r="AH29" s="16">
        <v>740</v>
      </c>
      <c r="AI29" s="16"/>
      <c r="AJ29" s="16"/>
      <c r="AK29" s="16">
        <v>460</v>
      </c>
      <c r="AL29" s="16">
        <v>0</v>
      </c>
      <c r="AM29" s="16">
        <v>764</v>
      </c>
      <c r="AN29" s="16"/>
      <c r="BC29" s="13"/>
      <c r="BD29" s="13"/>
      <c r="BE29" s="13"/>
      <c r="BF29" s="13"/>
      <c r="BG29" s="13"/>
      <c r="BH29" s="13"/>
      <c r="BI29" s="13"/>
      <c r="BJ29" s="13"/>
      <c r="BK29" s="13"/>
      <c r="BL29" s="13"/>
      <c r="BM29" s="13"/>
      <c r="BN29" s="13"/>
    </row>
    <row r="30" spans="1:66" x14ac:dyDescent="0.25">
      <c r="A30" s="22">
        <v>28</v>
      </c>
      <c r="B30" s="23">
        <v>4150.4936117608731</v>
      </c>
      <c r="C30" s="24">
        <v>563.87591097596237</v>
      </c>
      <c r="AH30" s="16">
        <v>760</v>
      </c>
      <c r="AI30" s="16"/>
      <c r="AJ30" s="16"/>
      <c r="AK30" s="16">
        <v>480</v>
      </c>
      <c r="AL30" s="16">
        <v>0</v>
      </c>
      <c r="AM30" s="16">
        <v>764</v>
      </c>
      <c r="AN30" s="16"/>
      <c r="BC30" s="13"/>
      <c r="BD30" s="13"/>
      <c r="BE30" s="13"/>
      <c r="BF30" s="13"/>
      <c r="BG30" s="13"/>
      <c r="BH30" s="13"/>
      <c r="BI30" s="13"/>
      <c r="BJ30" s="13"/>
      <c r="BK30" s="13"/>
      <c r="BL30" s="13"/>
      <c r="BM30" s="13"/>
      <c r="BN30" s="13"/>
    </row>
    <row r="31" spans="1:66" x14ac:dyDescent="0.25">
      <c r="A31" s="22">
        <v>29</v>
      </c>
      <c r="B31" s="23">
        <v>4154.8986704982281</v>
      </c>
      <c r="C31" s="24">
        <v>383.83782155330999</v>
      </c>
      <c r="AH31" s="16">
        <v>780</v>
      </c>
      <c r="AI31" s="16"/>
      <c r="AJ31" s="16"/>
      <c r="AK31" s="16">
        <v>480</v>
      </c>
      <c r="AL31" s="16">
        <v>0</v>
      </c>
      <c r="AM31" s="16">
        <v>616</v>
      </c>
      <c r="AN31" s="16"/>
      <c r="BC31" s="13"/>
      <c r="BD31" s="13"/>
      <c r="BE31" s="13"/>
      <c r="BF31" s="13"/>
      <c r="BG31" s="13"/>
      <c r="BH31" s="13"/>
      <c r="BI31" s="13"/>
      <c r="BJ31" s="13"/>
      <c r="BK31" s="13"/>
      <c r="BL31" s="13"/>
      <c r="BM31" s="13"/>
      <c r="BN31" s="13"/>
    </row>
    <row r="32" spans="1:66" x14ac:dyDescent="0.25">
      <c r="A32" s="22">
        <v>30</v>
      </c>
      <c r="B32" s="23">
        <v>4158.6422391949172</v>
      </c>
      <c r="C32" s="24">
        <v>675.47944940834145</v>
      </c>
      <c r="AH32" s="16">
        <v>800</v>
      </c>
      <c r="AI32" s="16"/>
      <c r="AJ32" s="16"/>
      <c r="AK32" s="16">
        <v>500</v>
      </c>
      <c r="AL32" s="16">
        <v>0</v>
      </c>
      <c r="AM32" s="16">
        <v>616</v>
      </c>
      <c r="AN32" s="16"/>
      <c r="BC32" s="13"/>
      <c r="BD32" s="13"/>
      <c r="BE32" s="13"/>
      <c r="BF32" s="13"/>
      <c r="BG32" s="13"/>
      <c r="BH32" s="13"/>
      <c r="BI32" s="13"/>
      <c r="BJ32" s="13"/>
      <c r="BK32" s="13"/>
      <c r="BL32" s="13"/>
      <c r="BM32" s="13"/>
      <c r="BN32" s="13"/>
    </row>
    <row r="33" spans="1:66" x14ac:dyDescent="0.25">
      <c r="A33" s="22">
        <v>31</v>
      </c>
      <c r="B33" s="23">
        <v>4152.59539395516</v>
      </c>
      <c r="C33" s="24">
        <v>370.71977462156804</v>
      </c>
      <c r="AH33" s="16">
        <v>820</v>
      </c>
      <c r="AI33" s="16"/>
      <c r="AJ33" s="16"/>
      <c r="AK33" s="16">
        <v>500</v>
      </c>
      <c r="AL33" s="16">
        <v>0</v>
      </c>
      <c r="AM33" s="16">
        <v>549</v>
      </c>
      <c r="AN33" s="16"/>
      <c r="BC33" s="13"/>
      <c r="BD33" s="13"/>
      <c r="BE33" s="13"/>
      <c r="BF33" s="13"/>
      <c r="BG33" s="13"/>
      <c r="BH33" s="13"/>
      <c r="BI33" s="13"/>
      <c r="BJ33" s="13"/>
      <c r="BK33" s="13"/>
      <c r="BL33" s="13"/>
      <c r="BM33" s="13"/>
      <c r="BN33" s="13"/>
    </row>
    <row r="34" spans="1:66" x14ac:dyDescent="0.25">
      <c r="A34" s="22">
        <v>32</v>
      </c>
      <c r="B34" s="23">
        <v>4158.9663310519109</v>
      </c>
      <c r="C34" s="24">
        <v>422.2104804905963</v>
      </c>
      <c r="AH34" s="16">
        <v>840</v>
      </c>
      <c r="AI34" s="16"/>
      <c r="AJ34" s="16"/>
      <c r="AK34" s="16">
        <v>520</v>
      </c>
      <c r="AL34" s="16">
        <v>0</v>
      </c>
      <c r="AM34" s="16">
        <v>549</v>
      </c>
      <c r="AN34" s="16"/>
      <c r="BC34" s="13"/>
      <c r="BD34" s="13"/>
      <c r="BE34" s="13"/>
      <c r="BF34" s="13"/>
      <c r="BG34" s="13"/>
      <c r="BH34" s="13"/>
      <c r="BI34" s="13"/>
      <c r="BJ34" s="13"/>
      <c r="BK34" s="13"/>
      <c r="BL34" s="13"/>
      <c r="BM34" s="13"/>
      <c r="BN34" s="13"/>
    </row>
    <row r="35" spans="1:66" x14ac:dyDescent="0.25">
      <c r="A35" s="22">
        <v>33</v>
      </c>
      <c r="B35" s="23">
        <v>4160.268580961384</v>
      </c>
      <c r="C35" s="24">
        <v>378.27510240553107</v>
      </c>
      <c r="AH35" s="16">
        <v>860</v>
      </c>
      <c r="AI35" s="16"/>
      <c r="AJ35" s="16"/>
      <c r="AK35" s="16">
        <v>520</v>
      </c>
      <c r="AL35" s="16">
        <v>0</v>
      </c>
      <c r="AM35" s="16">
        <v>415</v>
      </c>
      <c r="AN35" s="16"/>
      <c r="BC35" s="13"/>
      <c r="BD35" s="13"/>
      <c r="BE35" s="13"/>
      <c r="BF35" s="13"/>
      <c r="BG35" s="13"/>
      <c r="BH35" s="13"/>
      <c r="BI35" s="13"/>
      <c r="BJ35" s="13"/>
      <c r="BK35" s="13"/>
      <c r="BL35" s="13"/>
      <c r="BM35" s="13"/>
      <c r="BN35" s="13"/>
    </row>
    <row r="36" spans="1:66" x14ac:dyDescent="0.25">
      <c r="A36" s="22">
        <v>34</v>
      </c>
      <c r="B36" s="23">
        <v>4159.3406339101221</v>
      </c>
      <c r="C36" s="24">
        <v>463.06525331797565</v>
      </c>
      <c r="AH36" s="16">
        <v>880</v>
      </c>
      <c r="AI36" s="16"/>
      <c r="AJ36" s="16"/>
      <c r="AK36" s="16">
        <v>540</v>
      </c>
      <c r="AL36" s="16">
        <v>0</v>
      </c>
      <c r="AM36" s="16">
        <v>415</v>
      </c>
      <c r="AN36" s="16"/>
      <c r="BC36" s="13"/>
      <c r="BD36" s="13"/>
      <c r="BE36" s="13"/>
      <c r="BF36" s="13"/>
      <c r="BG36" s="13"/>
      <c r="BH36" s="13"/>
      <c r="BI36" s="13"/>
      <c r="BJ36" s="13"/>
      <c r="BK36" s="13"/>
      <c r="BL36" s="13"/>
      <c r="BM36" s="13"/>
      <c r="BN36" s="13"/>
    </row>
    <row r="37" spans="1:66" x14ac:dyDescent="0.25">
      <c r="A37" s="22">
        <v>35</v>
      </c>
      <c r="B37" s="23">
        <v>4154.8418322344723</v>
      </c>
      <c r="C37" s="24">
        <v>457.1342435399892</v>
      </c>
      <c r="AH37" s="16">
        <v>900</v>
      </c>
      <c r="AI37" s="16"/>
      <c r="AJ37" s="16"/>
      <c r="AK37" s="16">
        <v>540</v>
      </c>
      <c r="AL37" s="16">
        <v>0</v>
      </c>
      <c r="AM37" s="16">
        <v>324</v>
      </c>
      <c r="AN37" s="16"/>
      <c r="BC37" s="13"/>
      <c r="BD37" s="13"/>
      <c r="BE37" s="13"/>
      <c r="BF37" s="13"/>
      <c r="BG37" s="13"/>
      <c r="BH37" s="13"/>
      <c r="BI37" s="13"/>
      <c r="BJ37" s="13"/>
      <c r="BK37" s="13"/>
      <c r="BL37" s="13"/>
      <c r="BM37" s="13"/>
      <c r="BN37" s="13"/>
    </row>
    <row r="38" spans="1:66" x14ac:dyDescent="0.25">
      <c r="A38" s="22">
        <v>36</v>
      </c>
      <c r="B38" s="23">
        <v>4153.7548902779654</v>
      </c>
      <c r="C38" s="24">
        <v>527.76528767087427</v>
      </c>
      <c r="AH38" s="16">
        <v>920</v>
      </c>
      <c r="AI38" s="16"/>
      <c r="AJ38" s="16"/>
      <c r="AK38" s="16">
        <v>560</v>
      </c>
      <c r="AL38" s="16">
        <v>0</v>
      </c>
      <c r="AM38" s="16">
        <v>324</v>
      </c>
      <c r="AN38" s="16"/>
      <c r="BC38" s="13"/>
      <c r="BD38" s="13"/>
      <c r="BE38" s="13"/>
      <c r="BF38" s="13"/>
      <c r="BG38" s="13"/>
      <c r="BH38" s="13"/>
      <c r="BI38" s="13"/>
      <c r="BJ38" s="13"/>
      <c r="BK38" s="13"/>
      <c r="BL38" s="13"/>
      <c r="BM38" s="13"/>
      <c r="BN38" s="13"/>
    </row>
    <row r="39" spans="1:66" x14ac:dyDescent="0.25">
      <c r="A39" s="22">
        <v>37</v>
      </c>
      <c r="B39" s="23">
        <v>4159.3926056236323</v>
      </c>
      <c r="C39" s="24">
        <v>380.8165996862831</v>
      </c>
      <c r="AH39" s="16">
        <v>940</v>
      </c>
      <c r="AI39" s="16"/>
      <c r="AJ39" s="16"/>
      <c r="AK39" s="16">
        <v>560</v>
      </c>
      <c r="AL39" s="16">
        <v>0</v>
      </c>
      <c r="AM39" s="16">
        <v>248</v>
      </c>
      <c r="AN39" s="16"/>
      <c r="BC39" s="13"/>
      <c r="BD39" s="13"/>
      <c r="BE39" s="13"/>
      <c r="BF39" s="13"/>
      <c r="BG39" s="13"/>
      <c r="BH39" s="13"/>
      <c r="BI39" s="13"/>
      <c r="BJ39" s="13"/>
      <c r="BK39" s="13"/>
      <c r="BL39" s="13"/>
      <c r="BM39" s="13"/>
      <c r="BN39" s="13"/>
    </row>
    <row r="40" spans="1:66" x14ac:dyDescent="0.25">
      <c r="A40" s="22">
        <v>38</v>
      </c>
      <c r="B40" s="23">
        <v>4152.7406689864001</v>
      </c>
      <c r="C40" s="24">
        <v>387.33735201804876</v>
      </c>
      <c r="AH40" s="16">
        <v>960</v>
      </c>
      <c r="AI40" s="16"/>
      <c r="AJ40" s="16"/>
      <c r="AK40" s="16">
        <v>580</v>
      </c>
      <c r="AL40" s="16">
        <v>0</v>
      </c>
      <c r="AM40" s="16">
        <v>248</v>
      </c>
      <c r="AN40" s="16"/>
      <c r="BC40" s="13"/>
      <c r="BD40" s="13"/>
      <c r="BE40" s="13"/>
      <c r="BF40" s="13"/>
      <c r="BG40" s="13"/>
      <c r="BH40" s="13"/>
      <c r="BI40" s="13"/>
      <c r="BJ40" s="13"/>
      <c r="BK40" s="13"/>
      <c r="BL40" s="13"/>
      <c r="BM40" s="13"/>
      <c r="BN40" s="13"/>
    </row>
    <row r="41" spans="1:66" x14ac:dyDescent="0.25">
      <c r="A41" s="22">
        <v>39</v>
      </c>
      <c r="B41" s="23">
        <v>4160.2551253851507</v>
      </c>
      <c r="C41" s="24">
        <v>531.53214245510458</v>
      </c>
      <c r="AH41" s="16">
        <v>980</v>
      </c>
      <c r="AI41" s="16"/>
      <c r="AJ41" s="16"/>
      <c r="AK41" s="16">
        <v>580</v>
      </c>
      <c r="AL41" s="16">
        <v>0</v>
      </c>
      <c r="AM41" s="16">
        <v>188</v>
      </c>
      <c r="AN41" s="16"/>
      <c r="BC41" s="13"/>
      <c r="BD41" s="13"/>
      <c r="BE41" s="13"/>
      <c r="BF41" s="13"/>
      <c r="BG41" s="13"/>
      <c r="BH41" s="13"/>
      <c r="BI41" s="13"/>
      <c r="BJ41" s="13"/>
      <c r="BK41" s="13"/>
      <c r="BL41" s="13"/>
      <c r="BM41" s="13"/>
      <c r="BN41" s="13"/>
    </row>
    <row r="42" spans="1:66" x14ac:dyDescent="0.25">
      <c r="A42" s="22">
        <v>40</v>
      </c>
      <c r="B42" s="23">
        <v>4154.8080974413342</v>
      </c>
      <c r="C42" s="24">
        <v>540.8481690395372</v>
      </c>
      <c r="AH42" s="16">
        <v>1000</v>
      </c>
      <c r="AI42" s="16"/>
      <c r="AJ42" s="16"/>
      <c r="AK42" s="16">
        <v>600</v>
      </c>
      <c r="AL42" s="16">
        <v>0</v>
      </c>
      <c r="AM42" s="16">
        <v>188</v>
      </c>
      <c r="AN42" s="16"/>
      <c r="BC42" s="13"/>
      <c r="BD42" s="13"/>
      <c r="BE42" s="13"/>
      <c r="BF42" s="13"/>
      <c r="BG42" s="13"/>
      <c r="BH42" s="13"/>
      <c r="BI42" s="13"/>
      <c r="BJ42" s="13"/>
      <c r="BK42" s="13"/>
      <c r="BL42" s="13"/>
      <c r="BM42" s="13"/>
      <c r="BN42" s="13"/>
    </row>
    <row r="43" spans="1:66" x14ac:dyDescent="0.25">
      <c r="A43" s="22">
        <v>41</v>
      </c>
      <c r="B43" s="23">
        <v>4155.7348278849395</v>
      </c>
      <c r="C43" s="24">
        <v>438.623324848501</v>
      </c>
      <c r="AH43" s="16">
        <v>1020</v>
      </c>
      <c r="AI43" s="16"/>
      <c r="AJ43" s="16"/>
      <c r="AK43" s="16">
        <v>600</v>
      </c>
      <c r="AL43" s="16">
        <v>0</v>
      </c>
      <c r="AM43" s="16">
        <v>132</v>
      </c>
      <c r="AN43" s="16"/>
      <c r="BC43" s="13"/>
      <c r="BD43" s="13"/>
      <c r="BE43" s="13"/>
      <c r="BF43" s="13"/>
      <c r="BG43" s="13"/>
      <c r="BH43" s="13"/>
      <c r="BI43" s="13"/>
      <c r="BJ43" s="13"/>
      <c r="BK43" s="13"/>
      <c r="BL43" s="13"/>
      <c r="BM43" s="13"/>
      <c r="BN43" s="13"/>
    </row>
    <row r="44" spans="1:66" x14ac:dyDescent="0.25">
      <c r="A44" s="22">
        <v>42</v>
      </c>
      <c r="B44" s="23">
        <v>4153.9219257262248</v>
      </c>
      <c r="C44" s="24">
        <v>518.22901985562089</v>
      </c>
      <c r="AH44" s="16">
        <v>1040</v>
      </c>
      <c r="AI44" s="16"/>
      <c r="AJ44" s="16"/>
      <c r="AK44" s="16">
        <v>620</v>
      </c>
      <c r="AL44" s="16">
        <v>0</v>
      </c>
      <c r="AM44" s="16">
        <v>132</v>
      </c>
      <c r="AN44" s="16"/>
      <c r="BC44" s="13"/>
      <c r="BD44" s="13"/>
      <c r="BE44" s="13"/>
      <c r="BF44" s="13"/>
      <c r="BG44" s="13"/>
      <c r="BH44" s="13"/>
      <c r="BI44" s="13"/>
      <c r="BJ44" s="13"/>
      <c r="BK44" s="13"/>
      <c r="BL44" s="13"/>
      <c r="BM44" s="13"/>
      <c r="BN44" s="13"/>
    </row>
    <row r="45" spans="1:66" x14ac:dyDescent="0.25">
      <c r="A45" s="22">
        <v>43</v>
      </c>
      <c r="B45" s="23">
        <v>4158.8507969676775</v>
      </c>
      <c r="C45" s="24">
        <v>377.46242196565652</v>
      </c>
      <c r="AH45" s="16">
        <v>1060</v>
      </c>
      <c r="AI45" s="16"/>
      <c r="AJ45" s="16"/>
      <c r="AK45" s="16">
        <v>620</v>
      </c>
      <c r="AL45" s="16">
        <v>0</v>
      </c>
      <c r="AM45" s="16">
        <v>103</v>
      </c>
      <c r="AN45" s="16"/>
      <c r="BC45" s="13"/>
      <c r="BD45" s="13"/>
      <c r="BE45" s="13"/>
      <c r="BF45" s="13"/>
      <c r="BG45" s="13"/>
      <c r="BH45" s="13"/>
      <c r="BI45" s="13"/>
      <c r="BJ45" s="13"/>
      <c r="BK45" s="13"/>
      <c r="BL45" s="13"/>
      <c r="BM45" s="13"/>
      <c r="BN45" s="13"/>
    </row>
    <row r="46" spans="1:66" x14ac:dyDescent="0.25">
      <c r="A46" s="22">
        <v>44</v>
      </c>
      <c r="B46" s="23">
        <v>4150.4790822443938</v>
      </c>
      <c r="C46" s="24">
        <v>369.76235708948428</v>
      </c>
      <c r="I46" s="54"/>
      <c r="AH46" s="16">
        <v>1080</v>
      </c>
      <c r="AI46" s="16"/>
      <c r="AJ46" s="16"/>
      <c r="AK46" s="16">
        <v>640</v>
      </c>
      <c r="AL46" s="16">
        <v>0</v>
      </c>
      <c r="AM46" s="16">
        <v>103</v>
      </c>
      <c r="AN46" s="16"/>
      <c r="BC46" s="13"/>
      <c r="BD46" s="13"/>
      <c r="BE46" s="13"/>
      <c r="BF46" s="13"/>
      <c r="BG46" s="13"/>
      <c r="BH46" s="13"/>
      <c r="BI46" s="13"/>
      <c r="BJ46" s="13"/>
      <c r="BK46" s="13"/>
      <c r="BL46" s="13"/>
      <c r="BM46" s="13"/>
      <c r="BN46" s="13"/>
    </row>
    <row r="47" spans="1:66" x14ac:dyDescent="0.25">
      <c r="A47" s="22">
        <v>45</v>
      </c>
      <c r="B47" s="23">
        <v>4150.554921182752</v>
      </c>
      <c r="C47" s="24">
        <v>425.60761610904183</v>
      </c>
      <c r="AH47" s="16">
        <v>1100</v>
      </c>
      <c r="AI47" s="16"/>
      <c r="AJ47" s="16"/>
      <c r="AK47" s="16">
        <v>640</v>
      </c>
      <c r="AL47" s="16">
        <v>0</v>
      </c>
      <c r="AM47" s="16">
        <v>58</v>
      </c>
      <c r="AN47" s="16"/>
      <c r="BC47" s="13"/>
      <c r="BD47" s="13"/>
      <c r="BE47" s="13"/>
      <c r="BF47" s="13"/>
      <c r="BG47" s="13"/>
      <c r="BH47" s="13"/>
      <c r="BI47" s="13"/>
      <c r="BJ47" s="13"/>
      <c r="BK47" s="13"/>
      <c r="BL47" s="13"/>
      <c r="BM47" s="13"/>
      <c r="BN47" s="13"/>
    </row>
    <row r="48" spans="1:66" x14ac:dyDescent="0.25">
      <c r="A48" s="22">
        <v>46</v>
      </c>
      <c r="B48" s="23">
        <v>4154.7253589472048</v>
      </c>
      <c r="C48" s="24">
        <v>465.67063373566612</v>
      </c>
      <c r="AH48" s="16">
        <v>1120</v>
      </c>
      <c r="AI48" s="16"/>
      <c r="AJ48" s="16"/>
      <c r="AK48" s="16">
        <v>660</v>
      </c>
      <c r="AL48" s="16">
        <v>0</v>
      </c>
      <c r="AM48" s="16">
        <v>58</v>
      </c>
      <c r="AN48" s="16"/>
      <c r="BC48" s="13"/>
      <c r="BD48" s="13"/>
      <c r="BE48" s="13"/>
      <c r="BF48" s="13"/>
      <c r="BG48" s="13"/>
      <c r="BH48" s="13"/>
      <c r="BI48" s="13"/>
      <c r="BJ48" s="13"/>
      <c r="BK48" s="13"/>
      <c r="BL48" s="13"/>
      <c r="BM48" s="13"/>
      <c r="BN48" s="13"/>
    </row>
    <row r="49" spans="1:66" x14ac:dyDescent="0.25">
      <c r="A49" s="22">
        <v>47</v>
      </c>
      <c r="B49" s="23">
        <v>4154.0203597868503</v>
      </c>
      <c r="C49" s="24">
        <v>384.65836169496049</v>
      </c>
      <c r="AH49" s="16">
        <v>1140</v>
      </c>
      <c r="AI49" s="16"/>
      <c r="AJ49" s="16"/>
      <c r="AK49" s="16">
        <v>660</v>
      </c>
      <c r="AL49" s="16">
        <v>0</v>
      </c>
      <c r="AM49" s="16">
        <v>52</v>
      </c>
      <c r="AN49" s="16"/>
      <c r="BC49" s="13"/>
      <c r="BD49" s="13"/>
      <c r="BE49" s="13"/>
      <c r="BF49" s="13"/>
      <c r="BG49" s="13"/>
      <c r="BH49" s="13"/>
      <c r="BI49" s="13"/>
      <c r="BJ49" s="13"/>
      <c r="BK49" s="13"/>
      <c r="BL49" s="13"/>
      <c r="BM49" s="13"/>
      <c r="BN49" s="13"/>
    </row>
    <row r="50" spans="1:66" x14ac:dyDescent="0.25">
      <c r="A50" s="22">
        <v>48</v>
      </c>
      <c r="B50" s="23">
        <v>4155.5525788931063</v>
      </c>
      <c r="C50" s="24">
        <v>427.07398479554922</v>
      </c>
      <c r="AH50" s="16">
        <v>1160</v>
      </c>
      <c r="AI50" s="16"/>
      <c r="AJ50" s="16"/>
      <c r="AK50" s="16">
        <v>680</v>
      </c>
      <c r="AL50" s="16">
        <v>0</v>
      </c>
      <c r="AM50" s="16">
        <v>52</v>
      </c>
      <c r="AN50" s="16"/>
      <c r="BC50" s="13"/>
      <c r="BD50" s="13"/>
      <c r="BE50" s="13"/>
      <c r="BF50" s="13"/>
      <c r="BG50" s="13"/>
      <c r="BH50" s="13"/>
      <c r="BI50" s="13"/>
      <c r="BJ50" s="13"/>
      <c r="BK50" s="13"/>
      <c r="BL50" s="13"/>
      <c r="BM50" s="13"/>
      <c r="BN50" s="13"/>
    </row>
    <row r="51" spans="1:66" x14ac:dyDescent="0.25">
      <c r="A51" s="22">
        <v>49</v>
      </c>
      <c r="B51" s="23">
        <v>4153.1550792012931</v>
      </c>
      <c r="C51" s="24">
        <v>325.11688733306124</v>
      </c>
      <c r="AH51" s="16">
        <v>1180</v>
      </c>
      <c r="AI51" s="16"/>
      <c r="AJ51" s="16"/>
      <c r="AK51" s="16">
        <v>680</v>
      </c>
      <c r="AL51" s="16">
        <v>0</v>
      </c>
      <c r="AM51" s="16">
        <v>29</v>
      </c>
      <c r="AN51" s="16"/>
      <c r="BC51" s="13"/>
      <c r="BD51" s="13"/>
      <c r="BE51" s="13"/>
      <c r="BF51" s="13"/>
      <c r="BG51" s="13"/>
      <c r="BH51" s="13"/>
      <c r="BI51" s="13"/>
      <c r="BJ51" s="13"/>
      <c r="BK51" s="13"/>
      <c r="BL51" s="13"/>
      <c r="BM51" s="13"/>
      <c r="BN51" s="13"/>
    </row>
    <row r="52" spans="1:66" x14ac:dyDescent="0.25">
      <c r="A52" s="22">
        <v>50</v>
      </c>
      <c r="B52" s="23">
        <v>4150.3766910258873</v>
      </c>
      <c r="C52" s="24">
        <v>273.20076693038556</v>
      </c>
      <c r="AH52" s="16">
        <v>1200</v>
      </c>
      <c r="AI52" s="16"/>
      <c r="AJ52" s="16"/>
      <c r="AK52" s="16">
        <v>700</v>
      </c>
      <c r="AL52" s="16">
        <v>0</v>
      </c>
      <c r="AM52" s="16">
        <v>29</v>
      </c>
      <c r="AN52" s="16"/>
      <c r="BC52" s="13"/>
      <c r="BD52" s="13"/>
      <c r="BE52" s="13"/>
      <c r="BF52" s="13"/>
      <c r="BG52" s="13"/>
      <c r="BH52" s="13"/>
      <c r="BI52" s="13"/>
      <c r="BJ52" s="13"/>
      <c r="BK52" s="13"/>
      <c r="BL52" s="13"/>
      <c r="BM52" s="13"/>
      <c r="BN52" s="13"/>
    </row>
    <row r="53" spans="1:66" x14ac:dyDescent="0.25">
      <c r="A53" s="22">
        <v>51</v>
      </c>
      <c r="B53" s="23">
        <v>4153.265215251311</v>
      </c>
      <c r="C53" s="24">
        <v>495.18338901457116</v>
      </c>
      <c r="AH53" s="16">
        <v>1220</v>
      </c>
      <c r="AI53" s="16"/>
      <c r="AJ53" s="16"/>
      <c r="AK53" s="16">
        <v>700</v>
      </c>
      <c r="AL53" s="16">
        <v>0</v>
      </c>
      <c r="AM53" s="16">
        <v>20</v>
      </c>
      <c r="AN53" s="16"/>
      <c r="BC53" s="13"/>
      <c r="BD53" s="13"/>
      <c r="BE53" s="13"/>
      <c r="BF53" s="13"/>
      <c r="BG53" s="13"/>
      <c r="BH53" s="13"/>
      <c r="BI53" s="13"/>
      <c r="BJ53" s="13"/>
      <c r="BK53" s="13"/>
      <c r="BL53" s="13"/>
      <c r="BM53" s="13"/>
      <c r="BN53" s="13"/>
    </row>
    <row r="54" spans="1:66" x14ac:dyDescent="0.25">
      <c r="A54" s="22">
        <v>52</v>
      </c>
      <c r="B54" s="23">
        <v>4158.1416981846769</v>
      </c>
      <c r="C54" s="24">
        <v>281.60032984150985</v>
      </c>
      <c r="AH54" s="16">
        <v>1240</v>
      </c>
      <c r="AI54" s="16"/>
      <c r="AJ54" s="16"/>
      <c r="AK54" s="16">
        <v>720</v>
      </c>
      <c r="AL54" s="16">
        <v>0</v>
      </c>
      <c r="AM54" s="16">
        <v>20</v>
      </c>
      <c r="AN54" s="16"/>
      <c r="BC54" s="13"/>
      <c r="BD54" s="13"/>
      <c r="BE54" s="13"/>
      <c r="BF54" s="13"/>
      <c r="BG54" s="13"/>
      <c r="BH54" s="13"/>
      <c r="BI54" s="13"/>
      <c r="BJ54" s="13"/>
      <c r="BK54" s="13"/>
      <c r="BL54" s="13"/>
      <c r="BM54" s="13"/>
      <c r="BN54" s="13"/>
    </row>
    <row r="55" spans="1:66" x14ac:dyDescent="0.25">
      <c r="A55" s="22">
        <v>53</v>
      </c>
      <c r="B55" s="23">
        <v>4152.5232023491872</v>
      </c>
      <c r="C55" s="24">
        <v>300.13219842895649</v>
      </c>
      <c r="AH55" s="16">
        <v>1260</v>
      </c>
      <c r="AI55" s="16"/>
      <c r="AJ55" s="16"/>
      <c r="AK55" s="16">
        <v>720</v>
      </c>
      <c r="AL55" s="16">
        <v>0</v>
      </c>
      <c r="AM55" s="16">
        <v>13</v>
      </c>
      <c r="AN55" s="16"/>
      <c r="BC55" s="13"/>
      <c r="BD55" s="13"/>
      <c r="BE55" s="13"/>
      <c r="BF55" s="13"/>
      <c r="BG55" s="13"/>
      <c r="BH55" s="13"/>
      <c r="BI55" s="13"/>
      <c r="BJ55" s="13"/>
      <c r="BK55" s="13"/>
      <c r="BL55" s="13"/>
      <c r="BM55" s="13"/>
      <c r="BN55" s="13"/>
    </row>
    <row r="56" spans="1:66" x14ac:dyDescent="0.25">
      <c r="A56" s="22">
        <v>54</v>
      </c>
      <c r="B56" s="23">
        <v>4151.3842288446003</v>
      </c>
      <c r="C56" s="24">
        <v>429.91162117594848</v>
      </c>
      <c r="AH56" s="16">
        <v>1280</v>
      </c>
      <c r="AI56" s="16"/>
      <c r="AJ56" s="16"/>
      <c r="AK56" s="16">
        <v>740</v>
      </c>
      <c r="AL56" s="16">
        <v>0</v>
      </c>
      <c r="AM56" s="16">
        <v>13</v>
      </c>
      <c r="AN56" s="16"/>
      <c r="BC56" s="13"/>
      <c r="BD56" s="13"/>
      <c r="BE56" s="13"/>
      <c r="BF56" s="13"/>
      <c r="BG56" s="13"/>
      <c r="BH56" s="13"/>
      <c r="BI56" s="13"/>
      <c r="BJ56" s="13"/>
      <c r="BK56" s="13"/>
      <c r="BL56" s="13"/>
      <c r="BM56" s="13"/>
      <c r="BN56" s="13"/>
    </row>
    <row r="57" spans="1:66" x14ac:dyDescent="0.25">
      <c r="A57" s="22">
        <v>55</v>
      </c>
      <c r="B57" s="23">
        <v>4154.6635934390861</v>
      </c>
      <c r="C57" s="24">
        <v>427.67977371674789</v>
      </c>
      <c r="AH57" s="16">
        <v>1300</v>
      </c>
      <c r="AI57" s="16"/>
      <c r="AJ57" s="16"/>
      <c r="AK57" s="16">
        <v>740</v>
      </c>
      <c r="AL57" s="16">
        <v>0</v>
      </c>
      <c r="AM57" s="16">
        <v>13</v>
      </c>
      <c r="AN57" s="16"/>
      <c r="BC57" s="13"/>
      <c r="BD57" s="13"/>
      <c r="BE57" s="13"/>
      <c r="BF57" s="13"/>
      <c r="BG57" s="13"/>
      <c r="BH57" s="13"/>
      <c r="BI57" s="13"/>
      <c r="BJ57" s="13"/>
      <c r="BK57" s="13"/>
      <c r="BL57" s="13"/>
      <c r="BM57" s="13"/>
      <c r="BN57" s="13"/>
    </row>
    <row r="58" spans="1:66" x14ac:dyDescent="0.25">
      <c r="A58" s="22">
        <v>56</v>
      </c>
      <c r="B58" s="23">
        <v>4156.3575382833515</v>
      </c>
      <c r="C58" s="24">
        <v>424.5955831166026</v>
      </c>
      <c r="AH58" s="16">
        <v>1320</v>
      </c>
      <c r="AI58" s="16"/>
      <c r="AJ58" s="16"/>
      <c r="AK58" s="16">
        <v>760</v>
      </c>
      <c r="AL58" s="16">
        <v>0</v>
      </c>
      <c r="AM58" s="16">
        <v>13</v>
      </c>
      <c r="AN58" s="16"/>
      <c r="BC58" s="13"/>
      <c r="BD58" s="13"/>
      <c r="BE58" s="13"/>
      <c r="BF58" s="13"/>
      <c r="BG58" s="13"/>
      <c r="BH58" s="13"/>
      <c r="BI58" s="13"/>
      <c r="BJ58" s="13"/>
      <c r="BK58" s="13"/>
      <c r="BL58" s="13"/>
      <c r="BM58" s="13"/>
      <c r="BN58" s="13"/>
    </row>
    <row r="59" spans="1:66" x14ac:dyDescent="0.25">
      <c r="A59" s="22">
        <v>57</v>
      </c>
      <c r="B59" s="23">
        <v>4155.3060542890316</v>
      </c>
      <c r="C59" s="24">
        <v>378.42496656887909</v>
      </c>
      <c r="AH59" s="16">
        <v>1340</v>
      </c>
      <c r="AI59" s="16"/>
      <c r="AJ59" s="16"/>
      <c r="AK59" s="16">
        <v>760</v>
      </c>
      <c r="AL59" s="16">
        <v>0</v>
      </c>
      <c r="AM59" s="16">
        <v>3</v>
      </c>
      <c r="AN59" s="16"/>
      <c r="BC59" s="13"/>
      <c r="BD59" s="13"/>
      <c r="BE59" s="13"/>
      <c r="BF59" s="13"/>
      <c r="BG59" s="13"/>
      <c r="BH59" s="13"/>
      <c r="BI59" s="13"/>
      <c r="BJ59" s="13"/>
      <c r="BK59" s="13"/>
      <c r="BL59" s="13"/>
      <c r="BM59" s="13"/>
      <c r="BN59" s="13"/>
    </row>
    <row r="60" spans="1:66" x14ac:dyDescent="0.25">
      <c r="A60" s="22">
        <v>58</v>
      </c>
      <c r="B60" s="23">
        <v>4154.2228403226609</v>
      </c>
      <c r="C60" s="24">
        <v>360.93832388985282</v>
      </c>
      <c r="AH60" s="16">
        <v>1360</v>
      </c>
      <c r="AI60" s="16"/>
      <c r="AJ60" s="16"/>
      <c r="AK60" s="16">
        <v>780</v>
      </c>
      <c r="AL60" s="16">
        <v>0</v>
      </c>
      <c r="AM60" s="16">
        <v>3</v>
      </c>
      <c r="AN60" s="16"/>
      <c r="BC60" s="13"/>
      <c r="BD60" s="13"/>
      <c r="BE60" s="13"/>
      <c r="BF60" s="13"/>
      <c r="BG60" s="13"/>
      <c r="BH60" s="13"/>
      <c r="BI60" s="13"/>
      <c r="BJ60" s="13"/>
      <c r="BK60" s="13"/>
      <c r="BL60" s="13"/>
      <c r="BM60" s="13"/>
      <c r="BN60" s="13"/>
    </row>
    <row r="61" spans="1:66" x14ac:dyDescent="0.25">
      <c r="A61" s="22">
        <v>59</v>
      </c>
      <c r="B61" s="23">
        <v>4155.5392627569718</v>
      </c>
      <c r="C61" s="24">
        <v>386.39029566076368</v>
      </c>
      <c r="AH61" s="16">
        <v>1380</v>
      </c>
      <c r="AI61" s="16"/>
      <c r="AJ61" s="16"/>
      <c r="AK61" s="16">
        <v>780</v>
      </c>
      <c r="AL61" s="16">
        <v>0</v>
      </c>
      <c r="AM61" s="16">
        <v>7</v>
      </c>
      <c r="AN61" s="16"/>
      <c r="BC61" s="13"/>
      <c r="BD61" s="13"/>
      <c r="BE61" s="13"/>
      <c r="BF61" s="13"/>
      <c r="BG61" s="13"/>
      <c r="BH61" s="13"/>
      <c r="BI61" s="13"/>
      <c r="BJ61" s="13"/>
      <c r="BK61" s="13"/>
      <c r="BL61" s="13"/>
      <c r="BM61" s="13"/>
      <c r="BN61" s="13"/>
    </row>
    <row r="62" spans="1:66" x14ac:dyDescent="0.25">
      <c r="A62" s="22">
        <v>60</v>
      </c>
      <c r="B62" s="23">
        <v>4152.8484907838401</v>
      </c>
      <c r="C62" s="24">
        <v>426.307759025287</v>
      </c>
      <c r="AH62" s="16">
        <v>1400</v>
      </c>
      <c r="AI62" s="16"/>
      <c r="AJ62" s="16"/>
      <c r="AK62" s="16">
        <v>800</v>
      </c>
      <c r="AL62" s="16">
        <v>0</v>
      </c>
      <c r="AM62" s="16">
        <v>7</v>
      </c>
      <c r="AN62" s="16"/>
      <c r="BC62" s="13"/>
      <c r="BD62" s="13"/>
      <c r="BE62" s="13"/>
      <c r="BF62" s="13"/>
      <c r="BG62" s="13"/>
      <c r="BH62" s="13"/>
      <c r="BI62" s="13"/>
      <c r="BJ62" s="13"/>
      <c r="BK62" s="13"/>
      <c r="BL62" s="13"/>
      <c r="BM62" s="13"/>
      <c r="BN62" s="13"/>
    </row>
    <row r="63" spans="1:66" x14ac:dyDescent="0.25">
      <c r="A63" s="22">
        <v>61</v>
      </c>
      <c r="B63" s="23">
        <v>4156.3384455331416</v>
      </c>
      <c r="C63" s="24">
        <v>473.03578203288293</v>
      </c>
      <c r="AH63" s="16">
        <v>1420</v>
      </c>
      <c r="AI63" s="16"/>
      <c r="AJ63" s="16"/>
      <c r="AK63" s="16">
        <v>800</v>
      </c>
      <c r="AL63" s="16">
        <v>0</v>
      </c>
      <c r="AM63" s="16">
        <v>6</v>
      </c>
      <c r="AN63" s="16"/>
      <c r="BC63" s="13"/>
      <c r="BD63" s="13"/>
      <c r="BE63" s="13"/>
      <c r="BF63" s="13"/>
      <c r="BG63" s="13"/>
      <c r="BH63" s="13"/>
      <c r="BI63" s="13"/>
      <c r="BJ63" s="13"/>
      <c r="BK63" s="13"/>
      <c r="BL63" s="13"/>
      <c r="BM63" s="13"/>
      <c r="BN63" s="13"/>
    </row>
    <row r="64" spans="1:66" x14ac:dyDescent="0.25">
      <c r="A64" s="22">
        <v>62</v>
      </c>
      <c r="B64" s="23">
        <v>4161.0164200186</v>
      </c>
      <c r="C64" s="24">
        <v>425.48914432110621</v>
      </c>
      <c r="AH64" s="16">
        <v>1440</v>
      </c>
      <c r="AI64" s="16"/>
      <c r="AJ64" s="16"/>
      <c r="AK64" s="16">
        <v>820</v>
      </c>
      <c r="AL64" s="16">
        <v>0</v>
      </c>
      <c r="AM64" s="16">
        <v>6</v>
      </c>
      <c r="AN64" s="16"/>
      <c r="BC64" s="13"/>
      <c r="BD64" s="13"/>
      <c r="BE64" s="13"/>
      <c r="BF64" s="13"/>
      <c r="BG64" s="13"/>
      <c r="BH64" s="13"/>
      <c r="BI64" s="13"/>
      <c r="BJ64" s="13"/>
      <c r="BK64" s="13"/>
      <c r="BL64" s="13"/>
      <c r="BM64" s="13"/>
      <c r="BN64" s="13"/>
    </row>
    <row r="65" spans="1:66" x14ac:dyDescent="0.25">
      <c r="A65" s="22">
        <v>63</v>
      </c>
      <c r="B65" s="23">
        <v>4152.4570864442749</v>
      </c>
      <c r="C65" s="24">
        <v>548.41035708458173</v>
      </c>
      <c r="AH65" s="16">
        <v>1460</v>
      </c>
      <c r="AI65" s="16"/>
      <c r="AJ65" s="16"/>
      <c r="AK65" s="16">
        <v>820</v>
      </c>
      <c r="AL65" s="16">
        <v>0</v>
      </c>
      <c r="AM65" s="16">
        <v>1</v>
      </c>
      <c r="AN65" s="16"/>
      <c r="BC65" s="13"/>
      <c r="BD65" s="13"/>
      <c r="BE65" s="13"/>
      <c r="BF65" s="13"/>
      <c r="BG65" s="13"/>
      <c r="BH65" s="13"/>
      <c r="BI65" s="13"/>
      <c r="BJ65" s="13"/>
      <c r="BK65" s="13"/>
      <c r="BL65" s="13"/>
      <c r="BM65" s="13"/>
      <c r="BN65" s="13"/>
    </row>
    <row r="66" spans="1:66" x14ac:dyDescent="0.25">
      <c r="A66" s="22">
        <v>64</v>
      </c>
      <c r="B66" s="23">
        <v>4151.309214907662</v>
      </c>
      <c r="C66" s="24">
        <v>377.88215824849885</v>
      </c>
      <c r="AH66" s="16">
        <v>1480</v>
      </c>
      <c r="AI66" s="16"/>
      <c r="AJ66" s="16"/>
      <c r="AK66" s="16">
        <v>840</v>
      </c>
      <c r="AL66" s="16">
        <v>0</v>
      </c>
      <c r="AM66" s="16">
        <v>1</v>
      </c>
      <c r="AN66" s="16"/>
      <c r="BC66" s="13"/>
      <c r="BD66" s="13"/>
      <c r="BE66" s="13"/>
      <c r="BF66" s="13"/>
      <c r="BG66" s="13"/>
      <c r="BH66" s="13"/>
      <c r="BI66" s="13"/>
      <c r="BJ66" s="13"/>
      <c r="BK66" s="13"/>
      <c r="BL66" s="13"/>
      <c r="BM66" s="13"/>
      <c r="BN66" s="13"/>
    </row>
    <row r="67" spans="1:66" x14ac:dyDescent="0.25">
      <c r="A67" s="22">
        <v>65</v>
      </c>
      <c r="B67" s="23">
        <v>4154.8092144442144</v>
      </c>
      <c r="C67" s="24">
        <v>457.38764134182725</v>
      </c>
      <c r="AH67" s="16">
        <v>1500</v>
      </c>
      <c r="AI67" s="16"/>
      <c r="AJ67" s="16"/>
      <c r="AK67" s="16">
        <v>840</v>
      </c>
      <c r="AL67" s="16">
        <v>0</v>
      </c>
      <c r="AM67" s="16">
        <v>6</v>
      </c>
      <c r="AN67" s="16"/>
      <c r="BC67" s="13"/>
      <c r="BD67" s="13"/>
      <c r="BE67" s="13"/>
      <c r="BF67" s="13"/>
      <c r="BG67" s="13"/>
      <c r="BH67" s="13"/>
      <c r="BI67" s="13"/>
      <c r="BJ67" s="13"/>
      <c r="BK67" s="13"/>
      <c r="BL67" s="13"/>
      <c r="BM67" s="13"/>
      <c r="BN67" s="13"/>
    </row>
    <row r="68" spans="1:66" x14ac:dyDescent="0.25">
      <c r="A68" s="22">
        <v>66</v>
      </c>
      <c r="B68" s="23">
        <v>4153.4609364322641</v>
      </c>
      <c r="C68" s="24">
        <v>641.6304632909563</v>
      </c>
      <c r="AH68" s="13">
        <v>1520</v>
      </c>
      <c r="AK68" s="13">
        <v>860</v>
      </c>
      <c r="AL68" s="13">
        <v>0</v>
      </c>
      <c r="AM68" s="13">
        <v>6</v>
      </c>
      <c r="BC68" s="13"/>
      <c r="BD68" s="13"/>
      <c r="BE68" s="13"/>
      <c r="BF68" s="13"/>
      <c r="BG68" s="13"/>
      <c r="BH68" s="13"/>
      <c r="BI68" s="13"/>
      <c r="BJ68" s="13"/>
      <c r="BK68" s="13"/>
      <c r="BL68" s="13"/>
      <c r="BM68" s="13"/>
      <c r="BN68" s="13"/>
    </row>
    <row r="69" spans="1:66" x14ac:dyDescent="0.25">
      <c r="A69" s="22">
        <v>67</v>
      </c>
      <c r="B69" s="23">
        <v>4154.835304118772</v>
      </c>
      <c r="C69" s="24">
        <v>524.4964369482135</v>
      </c>
      <c r="AH69" s="13">
        <v>1540</v>
      </c>
      <c r="AK69" s="13">
        <v>860</v>
      </c>
      <c r="AL69" s="13">
        <v>0</v>
      </c>
      <c r="AM69" s="13">
        <v>0</v>
      </c>
      <c r="BC69" s="13"/>
      <c r="BD69" s="13"/>
      <c r="BE69" s="13"/>
      <c r="BF69" s="13"/>
      <c r="BG69" s="13"/>
      <c r="BH69" s="13"/>
      <c r="BI69" s="13"/>
      <c r="BJ69" s="13"/>
      <c r="BK69" s="13"/>
      <c r="BL69" s="13"/>
      <c r="BM69" s="13"/>
      <c r="BN69" s="13"/>
    </row>
    <row r="70" spans="1:66" x14ac:dyDescent="0.25">
      <c r="A70" s="22">
        <v>68</v>
      </c>
      <c r="B70" s="23">
        <v>4153.7651336318195</v>
      </c>
      <c r="C70" s="24">
        <v>333.97540477324162</v>
      </c>
      <c r="AH70" s="13">
        <v>1560</v>
      </c>
      <c r="AK70" s="13">
        <v>880</v>
      </c>
      <c r="AL70" s="13">
        <v>0</v>
      </c>
      <c r="AM70" s="13">
        <v>0</v>
      </c>
      <c r="BC70" s="13"/>
      <c r="BD70" s="13"/>
      <c r="BE70" s="13"/>
      <c r="BF70" s="13"/>
      <c r="BG70" s="13"/>
      <c r="BH70" s="13"/>
      <c r="BI70" s="13"/>
      <c r="BJ70" s="13"/>
      <c r="BK70" s="13"/>
      <c r="BL70" s="13"/>
      <c r="BM70" s="13"/>
      <c r="BN70" s="13"/>
    </row>
    <row r="71" spans="1:66" x14ac:dyDescent="0.25">
      <c r="A71" s="22">
        <v>69</v>
      </c>
      <c r="B71" s="23">
        <v>4156.5263512717565</v>
      </c>
      <c r="C71" s="24">
        <v>481.14622142557033</v>
      </c>
      <c r="AH71" s="13">
        <v>1580</v>
      </c>
      <c r="AK71" s="13">
        <v>880</v>
      </c>
      <c r="AL71" s="13">
        <v>0</v>
      </c>
      <c r="AM71" s="13">
        <v>1</v>
      </c>
      <c r="BC71" s="13"/>
      <c r="BD71" s="13"/>
      <c r="BE71" s="13"/>
      <c r="BF71" s="13"/>
      <c r="BG71" s="13"/>
      <c r="BH71" s="13"/>
      <c r="BI71" s="13"/>
      <c r="BJ71" s="13"/>
      <c r="BK71" s="13"/>
      <c r="BL71" s="13"/>
      <c r="BM71" s="13"/>
      <c r="BN71" s="13"/>
    </row>
    <row r="72" spans="1:66" x14ac:dyDescent="0.25">
      <c r="A72" s="22">
        <v>70</v>
      </c>
      <c r="B72" s="23">
        <v>4153.6674674647038</v>
      </c>
      <c r="C72" s="24">
        <v>418.67934298609941</v>
      </c>
      <c r="AH72" s="13">
        <v>1600</v>
      </c>
      <c r="AK72" s="13">
        <v>900</v>
      </c>
      <c r="AL72" s="13">
        <v>0</v>
      </c>
      <c r="AM72" s="13">
        <v>1</v>
      </c>
      <c r="BC72" s="13"/>
      <c r="BD72" s="13"/>
      <c r="BE72" s="13"/>
      <c r="BF72" s="13"/>
      <c r="BG72" s="13"/>
      <c r="BH72" s="13"/>
      <c r="BI72" s="13"/>
      <c r="BJ72" s="13"/>
      <c r="BK72" s="13"/>
      <c r="BL72" s="13"/>
      <c r="BM72" s="13"/>
      <c r="BN72" s="13"/>
    </row>
    <row r="73" spans="1:66" x14ac:dyDescent="0.25">
      <c r="A73" s="22">
        <v>71</v>
      </c>
      <c r="B73" s="23">
        <v>4159.1659654411787</v>
      </c>
      <c r="C73" s="24">
        <v>408.3571072669879</v>
      </c>
      <c r="AH73" s="13">
        <v>1620</v>
      </c>
      <c r="AK73" s="13">
        <v>900</v>
      </c>
      <c r="AL73" s="13">
        <v>0</v>
      </c>
      <c r="AM73" s="13">
        <v>0</v>
      </c>
      <c r="BC73" s="13"/>
      <c r="BD73" s="13"/>
      <c r="BE73" s="13"/>
      <c r="BF73" s="13"/>
      <c r="BG73" s="13"/>
      <c r="BH73" s="13"/>
      <c r="BI73" s="13"/>
      <c r="BJ73" s="13"/>
      <c r="BK73" s="13"/>
      <c r="BL73" s="13"/>
      <c r="BM73" s="13"/>
      <c r="BN73" s="13"/>
    </row>
    <row r="74" spans="1:66" x14ac:dyDescent="0.25">
      <c r="A74" s="22">
        <v>72</v>
      </c>
      <c r="B74" s="23">
        <v>4156.8544425146174</v>
      </c>
      <c r="C74" s="24">
        <v>422.96577755221597</v>
      </c>
      <c r="AH74" s="13">
        <v>1640</v>
      </c>
      <c r="AK74" s="13">
        <v>920</v>
      </c>
      <c r="AL74" s="13">
        <v>0</v>
      </c>
      <c r="AM74" s="13">
        <v>0</v>
      </c>
      <c r="BC74" s="13"/>
      <c r="BD74" s="13"/>
      <c r="BE74" s="13"/>
      <c r="BF74" s="13"/>
      <c r="BG74" s="13"/>
      <c r="BH74" s="13"/>
      <c r="BI74" s="13"/>
      <c r="BJ74" s="13"/>
      <c r="BK74" s="13"/>
      <c r="BL74" s="13"/>
      <c r="BM74" s="13"/>
      <c r="BN74" s="13"/>
    </row>
    <row r="75" spans="1:66" x14ac:dyDescent="0.25">
      <c r="A75" s="22">
        <v>73</v>
      </c>
      <c r="B75" s="23">
        <v>4155.0377170815427</v>
      </c>
      <c r="C75" s="24">
        <v>510.53461162999344</v>
      </c>
      <c r="AH75" s="13">
        <v>1660</v>
      </c>
      <c r="AK75" s="13">
        <v>920</v>
      </c>
      <c r="AL75" s="13">
        <v>0</v>
      </c>
      <c r="AM75" s="13">
        <v>1</v>
      </c>
      <c r="BC75" s="13"/>
      <c r="BD75" s="13"/>
      <c r="BE75" s="13"/>
      <c r="BF75" s="13"/>
      <c r="BG75" s="13"/>
      <c r="BH75" s="13"/>
      <c r="BI75" s="13"/>
      <c r="BJ75" s="13"/>
      <c r="BK75" s="13"/>
      <c r="BL75" s="13"/>
      <c r="BM75" s="13"/>
      <c r="BN75" s="13"/>
    </row>
    <row r="76" spans="1:66" x14ac:dyDescent="0.25">
      <c r="A76" s="22">
        <v>74</v>
      </c>
      <c r="B76" s="23">
        <v>4156.1093925194364</v>
      </c>
      <c r="C76" s="24">
        <v>386.16914851745457</v>
      </c>
      <c r="AH76" s="13">
        <v>1680</v>
      </c>
      <c r="AK76" s="13">
        <v>940</v>
      </c>
      <c r="AL76" s="13">
        <v>0</v>
      </c>
      <c r="AM76" s="13">
        <v>1</v>
      </c>
      <c r="BC76" s="13"/>
      <c r="BD76" s="13"/>
      <c r="BE76" s="13"/>
      <c r="BF76" s="13"/>
      <c r="BG76" s="13"/>
      <c r="BH76" s="13"/>
      <c r="BI76" s="13"/>
      <c r="BJ76" s="13"/>
      <c r="BK76" s="13"/>
      <c r="BL76" s="13"/>
      <c r="BM76" s="13"/>
      <c r="BN76" s="13"/>
    </row>
    <row r="77" spans="1:66" x14ac:dyDescent="0.25">
      <c r="A77" s="22">
        <v>75</v>
      </c>
      <c r="B77" s="23">
        <v>4158.323480316988</v>
      </c>
      <c r="C77" s="24">
        <v>388.63499651910206</v>
      </c>
      <c r="AH77" s="13">
        <v>1700</v>
      </c>
      <c r="AK77" s="13">
        <v>940</v>
      </c>
      <c r="AL77" s="13">
        <v>0</v>
      </c>
      <c r="AM77" s="13">
        <v>0</v>
      </c>
      <c r="BC77" s="13"/>
      <c r="BD77" s="13"/>
      <c r="BE77" s="13"/>
      <c r="BF77" s="13"/>
      <c r="BG77" s="13"/>
      <c r="BH77" s="13"/>
      <c r="BI77" s="13"/>
      <c r="BJ77" s="13"/>
      <c r="BK77" s="13"/>
      <c r="BL77" s="13"/>
      <c r="BM77" s="13"/>
      <c r="BN77" s="13"/>
    </row>
    <row r="78" spans="1:66" x14ac:dyDescent="0.25">
      <c r="A78" s="22">
        <v>76</v>
      </c>
      <c r="B78" s="23">
        <v>4152.876897586465</v>
      </c>
      <c r="C78" s="24">
        <v>378.76251296977608</v>
      </c>
      <c r="AH78" s="13">
        <v>1720</v>
      </c>
      <c r="AK78" s="13">
        <v>960</v>
      </c>
      <c r="AL78" s="13">
        <v>0</v>
      </c>
      <c r="AM78" s="13">
        <v>0</v>
      </c>
      <c r="BC78" s="13"/>
      <c r="BD78" s="13"/>
      <c r="BE78" s="13"/>
      <c r="BF78" s="13"/>
      <c r="BG78" s="13"/>
      <c r="BH78" s="13"/>
      <c r="BI78" s="13"/>
      <c r="BJ78" s="13"/>
      <c r="BK78" s="13"/>
      <c r="BL78" s="13"/>
      <c r="BM78" s="13"/>
      <c r="BN78" s="13"/>
    </row>
    <row r="79" spans="1:66" x14ac:dyDescent="0.25">
      <c r="A79" s="22">
        <v>77</v>
      </c>
      <c r="B79" s="23">
        <v>4152.5367431933528</v>
      </c>
      <c r="C79" s="24">
        <v>375.22622066057636</v>
      </c>
      <c r="AH79" s="13">
        <v>1740</v>
      </c>
      <c r="AK79" s="13">
        <v>960</v>
      </c>
      <c r="AL79" s="13">
        <v>0</v>
      </c>
      <c r="AM79" s="13">
        <v>0</v>
      </c>
      <c r="BC79" s="13"/>
      <c r="BD79" s="13"/>
      <c r="BE79" s="13"/>
      <c r="BF79" s="13"/>
      <c r="BG79" s="13"/>
      <c r="BH79" s="13"/>
      <c r="BI79" s="13"/>
      <c r="BJ79" s="13"/>
      <c r="BK79" s="13"/>
      <c r="BL79" s="13"/>
      <c r="BM79" s="13"/>
      <c r="BN79" s="13"/>
    </row>
    <row r="80" spans="1:66" x14ac:dyDescent="0.25">
      <c r="A80" s="22">
        <v>78</v>
      </c>
      <c r="B80" s="23">
        <v>4153.9763158517171</v>
      </c>
      <c r="C80" s="24">
        <v>430.04649121498534</v>
      </c>
      <c r="AH80" s="13">
        <v>1760</v>
      </c>
      <c r="AK80" s="13">
        <v>980</v>
      </c>
      <c r="AL80" s="13">
        <v>0</v>
      </c>
      <c r="AM80" s="13">
        <v>0</v>
      </c>
      <c r="BC80" s="13"/>
      <c r="BD80" s="13"/>
      <c r="BE80" s="13"/>
      <c r="BF80" s="13"/>
      <c r="BG80" s="13"/>
      <c r="BH80" s="13"/>
      <c r="BI80" s="13"/>
      <c r="BJ80" s="13"/>
      <c r="BK80" s="13"/>
      <c r="BL80" s="13"/>
      <c r="BM80" s="13"/>
      <c r="BN80" s="13"/>
    </row>
    <row r="81" spans="1:66" x14ac:dyDescent="0.25">
      <c r="A81" s="22">
        <v>79</v>
      </c>
      <c r="B81" s="23">
        <v>4153.8167076695481</v>
      </c>
      <c r="C81" s="24">
        <v>553.28436144531759</v>
      </c>
      <c r="AH81" s="13">
        <v>1780</v>
      </c>
      <c r="AK81" s="13">
        <v>980</v>
      </c>
      <c r="AL81" s="13">
        <v>0</v>
      </c>
      <c r="AM81" s="13">
        <v>1</v>
      </c>
      <c r="BC81" s="13"/>
      <c r="BD81" s="13"/>
      <c r="BE81" s="13"/>
      <c r="BF81" s="13"/>
      <c r="BG81" s="13"/>
      <c r="BH81" s="13"/>
      <c r="BI81" s="13"/>
      <c r="BJ81" s="13"/>
      <c r="BK81" s="13"/>
      <c r="BL81" s="13"/>
      <c r="BM81" s="13"/>
      <c r="BN81" s="13"/>
    </row>
    <row r="82" spans="1:66" x14ac:dyDescent="0.25">
      <c r="A82" s="22">
        <v>80</v>
      </c>
      <c r="B82" s="23">
        <v>4154.1275922302766</v>
      </c>
      <c r="C82" s="24">
        <v>515.29016129948889</v>
      </c>
      <c r="AH82" s="13">
        <v>1800</v>
      </c>
      <c r="AK82" s="13">
        <v>1000</v>
      </c>
      <c r="AL82" s="13">
        <v>0</v>
      </c>
      <c r="AM82" s="13">
        <v>1</v>
      </c>
      <c r="BC82" s="13"/>
      <c r="BD82" s="13"/>
      <c r="BE82" s="13"/>
      <c r="BF82" s="13"/>
      <c r="BG82" s="13"/>
      <c r="BH82" s="13"/>
      <c r="BI82" s="13"/>
      <c r="BJ82" s="13"/>
      <c r="BK82" s="13"/>
      <c r="BL82" s="13"/>
      <c r="BM82" s="13"/>
      <c r="BN82" s="13"/>
    </row>
    <row r="83" spans="1:66" x14ac:dyDescent="0.25">
      <c r="A83" s="22">
        <v>81</v>
      </c>
      <c r="B83" s="23">
        <v>4147.2835676858504</v>
      </c>
      <c r="C83" s="24">
        <v>383.64286856562848</v>
      </c>
      <c r="AH83" s="13">
        <v>1820</v>
      </c>
      <c r="AK83" s="13">
        <v>1000</v>
      </c>
      <c r="AL83" s="13">
        <v>0</v>
      </c>
      <c r="AM83" s="13">
        <v>0</v>
      </c>
      <c r="BC83" s="13"/>
      <c r="BD83" s="13"/>
      <c r="BE83" s="13"/>
      <c r="BF83" s="13"/>
      <c r="BG83" s="13"/>
      <c r="BH83" s="13"/>
      <c r="BI83" s="13"/>
      <c r="BJ83" s="13"/>
      <c r="BK83" s="13"/>
      <c r="BL83" s="13"/>
      <c r="BM83" s="13"/>
      <c r="BN83" s="13"/>
    </row>
    <row r="84" spans="1:66" x14ac:dyDescent="0.25">
      <c r="A84" s="22">
        <v>82</v>
      </c>
      <c r="B84" s="23">
        <v>4152.4490594963618</v>
      </c>
      <c r="C84" s="24">
        <v>434.97679978147409</v>
      </c>
      <c r="AH84" s="13">
        <v>1840</v>
      </c>
      <c r="AK84" s="13">
        <v>1020</v>
      </c>
      <c r="AL84" s="13">
        <v>0</v>
      </c>
      <c r="BC84" s="13"/>
      <c r="BD84" s="13"/>
      <c r="BE84" s="13"/>
      <c r="BF84" s="13"/>
      <c r="BG84" s="13"/>
      <c r="BH84" s="13"/>
      <c r="BI84" s="13"/>
      <c r="BJ84" s="13"/>
      <c r="BK84" s="13"/>
      <c r="BL84" s="13"/>
      <c r="BM84" s="13"/>
      <c r="BN84" s="13"/>
    </row>
    <row r="85" spans="1:66" x14ac:dyDescent="0.25">
      <c r="A85" s="22">
        <v>83</v>
      </c>
      <c r="B85" s="23">
        <v>4155.5784739577512</v>
      </c>
      <c r="C85" s="24">
        <v>291.3010527186234</v>
      </c>
      <c r="AH85" s="13">
        <v>1860</v>
      </c>
      <c r="AK85" s="13">
        <v>1020</v>
      </c>
      <c r="AL85" s="13">
        <v>0</v>
      </c>
      <c r="BC85" s="13"/>
      <c r="BD85" s="13"/>
      <c r="BE85" s="13"/>
      <c r="BF85" s="13"/>
      <c r="BG85" s="13"/>
      <c r="BH85" s="13"/>
      <c r="BI85" s="13"/>
      <c r="BJ85" s="13"/>
      <c r="BK85" s="13"/>
      <c r="BL85" s="13"/>
      <c r="BM85" s="13"/>
      <c r="BN85" s="13"/>
    </row>
    <row r="86" spans="1:66" x14ac:dyDescent="0.25">
      <c r="A86" s="22">
        <v>84</v>
      </c>
      <c r="B86" s="23">
        <v>4153.1305880509972</v>
      </c>
      <c r="C86" s="24">
        <v>506.91244240591766</v>
      </c>
      <c r="AH86" s="13">
        <v>1880</v>
      </c>
      <c r="AK86" s="13">
        <v>1040</v>
      </c>
      <c r="AL86" s="13">
        <v>0</v>
      </c>
      <c r="BC86" s="13"/>
      <c r="BD86" s="13"/>
      <c r="BE86" s="13"/>
      <c r="BF86" s="13"/>
      <c r="BG86" s="13"/>
      <c r="BH86" s="13"/>
      <c r="BI86" s="13"/>
      <c r="BJ86" s="13"/>
      <c r="BK86" s="13"/>
      <c r="BL86" s="13"/>
      <c r="BM86" s="13"/>
      <c r="BN86" s="13"/>
    </row>
    <row r="87" spans="1:66" x14ac:dyDescent="0.25">
      <c r="A87" s="22">
        <v>85</v>
      </c>
      <c r="B87" s="23">
        <v>4153.115297711619</v>
      </c>
      <c r="C87" s="24">
        <v>414.63243934474082</v>
      </c>
      <c r="AH87" s="13">
        <v>1900</v>
      </c>
      <c r="AK87" s="13">
        <v>1040</v>
      </c>
      <c r="AL87" s="13">
        <v>0</v>
      </c>
      <c r="BC87" s="13"/>
      <c r="BD87" s="13"/>
      <c r="BE87" s="13"/>
      <c r="BF87" s="13"/>
      <c r="BG87" s="13"/>
      <c r="BH87" s="13"/>
      <c r="BI87" s="13"/>
      <c r="BJ87" s="13"/>
      <c r="BK87" s="13"/>
      <c r="BL87" s="13"/>
      <c r="BM87" s="13"/>
      <c r="BN87" s="13"/>
    </row>
    <row r="88" spans="1:66" x14ac:dyDescent="0.25">
      <c r="A88" s="22">
        <v>86</v>
      </c>
      <c r="B88" s="23">
        <v>4154.0443164730141</v>
      </c>
      <c r="C88" s="24">
        <v>469.63501329917818</v>
      </c>
      <c r="AH88" s="13">
        <v>1920</v>
      </c>
      <c r="AK88" s="13">
        <v>1060</v>
      </c>
      <c r="AL88" s="13">
        <v>0</v>
      </c>
      <c r="BC88" s="13"/>
      <c r="BD88" s="13"/>
      <c r="BE88" s="13"/>
      <c r="BF88" s="13"/>
      <c r="BG88" s="13"/>
      <c r="BH88" s="13"/>
      <c r="BI88" s="13"/>
      <c r="BJ88" s="13"/>
      <c r="BK88" s="13"/>
      <c r="BL88" s="13"/>
      <c r="BM88" s="13"/>
      <c r="BN88" s="13"/>
    </row>
    <row r="89" spans="1:66" x14ac:dyDescent="0.25">
      <c r="A89" s="22">
        <v>87</v>
      </c>
      <c r="B89" s="23">
        <v>4158.043277849325</v>
      </c>
      <c r="C89" s="24">
        <v>556.07534269608561</v>
      </c>
      <c r="AH89" s="13">
        <v>1940</v>
      </c>
      <c r="AK89" s="13">
        <v>1060</v>
      </c>
      <c r="AL89" s="13">
        <v>0</v>
      </c>
      <c r="BC89" s="13"/>
      <c r="BD89" s="13"/>
      <c r="BE89" s="13"/>
      <c r="BF89" s="13"/>
      <c r="BG89" s="13"/>
      <c r="BH89" s="13"/>
      <c r="BI89" s="13"/>
      <c r="BJ89" s="13"/>
      <c r="BK89" s="13"/>
      <c r="BL89" s="13"/>
      <c r="BM89" s="13"/>
      <c r="BN89" s="13"/>
    </row>
    <row r="90" spans="1:66" x14ac:dyDescent="0.25">
      <c r="A90" s="22">
        <v>88</v>
      </c>
      <c r="B90" s="23">
        <v>4156.0402498356052</v>
      </c>
      <c r="C90" s="24">
        <v>479.29445604047305</v>
      </c>
      <c r="AH90" s="13">
        <v>1960</v>
      </c>
      <c r="AK90" s="13">
        <v>1080</v>
      </c>
      <c r="AL90" s="13">
        <v>0</v>
      </c>
      <c r="BC90" s="13"/>
      <c r="BD90" s="13"/>
      <c r="BE90" s="13"/>
      <c r="BF90" s="13"/>
      <c r="BG90" s="13"/>
      <c r="BH90" s="13"/>
      <c r="BI90" s="13"/>
      <c r="BJ90" s="13"/>
      <c r="BK90" s="13"/>
      <c r="BL90" s="13"/>
      <c r="BM90" s="13"/>
      <c r="BN90" s="13"/>
    </row>
    <row r="91" spans="1:66" x14ac:dyDescent="0.25">
      <c r="A91" s="22">
        <v>89</v>
      </c>
      <c r="B91" s="23">
        <v>4153.0637753600595</v>
      </c>
      <c r="C91" s="24">
        <v>466.58662119939294</v>
      </c>
      <c r="AH91" s="13">
        <v>1980</v>
      </c>
      <c r="AK91" s="13">
        <v>1080</v>
      </c>
      <c r="AL91" s="13">
        <v>0</v>
      </c>
      <c r="BC91" s="13"/>
      <c r="BD91" s="13"/>
      <c r="BE91" s="13"/>
      <c r="BF91" s="13"/>
      <c r="BG91" s="13"/>
      <c r="BH91" s="13"/>
      <c r="BI91" s="13"/>
      <c r="BJ91" s="13"/>
      <c r="BK91" s="13"/>
      <c r="BL91" s="13"/>
      <c r="BM91" s="13"/>
      <c r="BN91" s="13"/>
    </row>
    <row r="92" spans="1:66" x14ac:dyDescent="0.25">
      <c r="A92" s="22">
        <v>90</v>
      </c>
      <c r="B92" s="23">
        <v>4154.1226197296473</v>
      </c>
      <c r="C92" s="24">
        <v>403.27857523145497</v>
      </c>
      <c r="AH92" s="13">
        <v>2000</v>
      </c>
      <c r="AK92" s="13">
        <v>1100</v>
      </c>
      <c r="AL92" s="13">
        <v>0</v>
      </c>
      <c r="BC92" s="13"/>
      <c r="BD92" s="13"/>
      <c r="BE92" s="13"/>
      <c r="BF92" s="13"/>
      <c r="BG92" s="13"/>
      <c r="BH92" s="13"/>
      <c r="BI92" s="13"/>
      <c r="BJ92" s="13"/>
      <c r="BK92" s="13"/>
      <c r="BL92" s="13"/>
      <c r="BM92" s="13"/>
      <c r="BN92" s="13"/>
    </row>
    <row r="93" spans="1:66" x14ac:dyDescent="0.25">
      <c r="A93" s="22">
        <v>91</v>
      </c>
      <c r="B93" s="23">
        <v>4157.7148595541557</v>
      </c>
      <c r="C93" s="24">
        <v>473.86648554417519</v>
      </c>
      <c r="AH93" s="13">
        <v>2020</v>
      </c>
      <c r="AK93" s="13">
        <v>1100</v>
      </c>
      <c r="AL93" s="13">
        <v>0</v>
      </c>
      <c r="BC93" s="13"/>
      <c r="BD93" s="13"/>
      <c r="BE93" s="13"/>
      <c r="BF93" s="13"/>
      <c r="BG93" s="13"/>
      <c r="BH93" s="13"/>
      <c r="BI93" s="13"/>
      <c r="BJ93" s="13"/>
      <c r="BK93" s="13"/>
      <c r="BL93" s="13"/>
      <c r="BM93" s="13"/>
      <c r="BN93" s="13"/>
    </row>
    <row r="94" spans="1:66" x14ac:dyDescent="0.25">
      <c r="A94" s="22">
        <v>92</v>
      </c>
      <c r="B94" s="23">
        <v>4157.7897211785912</v>
      </c>
      <c r="C94" s="24">
        <v>665.72476643122172</v>
      </c>
      <c r="AH94" s="13">
        <v>2040</v>
      </c>
      <c r="AK94" s="13">
        <v>1120</v>
      </c>
      <c r="AL94" s="13">
        <v>0</v>
      </c>
      <c r="BC94" s="13"/>
      <c r="BD94" s="13"/>
      <c r="BE94" s="13"/>
      <c r="BF94" s="13"/>
      <c r="BG94" s="13"/>
      <c r="BH94" s="13"/>
      <c r="BI94" s="13"/>
      <c r="BJ94" s="13"/>
      <c r="BK94" s="13"/>
      <c r="BL94" s="13"/>
      <c r="BM94" s="13"/>
      <c r="BN94" s="13"/>
    </row>
    <row r="95" spans="1:66" x14ac:dyDescent="0.25">
      <c r="A95" s="22">
        <v>93</v>
      </c>
      <c r="B95" s="23">
        <v>4153.7002853887561</v>
      </c>
      <c r="C95" s="24">
        <v>455.93814004741779</v>
      </c>
      <c r="AH95" s="13">
        <v>2060</v>
      </c>
      <c r="AK95" s="13">
        <v>1120</v>
      </c>
      <c r="AL95" s="13">
        <v>0</v>
      </c>
      <c r="BC95" s="13"/>
      <c r="BD95" s="13"/>
      <c r="BE95" s="13"/>
      <c r="BF95" s="13"/>
      <c r="BG95" s="13"/>
      <c r="BH95" s="13"/>
      <c r="BI95" s="13"/>
      <c r="BJ95" s="13"/>
      <c r="BK95" s="13"/>
      <c r="BL95" s="13"/>
      <c r="BM95" s="13"/>
      <c r="BN95" s="13"/>
    </row>
    <row r="96" spans="1:66" x14ac:dyDescent="0.25">
      <c r="A96" s="22">
        <v>94</v>
      </c>
      <c r="B96" s="23">
        <v>4155.1838942216755</v>
      </c>
      <c r="C96" s="24">
        <v>374.62209548821914</v>
      </c>
      <c r="AH96" s="13">
        <v>2080</v>
      </c>
      <c r="AK96" s="13">
        <v>1140</v>
      </c>
      <c r="AL96" s="13">
        <v>0</v>
      </c>
      <c r="BC96" s="13"/>
      <c r="BD96" s="13"/>
      <c r="BE96" s="13"/>
      <c r="BF96" s="13"/>
      <c r="BG96" s="13"/>
      <c r="BH96" s="13"/>
      <c r="BI96" s="13"/>
      <c r="BJ96" s="13"/>
      <c r="BK96" s="13"/>
      <c r="BL96" s="13"/>
      <c r="BM96" s="13"/>
      <c r="BN96" s="13"/>
    </row>
    <row r="97" spans="1:66" x14ac:dyDescent="0.25">
      <c r="A97" s="22">
        <v>95</v>
      </c>
      <c r="B97" s="23">
        <v>4154.6249607665623</v>
      </c>
      <c r="C97" s="24">
        <v>510.95655027013555</v>
      </c>
      <c r="AH97" s="13">
        <v>2100</v>
      </c>
      <c r="AK97" s="13">
        <v>1140</v>
      </c>
      <c r="AL97" s="13">
        <v>0</v>
      </c>
      <c r="BC97" s="13"/>
      <c r="BD97" s="13"/>
      <c r="BE97" s="13"/>
      <c r="BF97" s="13"/>
      <c r="BG97" s="13"/>
      <c r="BH97" s="13"/>
      <c r="BI97" s="13"/>
      <c r="BJ97" s="13"/>
      <c r="BK97" s="13"/>
      <c r="BL97" s="13"/>
      <c r="BM97" s="13"/>
      <c r="BN97" s="13"/>
    </row>
    <row r="98" spans="1:66" x14ac:dyDescent="0.25">
      <c r="A98" s="22">
        <v>96</v>
      </c>
      <c r="B98" s="23">
        <v>4156.7960421119851</v>
      </c>
      <c r="C98" s="24">
        <v>390.01387166704501</v>
      </c>
      <c r="AH98" s="13">
        <v>2120</v>
      </c>
      <c r="AK98" s="13">
        <v>1160</v>
      </c>
      <c r="AL98" s="13">
        <v>0</v>
      </c>
      <c r="BC98" s="13"/>
      <c r="BD98" s="13"/>
      <c r="BE98" s="13"/>
      <c r="BF98" s="13"/>
      <c r="BG98" s="13"/>
      <c r="BH98" s="13"/>
      <c r="BI98" s="13"/>
      <c r="BJ98" s="13"/>
      <c r="BK98" s="13"/>
      <c r="BL98" s="13"/>
      <c r="BM98" s="13"/>
      <c r="BN98" s="13"/>
    </row>
    <row r="99" spans="1:66" x14ac:dyDescent="0.25">
      <c r="A99" s="22">
        <v>97</v>
      </c>
      <c r="B99" s="23">
        <v>4154.208516228643</v>
      </c>
      <c r="C99" s="24">
        <v>467.26898350175907</v>
      </c>
      <c r="AH99" s="13">
        <v>2140</v>
      </c>
      <c r="AK99" s="13">
        <v>1160</v>
      </c>
      <c r="AL99" s="13">
        <v>0</v>
      </c>
      <c r="BC99" s="13"/>
      <c r="BD99" s="13"/>
      <c r="BE99" s="13"/>
      <c r="BF99" s="13"/>
      <c r="BG99" s="13"/>
      <c r="BH99" s="13"/>
      <c r="BI99" s="13"/>
      <c r="BJ99" s="13"/>
      <c r="BK99" s="13"/>
      <c r="BL99" s="13"/>
      <c r="BM99" s="13"/>
      <c r="BN99" s="13"/>
    </row>
    <row r="100" spans="1:66" x14ac:dyDescent="0.25">
      <c r="A100" s="22">
        <v>98</v>
      </c>
      <c r="B100" s="23">
        <v>4155.0100074212296</v>
      </c>
      <c r="C100" s="24">
        <v>501.56642632706416</v>
      </c>
      <c r="AH100" s="13">
        <v>2160</v>
      </c>
      <c r="AK100" s="13">
        <v>1180</v>
      </c>
      <c r="AL100" s="13">
        <v>0</v>
      </c>
      <c r="BC100" s="13"/>
      <c r="BD100" s="13"/>
      <c r="BE100" s="13"/>
      <c r="BF100" s="13"/>
      <c r="BG100" s="13"/>
      <c r="BH100" s="13"/>
      <c r="BI100" s="13"/>
      <c r="BJ100" s="13"/>
      <c r="BK100" s="13"/>
      <c r="BL100" s="13"/>
      <c r="BM100" s="13"/>
      <c r="BN100" s="13"/>
    </row>
    <row r="101" spans="1:66" x14ac:dyDescent="0.25">
      <c r="A101" s="22">
        <v>99</v>
      </c>
      <c r="B101" s="23">
        <v>4154.8001196187161</v>
      </c>
      <c r="C101" s="24">
        <v>419.18343618196536</v>
      </c>
      <c r="AH101" s="13">
        <v>2180</v>
      </c>
      <c r="AK101" s="13">
        <v>1180</v>
      </c>
      <c r="AL101" s="13">
        <v>0</v>
      </c>
      <c r="BC101" s="13"/>
      <c r="BD101" s="13"/>
      <c r="BE101" s="13"/>
      <c r="BF101" s="13"/>
      <c r="BG101" s="13"/>
      <c r="BH101" s="13"/>
      <c r="BI101" s="13"/>
      <c r="BJ101" s="13"/>
      <c r="BK101" s="13"/>
      <c r="BL101" s="13"/>
      <c r="BM101" s="13"/>
      <c r="BN101" s="13"/>
    </row>
    <row r="102" spans="1:66" x14ac:dyDescent="0.25">
      <c r="A102" s="22">
        <v>100</v>
      </c>
      <c r="B102" s="23">
        <v>4154.2491911090729</v>
      </c>
      <c r="C102" s="24">
        <v>387.17444800455075</v>
      </c>
      <c r="AH102" s="13">
        <v>2200</v>
      </c>
      <c r="AK102" s="13">
        <v>1200</v>
      </c>
      <c r="AL102" s="13">
        <v>0</v>
      </c>
      <c r="BC102" s="13"/>
      <c r="BD102" s="13"/>
      <c r="BE102" s="13"/>
      <c r="BF102" s="13"/>
      <c r="BG102" s="13"/>
      <c r="BH102" s="13"/>
      <c r="BI102" s="13"/>
      <c r="BJ102" s="13"/>
      <c r="BK102" s="13"/>
      <c r="BL102" s="13"/>
      <c r="BM102" s="13"/>
      <c r="BN102" s="13"/>
    </row>
    <row r="103" spans="1:66" x14ac:dyDescent="0.25">
      <c r="A103" s="55" t="s">
        <v>29</v>
      </c>
      <c r="AH103" s="13">
        <v>2220</v>
      </c>
      <c r="AK103" s="13">
        <v>1200</v>
      </c>
      <c r="AL103" s="13">
        <v>0</v>
      </c>
    </row>
    <row r="104" spans="1:66" x14ac:dyDescent="0.25">
      <c r="AH104" s="13">
        <v>2240</v>
      </c>
      <c r="AK104" s="13">
        <v>1220</v>
      </c>
      <c r="AL104" s="13">
        <v>0</v>
      </c>
    </row>
    <row r="105" spans="1:66" x14ac:dyDescent="0.25">
      <c r="AH105" s="13">
        <v>2260</v>
      </c>
      <c r="AK105" s="13">
        <v>1220</v>
      </c>
      <c r="AL105" s="13">
        <v>0</v>
      </c>
    </row>
    <row r="106" spans="1:66" x14ac:dyDescent="0.25">
      <c r="AH106" s="13">
        <v>2280</v>
      </c>
      <c r="AK106" s="13">
        <v>1240</v>
      </c>
      <c r="AL106" s="13">
        <v>0</v>
      </c>
    </row>
    <row r="107" spans="1:66" x14ac:dyDescent="0.25">
      <c r="AH107" s="13">
        <v>2300</v>
      </c>
      <c r="AK107" s="13">
        <v>1240</v>
      </c>
      <c r="AL107" s="13">
        <v>0</v>
      </c>
    </row>
    <row r="108" spans="1:66" x14ac:dyDescent="0.25">
      <c r="AH108" s="13">
        <v>2320</v>
      </c>
      <c r="AK108" s="13">
        <v>1260</v>
      </c>
      <c r="AL108" s="13">
        <v>0</v>
      </c>
    </row>
    <row r="109" spans="1:66" x14ac:dyDescent="0.25">
      <c r="AH109" s="13">
        <v>2340</v>
      </c>
      <c r="AK109" s="13">
        <v>1260</v>
      </c>
      <c r="AL109" s="13">
        <v>0</v>
      </c>
    </row>
    <row r="110" spans="1:66" x14ac:dyDescent="0.25">
      <c r="AH110" s="13">
        <v>2360</v>
      </c>
      <c r="AK110" s="13">
        <v>1280</v>
      </c>
      <c r="AL110" s="13">
        <v>0</v>
      </c>
    </row>
    <row r="111" spans="1:66" x14ac:dyDescent="0.25">
      <c r="AH111" s="13">
        <v>2380</v>
      </c>
      <c r="AK111" s="13">
        <v>1280</v>
      </c>
      <c r="AL111" s="13">
        <v>0</v>
      </c>
    </row>
    <row r="112" spans="1:66" x14ac:dyDescent="0.25">
      <c r="AH112" s="13">
        <v>2400</v>
      </c>
      <c r="AK112" s="13">
        <v>1300</v>
      </c>
      <c r="AL112" s="13">
        <v>0</v>
      </c>
    </row>
    <row r="113" spans="34:38" x14ac:dyDescent="0.25">
      <c r="AH113" s="13">
        <v>2420</v>
      </c>
      <c r="AK113" s="13">
        <v>1300</v>
      </c>
      <c r="AL113" s="13">
        <v>0</v>
      </c>
    </row>
    <row r="114" spans="34:38" x14ac:dyDescent="0.25">
      <c r="AH114" s="13">
        <v>2440</v>
      </c>
      <c r="AK114" s="13">
        <v>1320</v>
      </c>
      <c r="AL114" s="13">
        <v>0</v>
      </c>
    </row>
    <row r="115" spans="34:38" x14ac:dyDescent="0.25">
      <c r="AH115" s="13">
        <v>2460</v>
      </c>
      <c r="AK115" s="13">
        <v>1320</v>
      </c>
      <c r="AL115" s="13">
        <v>0</v>
      </c>
    </row>
    <row r="116" spans="34:38" x14ac:dyDescent="0.25">
      <c r="AH116" s="13">
        <v>2480</v>
      </c>
      <c r="AK116" s="13">
        <v>1340</v>
      </c>
      <c r="AL116" s="13">
        <v>0</v>
      </c>
    </row>
    <row r="117" spans="34:38" x14ac:dyDescent="0.25">
      <c r="AH117" s="13">
        <v>2500</v>
      </c>
      <c r="AK117" s="13">
        <v>1340</v>
      </c>
      <c r="AL117" s="13">
        <v>0</v>
      </c>
    </row>
    <row r="118" spans="34:38" x14ac:dyDescent="0.25">
      <c r="AH118" s="13">
        <v>2520</v>
      </c>
      <c r="AK118" s="13">
        <v>1360</v>
      </c>
      <c r="AL118" s="13">
        <v>0</v>
      </c>
    </row>
    <row r="119" spans="34:38" x14ac:dyDescent="0.25">
      <c r="AH119" s="13">
        <v>2540</v>
      </c>
      <c r="AK119" s="13">
        <v>1360</v>
      </c>
      <c r="AL119" s="13">
        <v>0</v>
      </c>
    </row>
    <row r="120" spans="34:38" x14ac:dyDescent="0.25">
      <c r="AH120" s="13">
        <v>2560</v>
      </c>
      <c r="AK120" s="13">
        <v>1380</v>
      </c>
      <c r="AL120" s="13">
        <v>0</v>
      </c>
    </row>
    <row r="121" spans="34:38" x14ac:dyDescent="0.25">
      <c r="AH121" s="13">
        <v>2580</v>
      </c>
      <c r="AK121" s="13">
        <v>1380</v>
      </c>
      <c r="AL121" s="13">
        <v>0</v>
      </c>
    </row>
    <row r="122" spans="34:38" x14ac:dyDescent="0.25">
      <c r="AH122" s="13">
        <v>2600</v>
      </c>
      <c r="AK122" s="13">
        <v>1400</v>
      </c>
      <c r="AL122" s="13">
        <v>0</v>
      </c>
    </row>
    <row r="123" spans="34:38" x14ac:dyDescent="0.25">
      <c r="AH123" s="13">
        <v>2620</v>
      </c>
      <c r="AK123" s="13">
        <v>1400</v>
      </c>
      <c r="AL123" s="13">
        <v>0</v>
      </c>
    </row>
    <row r="124" spans="34:38" x14ac:dyDescent="0.25">
      <c r="AH124" s="13">
        <v>2640</v>
      </c>
      <c r="AK124" s="13">
        <v>1420</v>
      </c>
      <c r="AL124" s="13">
        <v>0</v>
      </c>
    </row>
    <row r="125" spans="34:38" x14ac:dyDescent="0.25">
      <c r="AH125" s="13">
        <v>2660</v>
      </c>
      <c r="AK125" s="13">
        <v>1420</v>
      </c>
      <c r="AL125" s="13">
        <v>0</v>
      </c>
    </row>
    <row r="126" spans="34:38" x14ac:dyDescent="0.25">
      <c r="AH126" s="13">
        <v>2680</v>
      </c>
      <c r="AK126" s="13">
        <v>1440</v>
      </c>
      <c r="AL126" s="13">
        <v>0</v>
      </c>
    </row>
    <row r="127" spans="34:38" x14ac:dyDescent="0.25">
      <c r="AH127" s="13">
        <v>2700</v>
      </c>
      <c r="AK127" s="13">
        <v>1440</v>
      </c>
      <c r="AL127" s="13">
        <v>0</v>
      </c>
    </row>
    <row r="128" spans="34:38" x14ac:dyDescent="0.25">
      <c r="AH128" s="13">
        <v>2720</v>
      </c>
      <c r="AK128" s="13">
        <v>1460</v>
      </c>
      <c r="AL128" s="13">
        <v>0</v>
      </c>
    </row>
    <row r="129" spans="34:38" x14ac:dyDescent="0.25">
      <c r="AH129" s="13">
        <v>2740</v>
      </c>
      <c r="AK129" s="13">
        <v>1460</v>
      </c>
      <c r="AL129" s="13">
        <v>0</v>
      </c>
    </row>
    <row r="130" spans="34:38" x14ac:dyDescent="0.25">
      <c r="AH130" s="13">
        <v>2760</v>
      </c>
      <c r="AK130" s="13">
        <v>1480</v>
      </c>
      <c r="AL130" s="13">
        <v>0</v>
      </c>
    </row>
    <row r="131" spans="34:38" x14ac:dyDescent="0.25">
      <c r="AH131" s="13">
        <v>2780</v>
      </c>
      <c r="AK131" s="13">
        <v>1480</v>
      </c>
      <c r="AL131" s="13">
        <v>0</v>
      </c>
    </row>
    <row r="132" spans="34:38" x14ac:dyDescent="0.25">
      <c r="AH132" s="13">
        <v>2800</v>
      </c>
      <c r="AK132" s="13">
        <v>1500</v>
      </c>
      <c r="AL132" s="13">
        <v>0</v>
      </c>
    </row>
    <row r="133" spans="34:38" x14ac:dyDescent="0.25">
      <c r="AH133" s="13">
        <v>2820</v>
      </c>
      <c r="AK133" s="13">
        <v>1500</v>
      </c>
      <c r="AL133" s="13">
        <v>0</v>
      </c>
    </row>
    <row r="134" spans="34:38" x14ac:dyDescent="0.25">
      <c r="AH134" s="13">
        <v>2840</v>
      </c>
      <c r="AK134" s="13">
        <v>1520</v>
      </c>
      <c r="AL134" s="13">
        <v>0</v>
      </c>
    </row>
    <row r="135" spans="34:38" x14ac:dyDescent="0.25">
      <c r="AH135" s="13">
        <v>2860</v>
      </c>
      <c r="AK135" s="13">
        <v>1520</v>
      </c>
      <c r="AL135" s="13">
        <v>0</v>
      </c>
    </row>
    <row r="136" spans="34:38" x14ac:dyDescent="0.25">
      <c r="AH136" s="13">
        <v>2880</v>
      </c>
      <c r="AK136" s="13">
        <v>1540</v>
      </c>
      <c r="AL136" s="13">
        <v>0</v>
      </c>
    </row>
    <row r="137" spans="34:38" x14ac:dyDescent="0.25">
      <c r="AH137" s="13">
        <v>2900</v>
      </c>
      <c r="AK137" s="13">
        <v>1540</v>
      </c>
      <c r="AL137" s="13">
        <v>0</v>
      </c>
    </row>
    <row r="138" spans="34:38" x14ac:dyDescent="0.25">
      <c r="AH138" s="13">
        <v>2920</v>
      </c>
      <c r="AK138" s="13">
        <v>1560</v>
      </c>
      <c r="AL138" s="13">
        <v>0</v>
      </c>
    </row>
    <row r="139" spans="34:38" x14ac:dyDescent="0.25">
      <c r="AH139" s="13">
        <v>2940</v>
      </c>
      <c r="AK139" s="13">
        <v>1560</v>
      </c>
      <c r="AL139" s="13">
        <v>0</v>
      </c>
    </row>
    <row r="140" spans="34:38" x14ac:dyDescent="0.25">
      <c r="AH140" s="13">
        <v>2960</v>
      </c>
      <c r="AK140" s="13">
        <v>1580</v>
      </c>
      <c r="AL140" s="13">
        <v>0</v>
      </c>
    </row>
    <row r="141" spans="34:38" x14ac:dyDescent="0.25">
      <c r="AH141" s="13">
        <v>2980</v>
      </c>
      <c r="AK141" s="13">
        <v>1580</v>
      </c>
      <c r="AL141" s="13">
        <v>0</v>
      </c>
    </row>
    <row r="142" spans="34:38" x14ac:dyDescent="0.25">
      <c r="AH142" s="13">
        <v>3000</v>
      </c>
      <c r="AK142" s="13">
        <v>1600</v>
      </c>
      <c r="AL142" s="13">
        <v>0</v>
      </c>
    </row>
    <row r="143" spans="34:38" x14ac:dyDescent="0.25">
      <c r="AH143" s="13">
        <v>3020</v>
      </c>
      <c r="AK143" s="13">
        <v>1600</v>
      </c>
      <c r="AL143" s="13">
        <v>0</v>
      </c>
    </row>
    <row r="144" spans="34:38" x14ac:dyDescent="0.25">
      <c r="AH144" s="13">
        <v>3040</v>
      </c>
      <c r="AK144" s="13">
        <v>1620</v>
      </c>
      <c r="AL144" s="13">
        <v>0</v>
      </c>
    </row>
    <row r="145" spans="34:38" x14ac:dyDescent="0.25">
      <c r="AH145" s="13">
        <v>3060</v>
      </c>
      <c r="AK145" s="13">
        <v>1620</v>
      </c>
      <c r="AL145" s="13">
        <v>0</v>
      </c>
    </row>
    <row r="146" spans="34:38" x14ac:dyDescent="0.25">
      <c r="AH146" s="13">
        <v>3080</v>
      </c>
      <c r="AK146" s="13">
        <v>1640</v>
      </c>
      <c r="AL146" s="13">
        <v>0</v>
      </c>
    </row>
    <row r="147" spans="34:38" x14ac:dyDescent="0.25">
      <c r="AH147" s="13">
        <v>3100</v>
      </c>
      <c r="AK147" s="13">
        <v>1640</v>
      </c>
      <c r="AL147" s="13">
        <v>0</v>
      </c>
    </row>
    <row r="148" spans="34:38" x14ac:dyDescent="0.25">
      <c r="AH148" s="13">
        <v>3120</v>
      </c>
      <c r="AK148" s="13">
        <v>1660</v>
      </c>
      <c r="AL148" s="13">
        <v>0</v>
      </c>
    </row>
    <row r="149" spans="34:38" x14ac:dyDescent="0.25">
      <c r="AH149" s="13">
        <v>3140</v>
      </c>
      <c r="AK149" s="13">
        <v>1660</v>
      </c>
      <c r="AL149" s="13">
        <v>0</v>
      </c>
    </row>
    <row r="150" spans="34:38" x14ac:dyDescent="0.25">
      <c r="AH150" s="13">
        <v>3160</v>
      </c>
      <c r="AK150" s="13">
        <v>1680</v>
      </c>
      <c r="AL150" s="13">
        <v>0</v>
      </c>
    </row>
    <row r="151" spans="34:38" x14ac:dyDescent="0.25">
      <c r="AH151" s="13">
        <v>3180</v>
      </c>
      <c r="AK151" s="13">
        <v>1680</v>
      </c>
      <c r="AL151" s="13">
        <v>0</v>
      </c>
    </row>
    <row r="152" spans="34:38" x14ac:dyDescent="0.25">
      <c r="AH152" s="13">
        <v>3200</v>
      </c>
      <c r="AK152" s="13">
        <v>1700</v>
      </c>
      <c r="AL152" s="13">
        <v>0</v>
      </c>
    </row>
    <row r="153" spans="34:38" x14ac:dyDescent="0.25">
      <c r="AH153" s="13">
        <v>3220</v>
      </c>
      <c r="AK153" s="13">
        <v>1700</v>
      </c>
      <c r="AL153" s="13">
        <v>0</v>
      </c>
    </row>
    <row r="154" spans="34:38" x14ac:dyDescent="0.25">
      <c r="AH154" s="13">
        <v>3240</v>
      </c>
      <c r="AK154" s="13">
        <v>1720</v>
      </c>
      <c r="AL154" s="13">
        <v>0</v>
      </c>
    </row>
    <row r="155" spans="34:38" x14ac:dyDescent="0.25">
      <c r="AH155" s="13">
        <v>3260</v>
      </c>
      <c r="AK155" s="13">
        <v>1720</v>
      </c>
      <c r="AL155" s="13">
        <v>0</v>
      </c>
    </row>
    <row r="156" spans="34:38" x14ac:dyDescent="0.25">
      <c r="AH156" s="13">
        <v>3280</v>
      </c>
      <c r="AK156" s="13">
        <v>1740</v>
      </c>
      <c r="AL156" s="13">
        <v>0</v>
      </c>
    </row>
    <row r="157" spans="34:38" x14ac:dyDescent="0.25">
      <c r="AH157" s="13">
        <v>3300</v>
      </c>
      <c r="AK157" s="13">
        <v>1740</v>
      </c>
      <c r="AL157" s="13">
        <v>0</v>
      </c>
    </row>
    <row r="158" spans="34:38" x14ac:dyDescent="0.25">
      <c r="AH158" s="13">
        <v>3320</v>
      </c>
      <c r="AK158" s="13">
        <v>1760</v>
      </c>
      <c r="AL158" s="13">
        <v>0</v>
      </c>
    </row>
    <row r="159" spans="34:38" x14ac:dyDescent="0.25">
      <c r="AH159" s="13">
        <v>3340</v>
      </c>
      <c r="AK159" s="13">
        <v>1760</v>
      </c>
      <c r="AL159" s="13">
        <v>0</v>
      </c>
    </row>
    <row r="160" spans="34:38" x14ac:dyDescent="0.25">
      <c r="AH160" s="13">
        <v>3360</v>
      </c>
      <c r="AK160" s="13">
        <v>1780</v>
      </c>
      <c r="AL160" s="13">
        <v>0</v>
      </c>
    </row>
    <row r="161" spans="34:38" x14ac:dyDescent="0.25">
      <c r="AH161" s="13">
        <v>3380</v>
      </c>
      <c r="AK161" s="13">
        <v>1780</v>
      </c>
      <c r="AL161" s="13">
        <v>0</v>
      </c>
    </row>
    <row r="162" spans="34:38" x14ac:dyDescent="0.25">
      <c r="AH162" s="13">
        <v>3400</v>
      </c>
      <c r="AK162" s="13">
        <v>1800</v>
      </c>
      <c r="AL162" s="13">
        <v>0</v>
      </c>
    </row>
    <row r="163" spans="34:38" x14ac:dyDescent="0.25">
      <c r="AH163" s="13">
        <v>3420</v>
      </c>
      <c r="AK163" s="13">
        <v>1800</v>
      </c>
      <c r="AL163" s="13">
        <v>0</v>
      </c>
    </row>
    <row r="164" spans="34:38" x14ac:dyDescent="0.25">
      <c r="AH164" s="13">
        <v>3440</v>
      </c>
      <c r="AK164" s="13">
        <v>1820</v>
      </c>
      <c r="AL164" s="13">
        <v>0</v>
      </c>
    </row>
    <row r="165" spans="34:38" x14ac:dyDescent="0.25">
      <c r="AH165" s="13">
        <v>3460</v>
      </c>
      <c r="AK165" s="13">
        <v>1820</v>
      </c>
      <c r="AL165" s="13">
        <v>0</v>
      </c>
    </row>
    <row r="166" spans="34:38" x14ac:dyDescent="0.25">
      <c r="AH166" s="13">
        <v>3480</v>
      </c>
      <c r="AK166" s="13">
        <v>1840</v>
      </c>
      <c r="AL166" s="13">
        <v>0</v>
      </c>
    </row>
    <row r="167" spans="34:38" x14ac:dyDescent="0.25">
      <c r="AH167" s="13">
        <v>3500</v>
      </c>
      <c r="AK167" s="13">
        <v>1840</v>
      </c>
      <c r="AL167" s="13">
        <v>0</v>
      </c>
    </row>
    <row r="168" spans="34:38" x14ac:dyDescent="0.25">
      <c r="AH168" s="13">
        <v>3520</v>
      </c>
      <c r="AK168" s="13">
        <v>1860</v>
      </c>
      <c r="AL168" s="13">
        <v>0</v>
      </c>
    </row>
    <row r="169" spans="34:38" x14ac:dyDescent="0.25">
      <c r="AH169" s="13">
        <v>3540</v>
      </c>
      <c r="AK169" s="13">
        <v>1860</v>
      </c>
      <c r="AL169" s="13">
        <v>0</v>
      </c>
    </row>
    <row r="170" spans="34:38" x14ac:dyDescent="0.25">
      <c r="AH170" s="13">
        <v>3560</v>
      </c>
      <c r="AK170" s="13">
        <v>1880</v>
      </c>
      <c r="AL170" s="13">
        <v>0</v>
      </c>
    </row>
    <row r="171" spans="34:38" x14ac:dyDescent="0.25">
      <c r="AH171" s="13">
        <v>3580</v>
      </c>
      <c r="AK171" s="13">
        <v>1880</v>
      </c>
      <c r="AL171" s="13">
        <v>0</v>
      </c>
    </row>
    <row r="172" spans="34:38" x14ac:dyDescent="0.25">
      <c r="AH172" s="13">
        <v>3600</v>
      </c>
      <c r="AK172" s="13">
        <v>1900</v>
      </c>
      <c r="AL172" s="13">
        <v>0</v>
      </c>
    </row>
    <row r="173" spans="34:38" x14ac:dyDescent="0.25">
      <c r="AH173" s="13">
        <v>3620</v>
      </c>
      <c r="AK173" s="13">
        <v>1900</v>
      </c>
      <c r="AL173" s="13">
        <v>0</v>
      </c>
    </row>
    <row r="174" spans="34:38" x14ac:dyDescent="0.25">
      <c r="AH174" s="13">
        <v>3640</v>
      </c>
      <c r="AK174" s="13">
        <v>1920</v>
      </c>
      <c r="AL174" s="13">
        <v>0</v>
      </c>
    </row>
    <row r="175" spans="34:38" x14ac:dyDescent="0.25">
      <c r="AH175" s="13">
        <v>3660</v>
      </c>
      <c r="AK175" s="13">
        <v>1920</v>
      </c>
      <c r="AL175" s="13">
        <v>0</v>
      </c>
    </row>
    <row r="176" spans="34:38" x14ac:dyDescent="0.25">
      <c r="AH176" s="13">
        <v>3680</v>
      </c>
      <c r="AK176" s="13">
        <v>1940</v>
      </c>
      <c r="AL176" s="13">
        <v>0</v>
      </c>
    </row>
    <row r="177" spans="34:38" x14ac:dyDescent="0.25">
      <c r="AH177" s="13">
        <v>3700</v>
      </c>
      <c r="AK177" s="13">
        <v>1940</v>
      </c>
      <c r="AL177" s="13">
        <v>0</v>
      </c>
    </row>
    <row r="178" spans="34:38" x14ac:dyDescent="0.25">
      <c r="AH178" s="13">
        <v>3720</v>
      </c>
      <c r="AK178" s="13">
        <v>1960</v>
      </c>
      <c r="AL178" s="13">
        <v>0</v>
      </c>
    </row>
    <row r="179" spans="34:38" x14ac:dyDescent="0.25">
      <c r="AH179" s="13">
        <v>3740</v>
      </c>
      <c r="AK179" s="13">
        <v>1960</v>
      </c>
      <c r="AL179" s="13">
        <v>0</v>
      </c>
    </row>
    <row r="180" spans="34:38" x14ac:dyDescent="0.25">
      <c r="AH180" s="13">
        <v>3760</v>
      </c>
      <c r="AK180" s="13">
        <v>1980</v>
      </c>
      <c r="AL180" s="13">
        <v>0</v>
      </c>
    </row>
    <row r="181" spans="34:38" x14ac:dyDescent="0.25">
      <c r="AH181" s="13">
        <v>3780</v>
      </c>
      <c r="AK181" s="13">
        <v>1980</v>
      </c>
      <c r="AL181" s="13">
        <v>0</v>
      </c>
    </row>
    <row r="182" spans="34:38" x14ac:dyDescent="0.25">
      <c r="AH182" s="13">
        <v>3800</v>
      </c>
      <c r="AK182" s="13">
        <v>2000</v>
      </c>
      <c r="AL182" s="13">
        <v>0</v>
      </c>
    </row>
    <row r="183" spans="34:38" x14ac:dyDescent="0.25">
      <c r="AH183" s="13">
        <v>3820</v>
      </c>
      <c r="AK183" s="13">
        <v>2000</v>
      </c>
      <c r="AL183" s="13">
        <v>0</v>
      </c>
    </row>
    <row r="184" spans="34:38" x14ac:dyDescent="0.25">
      <c r="AH184" s="13">
        <v>3840</v>
      </c>
      <c r="AK184" s="13">
        <v>2020</v>
      </c>
      <c r="AL184" s="13">
        <v>0</v>
      </c>
    </row>
    <row r="185" spans="34:38" x14ac:dyDescent="0.25">
      <c r="AH185" s="13">
        <v>3860</v>
      </c>
      <c r="AK185" s="13">
        <v>2020</v>
      </c>
      <c r="AL185" s="13">
        <v>0</v>
      </c>
    </row>
    <row r="186" spans="34:38" x14ac:dyDescent="0.25">
      <c r="AH186" s="13">
        <v>3880</v>
      </c>
      <c r="AK186" s="13">
        <v>2040</v>
      </c>
      <c r="AL186" s="13">
        <v>0</v>
      </c>
    </row>
    <row r="187" spans="34:38" x14ac:dyDescent="0.25">
      <c r="AH187" s="13">
        <v>3900</v>
      </c>
      <c r="AK187" s="13">
        <v>2040</v>
      </c>
      <c r="AL187" s="13">
        <v>0</v>
      </c>
    </row>
    <row r="188" spans="34:38" x14ac:dyDescent="0.25">
      <c r="AH188" s="13">
        <v>3920</v>
      </c>
      <c r="AK188" s="13">
        <v>2060</v>
      </c>
      <c r="AL188" s="13">
        <v>0</v>
      </c>
    </row>
    <row r="189" spans="34:38" x14ac:dyDescent="0.25">
      <c r="AH189" s="13">
        <v>3940</v>
      </c>
      <c r="AK189" s="13">
        <v>2060</v>
      </c>
      <c r="AL189" s="13">
        <v>0</v>
      </c>
    </row>
    <row r="190" spans="34:38" x14ac:dyDescent="0.25">
      <c r="AH190" s="13">
        <v>3960</v>
      </c>
      <c r="AK190" s="13">
        <v>2080</v>
      </c>
      <c r="AL190" s="13">
        <v>0</v>
      </c>
    </row>
    <row r="191" spans="34:38" x14ac:dyDescent="0.25">
      <c r="AH191" s="13">
        <v>3980</v>
      </c>
      <c r="AK191" s="13">
        <v>2080</v>
      </c>
      <c r="AL191" s="13">
        <v>0</v>
      </c>
    </row>
    <row r="192" spans="34:38" x14ac:dyDescent="0.25">
      <c r="AH192" s="13">
        <v>4000</v>
      </c>
      <c r="AK192" s="13">
        <v>2100</v>
      </c>
      <c r="AL192" s="13">
        <v>0</v>
      </c>
    </row>
    <row r="193" spans="34:38" x14ac:dyDescent="0.25">
      <c r="AH193" s="13">
        <v>4020</v>
      </c>
      <c r="AK193" s="13">
        <v>2100</v>
      </c>
      <c r="AL193" s="13">
        <v>0</v>
      </c>
    </row>
    <row r="194" spans="34:38" x14ac:dyDescent="0.25">
      <c r="AH194" s="13">
        <v>4040</v>
      </c>
      <c r="AK194" s="13">
        <v>2120</v>
      </c>
      <c r="AL194" s="13">
        <v>0</v>
      </c>
    </row>
    <row r="195" spans="34:38" x14ac:dyDescent="0.25">
      <c r="AH195" s="13">
        <v>4060</v>
      </c>
      <c r="AK195" s="13">
        <v>2120</v>
      </c>
      <c r="AL195" s="13">
        <v>0</v>
      </c>
    </row>
    <row r="196" spans="34:38" x14ac:dyDescent="0.25">
      <c r="AH196" s="13">
        <v>4080</v>
      </c>
      <c r="AK196" s="13">
        <v>2140</v>
      </c>
      <c r="AL196" s="13">
        <v>0</v>
      </c>
    </row>
    <row r="197" spans="34:38" x14ac:dyDescent="0.25">
      <c r="AH197" s="13">
        <v>4100</v>
      </c>
      <c r="AK197" s="13">
        <v>2140</v>
      </c>
      <c r="AL197" s="13">
        <v>0</v>
      </c>
    </row>
    <row r="198" spans="34:38" x14ac:dyDescent="0.25">
      <c r="AH198" s="13">
        <v>4120</v>
      </c>
      <c r="AK198" s="13">
        <v>2160</v>
      </c>
      <c r="AL198" s="13">
        <v>0</v>
      </c>
    </row>
    <row r="199" spans="34:38" x14ac:dyDescent="0.25">
      <c r="AH199" s="13">
        <v>4140</v>
      </c>
      <c r="AK199" s="13">
        <v>2160</v>
      </c>
      <c r="AL199" s="13">
        <v>0</v>
      </c>
    </row>
    <row r="200" spans="34:38" x14ac:dyDescent="0.25">
      <c r="AH200" s="13">
        <v>4160</v>
      </c>
      <c r="AK200" s="13">
        <v>2180</v>
      </c>
      <c r="AL200" s="13">
        <v>0</v>
      </c>
    </row>
    <row r="201" spans="34:38" x14ac:dyDescent="0.25">
      <c r="AH201" s="13">
        <v>4180</v>
      </c>
      <c r="AK201" s="13">
        <v>2180</v>
      </c>
      <c r="AL201" s="13">
        <v>0</v>
      </c>
    </row>
    <row r="202" spans="34:38" x14ac:dyDescent="0.25">
      <c r="AK202" s="13">
        <v>2200</v>
      </c>
      <c r="AL202" s="13">
        <v>0</v>
      </c>
    </row>
    <row r="203" spans="34:38" x14ac:dyDescent="0.25">
      <c r="AK203" s="13">
        <v>2200</v>
      </c>
      <c r="AL203" s="13">
        <v>0</v>
      </c>
    </row>
    <row r="204" spans="34:38" x14ac:dyDescent="0.25">
      <c r="AK204" s="13">
        <v>2220</v>
      </c>
      <c r="AL204" s="13">
        <v>0</v>
      </c>
    </row>
    <row r="205" spans="34:38" x14ac:dyDescent="0.25">
      <c r="AK205" s="13">
        <v>2220</v>
      </c>
      <c r="AL205" s="13">
        <v>0</v>
      </c>
    </row>
    <row r="206" spans="34:38" x14ac:dyDescent="0.25">
      <c r="AK206" s="13">
        <v>2240</v>
      </c>
      <c r="AL206" s="13">
        <v>0</v>
      </c>
    </row>
    <row r="207" spans="34:38" x14ac:dyDescent="0.25">
      <c r="AK207" s="13">
        <v>2240</v>
      </c>
      <c r="AL207" s="13">
        <v>0</v>
      </c>
    </row>
    <row r="208" spans="34:38" x14ac:dyDescent="0.25">
      <c r="AK208" s="13">
        <v>2260</v>
      </c>
      <c r="AL208" s="13">
        <v>0</v>
      </c>
    </row>
    <row r="209" spans="37:38" x14ac:dyDescent="0.25">
      <c r="AK209" s="13">
        <v>2260</v>
      </c>
      <c r="AL209" s="13">
        <v>0</v>
      </c>
    </row>
    <row r="210" spans="37:38" x14ac:dyDescent="0.25">
      <c r="AK210" s="13">
        <v>2280</v>
      </c>
      <c r="AL210" s="13">
        <v>0</v>
      </c>
    </row>
    <row r="211" spans="37:38" x14ac:dyDescent="0.25">
      <c r="AK211" s="13">
        <v>2280</v>
      </c>
      <c r="AL211" s="13">
        <v>0</v>
      </c>
    </row>
    <row r="212" spans="37:38" x14ac:dyDescent="0.25">
      <c r="AK212" s="13">
        <v>2300</v>
      </c>
      <c r="AL212" s="13">
        <v>0</v>
      </c>
    </row>
    <row r="213" spans="37:38" x14ac:dyDescent="0.25">
      <c r="AK213" s="13">
        <v>2300</v>
      </c>
      <c r="AL213" s="13">
        <v>0</v>
      </c>
    </row>
    <row r="214" spans="37:38" x14ac:dyDescent="0.25">
      <c r="AK214" s="13">
        <v>2320</v>
      </c>
      <c r="AL214" s="13">
        <v>0</v>
      </c>
    </row>
    <row r="215" spans="37:38" x14ac:dyDescent="0.25">
      <c r="AK215" s="13">
        <v>2320</v>
      </c>
      <c r="AL215" s="13">
        <v>0</v>
      </c>
    </row>
    <row r="216" spans="37:38" x14ac:dyDescent="0.25">
      <c r="AK216" s="13">
        <v>2340</v>
      </c>
      <c r="AL216" s="13">
        <v>0</v>
      </c>
    </row>
    <row r="217" spans="37:38" x14ac:dyDescent="0.25">
      <c r="AK217" s="13">
        <v>2340</v>
      </c>
      <c r="AL217" s="13">
        <v>0</v>
      </c>
    </row>
    <row r="218" spans="37:38" x14ac:dyDescent="0.25">
      <c r="AK218" s="13">
        <v>2360</v>
      </c>
      <c r="AL218" s="13">
        <v>0</v>
      </c>
    </row>
    <row r="219" spans="37:38" x14ac:dyDescent="0.25">
      <c r="AK219" s="13">
        <v>2360</v>
      </c>
      <c r="AL219" s="13">
        <v>0</v>
      </c>
    </row>
    <row r="220" spans="37:38" x14ac:dyDescent="0.25">
      <c r="AK220" s="13">
        <v>2380</v>
      </c>
      <c r="AL220" s="13">
        <v>0</v>
      </c>
    </row>
    <row r="221" spans="37:38" x14ac:dyDescent="0.25">
      <c r="AK221" s="13">
        <v>2380</v>
      </c>
      <c r="AL221" s="13">
        <v>0</v>
      </c>
    </row>
    <row r="222" spans="37:38" x14ac:dyDescent="0.25">
      <c r="AK222" s="13">
        <v>2400</v>
      </c>
      <c r="AL222" s="13">
        <v>0</v>
      </c>
    </row>
    <row r="223" spans="37:38" x14ac:dyDescent="0.25">
      <c r="AK223" s="13">
        <v>2400</v>
      </c>
      <c r="AL223" s="13">
        <v>0</v>
      </c>
    </row>
    <row r="224" spans="37:38" x14ac:dyDescent="0.25">
      <c r="AK224" s="13">
        <v>2420</v>
      </c>
      <c r="AL224" s="13">
        <v>0</v>
      </c>
    </row>
    <row r="225" spans="37:38" x14ac:dyDescent="0.25">
      <c r="AK225" s="13">
        <v>2420</v>
      </c>
      <c r="AL225" s="13">
        <v>0</v>
      </c>
    </row>
    <row r="226" spans="37:38" x14ac:dyDescent="0.25">
      <c r="AK226" s="13">
        <v>2440</v>
      </c>
      <c r="AL226" s="13">
        <v>0</v>
      </c>
    </row>
    <row r="227" spans="37:38" x14ac:dyDescent="0.25">
      <c r="AK227" s="13">
        <v>2440</v>
      </c>
      <c r="AL227" s="13">
        <v>0</v>
      </c>
    </row>
    <row r="228" spans="37:38" x14ac:dyDescent="0.25">
      <c r="AK228" s="13">
        <v>2460</v>
      </c>
      <c r="AL228" s="13">
        <v>0</v>
      </c>
    </row>
    <row r="229" spans="37:38" x14ac:dyDescent="0.25">
      <c r="AK229" s="13">
        <v>2460</v>
      </c>
      <c r="AL229" s="13">
        <v>0</v>
      </c>
    </row>
    <row r="230" spans="37:38" x14ac:dyDescent="0.25">
      <c r="AK230" s="13">
        <v>2480</v>
      </c>
      <c r="AL230" s="13">
        <v>0</v>
      </c>
    </row>
    <row r="231" spans="37:38" x14ac:dyDescent="0.25">
      <c r="AK231" s="13">
        <v>2480</v>
      </c>
      <c r="AL231" s="13">
        <v>0</v>
      </c>
    </row>
    <row r="232" spans="37:38" x14ac:dyDescent="0.25">
      <c r="AK232" s="13">
        <v>2500</v>
      </c>
      <c r="AL232" s="13">
        <v>0</v>
      </c>
    </row>
    <row r="233" spans="37:38" x14ac:dyDescent="0.25">
      <c r="AK233" s="13">
        <v>2500</v>
      </c>
      <c r="AL233" s="13">
        <v>0</v>
      </c>
    </row>
    <row r="234" spans="37:38" x14ac:dyDescent="0.25">
      <c r="AK234" s="13">
        <v>2520</v>
      </c>
      <c r="AL234" s="13">
        <v>0</v>
      </c>
    </row>
    <row r="235" spans="37:38" x14ac:dyDescent="0.25">
      <c r="AK235" s="13">
        <v>2520</v>
      </c>
      <c r="AL235" s="13">
        <v>0</v>
      </c>
    </row>
    <row r="236" spans="37:38" x14ac:dyDescent="0.25">
      <c r="AK236" s="13">
        <v>2540</v>
      </c>
      <c r="AL236" s="13">
        <v>0</v>
      </c>
    </row>
    <row r="237" spans="37:38" x14ac:dyDescent="0.25">
      <c r="AK237" s="13">
        <v>2540</v>
      </c>
      <c r="AL237" s="13">
        <v>0</v>
      </c>
    </row>
    <row r="238" spans="37:38" x14ac:dyDescent="0.25">
      <c r="AK238" s="13">
        <v>2560</v>
      </c>
      <c r="AL238" s="13">
        <v>0</v>
      </c>
    </row>
    <row r="239" spans="37:38" x14ac:dyDescent="0.25">
      <c r="AK239" s="13">
        <v>2560</v>
      </c>
      <c r="AL239" s="13">
        <v>0</v>
      </c>
    </row>
    <row r="240" spans="37:38" x14ac:dyDescent="0.25">
      <c r="AK240" s="13">
        <v>2580</v>
      </c>
      <c r="AL240" s="13">
        <v>0</v>
      </c>
    </row>
    <row r="241" spans="37:38" x14ac:dyDescent="0.25">
      <c r="AK241" s="13">
        <v>2580</v>
      </c>
      <c r="AL241" s="13">
        <v>0</v>
      </c>
    </row>
    <row r="242" spans="37:38" x14ac:dyDescent="0.25">
      <c r="AK242" s="13">
        <v>2600</v>
      </c>
      <c r="AL242" s="13">
        <v>0</v>
      </c>
    </row>
    <row r="243" spans="37:38" x14ac:dyDescent="0.25">
      <c r="AK243" s="13">
        <v>2600</v>
      </c>
      <c r="AL243" s="13">
        <v>0</v>
      </c>
    </row>
    <row r="244" spans="37:38" x14ac:dyDescent="0.25">
      <c r="AK244" s="13">
        <v>2620</v>
      </c>
      <c r="AL244" s="13">
        <v>0</v>
      </c>
    </row>
    <row r="245" spans="37:38" x14ac:dyDescent="0.25">
      <c r="AK245" s="13">
        <v>2620</v>
      </c>
      <c r="AL245" s="13">
        <v>0</v>
      </c>
    </row>
    <row r="246" spans="37:38" x14ac:dyDescent="0.25">
      <c r="AK246" s="13">
        <v>2640</v>
      </c>
      <c r="AL246" s="13">
        <v>0</v>
      </c>
    </row>
    <row r="247" spans="37:38" x14ac:dyDescent="0.25">
      <c r="AK247" s="13">
        <v>2640</v>
      </c>
      <c r="AL247" s="13">
        <v>0</v>
      </c>
    </row>
    <row r="248" spans="37:38" x14ac:dyDescent="0.25">
      <c r="AK248" s="13">
        <v>2660</v>
      </c>
      <c r="AL248" s="13">
        <v>0</v>
      </c>
    </row>
    <row r="249" spans="37:38" x14ac:dyDescent="0.25">
      <c r="AK249" s="13">
        <v>2660</v>
      </c>
      <c r="AL249" s="13">
        <v>0</v>
      </c>
    </row>
    <row r="250" spans="37:38" x14ac:dyDescent="0.25">
      <c r="AK250" s="13">
        <v>2680</v>
      </c>
      <c r="AL250" s="13">
        <v>0</v>
      </c>
    </row>
    <row r="251" spans="37:38" x14ac:dyDescent="0.25">
      <c r="AK251" s="13">
        <v>2680</v>
      </c>
      <c r="AL251" s="13">
        <v>0</v>
      </c>
    </row>
    <row r="252" spans="37:38" x14ac:dyDescent="0.25">
      <c r="AK252" s="13">
        <v>2700</v>
      </c>
      <c r="AL252" s="13">
        <v>0</v>
      </c>
    </row>
    <row r="253" spans="37:38" x14ac:dyDescent="0.25">
      <c r="AK253" s="13">
        <v>2700</v>
      </c>
      <c r="AL253" s="13">
        <v>0</v>
      </c>
    </row>
    <row r="254" spans="37:38" x14ac:dyDescent="0.25">
      <c r="AK254" s="13">
        <v>2720</v>
      </c>
      <c r="AL254" s="13">
        <v>0</v>
      </c>
    </row>
    <row r="255" spans="37:38" x14ac:dyDescent="0.25">
      <c r="AK255" s="13">
        <v>2720</v>
      </c>
      <c r="AL255" s="13">
        <v>0</v>
      </c>
    </row>
    <row r="256" spans="37:38" x14ac:dyDescent="0.25">
      <c r="AK256" s="13">
        <v>2740</v>
      </c>
      <c r="AL256" s="13">
        <v>0</v>
      </c>
    </row>
    <row r="257" spans="37:38" x14ac:dyDescent="0.25">
      <c r="AK257" s="13">
        <v>2740</v>
      </c>
      <c r="AL257" s="13">
        <v>0</v>
      </c>
    </row>
    <row r="258" spans="37:38" x14ac:dyDescent="0.25">
      <c r="AK258" s="13">
        <v>2760</v>
      </c>
      <c r="AL258" s="13">
        <v>0</v>
      </c>
    </row>
    <row r="259" spans="37:38" x14ac:dyDescent="0.25">
      <c r="AK259" s="13">
        <v>2760</v>
      </c>
      <c r="AL259" s="13">
        <v>0</v>
      </c>
    </row>
    <row r="260" spans="37:38" x14ac:dyDescent="0.25">
      <c r="AK260" s="13">
        <v>2780</v>
      </c>
      <c r="AL260" s="13">
        <v>0</v>
      </c>
    </row>
    <row r="261" spans="37:38" x14ac:dyDescent="0.25">
      <c r="AK261" s="13">
        <v>2780</v>
      </c>
      <c r="AL261" s="13">
        <v>0</v>
      </c>
    </row>
    <row r="262" spans="37:38" x14ac:dyDescent="0.25">
      <c r="AK262" s="13">
        <v>2800</v>
      </c>
      <c r="AL262" s="13">
        <v>0</v>
      </c>
    </row>
    <row r="263" spans="37:38" x14ac:dyDescent="0.25">
      <c r="AK263" s="13">
        <v>2800</v>
      </c>
      <c r="AL263" s="13">
        <v>0</v>
      </c>
    </row>
    <row r="264" spans="37:38" x14ac:dyDescent="0.25">
      <c r="AK264" s="13">
        <v>2820</v>
      </c>
      <c r="AL264" s="13">
        <v>0</v>
      </c>
    </row>
    <row r="265" spans="37:38" x14ac:dyDescent="0.25">
      <c r="AK265" s="13">
        <v>2820</v>
      </c>
      <c r="AL265" s="13">
        <v>0</v>
      </c>
    </row>
    <row r="266" spans="37:38" x14ac:dyDescent="0.25">
      <c r="AK266" s="13">
        <v>2840</v>
      </c>
      <c r="AL266" s="13">
        <v>0</v>
      </c>
    </row>
    <row r="267" spans="37:38" x14ac:dyDescent="0.25">
      <c r="AK267" s="13">
        <v>2840</v>
      </c>
      <c r="AL267" s="13">
        <v>0</v>
      </c>
    </row>
    <row r="268" spans="37:38" x14ac:dyDescent="0.25">
      <c r="AK268" s="13">
        <v>2860</v>
      </c>
      <c r="AL268" s="13">
        <v>0</v>
      </c>
    </row>
    <row r="269" spans="37:38" x14ac:dyDescent="0.25">
      <c r="AK269" s="13">
        <v>2860</v>
      </c>
      <c r="AL269" s="13">
        <v>0</v>
      </c>
    </row>
    <row r="270" spans="37:38" x14ac:dyDescent="0.25">
      <c r="AK270" s="13">
        <v>2880</v>
      </c>
      <c r="AL270" s="13">
        <v>0</v>
      </c>
    </row>
    <row r="271" spans="37:38" x14ac:dyDescent="0.25">
      <c r="AK271" s="13">
        <v>2880</v>
      </c>
      <c r="AL271" s="13">
        <v>0</v>
      </c>
    </row>
    <row r="272" spans="37:38" x14ac:dyDescent="0.25">
      <c r="AK272" s="13">
        <v>2900</v>
      </c>
      <c r="AL272" s="13">
        <v>0</v>
      </c>
    </row>
    <row r="273" spans="37:38" x14ac:dyDescent="0.25">
      <c r="AK273" s="13">
        <v>2900</v>
      </c>
      <c r="AL273" s="13">
        <v>0</v>
      </c>
    </row>
    <row r="274" spans="37:38" x14ac:dyDescent="0.25">
      <c r="AK274" s="13">
        <v>2920</v>
      </c>
      <c r="AL274" s="13">
        <v>0</v>
      </c>
    </row>
    <row r="275" spans="37:38" x14ac:dyDescent="0.25">
      <c r="AK275" s="13">
        <v>2920</v>
      </c>
      <c r="AL275" s="13">
        <v>0</v>
      </c>
    </row>
    <row r="276" spans="37:38" x14ac:dyDescent="0.25">
      <c r="AK276" s="13">
        <v>2940</v>
      </c>
      <c r="AL276" s="13">
        <v>0</v>
      </c>
    </row>
    <row r="277" spans="37:38" x14ac:dyDescent="0.25">
      <c r="AK277" s="13">
        <v>2940</v>
      </c>
      <c r="AL277" s="13">
        <v>0</v>
      </c>
    </row>
    <row r="278" spans="37:38" x14ac:dyDescent="0.25">
      <c r="AK278" s="13">
        <v>2960</v>
      </c>
      <c r="AL278" s="13">
        <v>0</v>
      </c>
    </row>
    <row r="279" spans="37:38" x14ac:dyDescent="0.25">
      <c r="AK279" s="13">
        <v>2960</v>
      </c>
      <c r="AL279" s="13">
        <v>0</v>
      </c>
    </row>
    <row r="280" spans="37:38" x14ac:dyDescent="0.25">
      <c r="AK280" s="13">
        <v>2980</v>
      </c>
      <c r="AL280" s="13">
        <v>0</v>
      </c>
    </row>
    <row r="281" spans="37:38" x14ac:dyDescent="0.25">
      <c r="AK281" s="13">
        <v>2980</v>
      </c>
      <c r="AL281" s="13">
        <v>0</v>
      </c>
    </row>
    <row r="282" spans="37:38" x14ac:dyDescent="0.25">
      <c r="AK282" s="13">
        <v>3000</v>
      </c>
      <c r="AL282" s="13">
        <v>0</v>
      </c>
    </row>
    <row r="283" spans="37:38" x14ac:dyDescent="0.25">
      <c r="AK283" s="13">
        <v>3000</v>
      </c>
      <c r="AL283" s="13">
        <v>0</v>
      </c>
    </row>
    <row r="284" spans="37:38" x14ac:dyDescent="0.25">
      <c r="AK284" s="13">
        <v>3020</v>
      </c>
      <c r="AL284" s="13">
        <v>0</v>
      </c>
    </row>
    <row r="285" spans="37:38" x14ac:dyDescent="0.25">
      <c r="AK285" s="13">
        <v>3020</v>
      </c>
      <c r="AL285" s="13">
        <v>0</v>
      </c>
    </row>
    <row r="286" spans="37:38" x14ac:dyDescent="0.25">
      <c r="AK286" s="13">
        <v>3040</v>
      </c>
      <c r="AL286" s="13">
        <v>0</v>
      </c>
    </row>
    <row r="287" spans="37:38" x14ac:dyDescent="0.25">
      <c r="AK287" s="13">
        <v>3040</v>
      </c>
      <c r="AL287" s="13">
        <v>0</v>
      </c>
    </row>
    <row r="288" spans="37:38" x14ac:dyDescent="0.25">
      <c r="AK288" s="13">
        <v>3060</v>
      </c>
      <c r="AL288" s="13">
        <v>0</v>
      </c>
    </row>
    <row r="289" spans="37:38" x14ac:dyDescent="0.25">
      <c r="AK289" s="13">
        <v>3060</v>
      </c>
      <c r="AL289" s="13">
        <v>0</v>
      </c>
    </row>
    <row r="290" spans="37:38" x14ac:dyDescent="0.25">
      <c r="AK290" s="13">
        <v>3080</v>
      </c>
      <c r="AL290" s="13">
        <v>0</v>
      </c>
    </row>
    <row r="291" spans="37:38" x14ac:dyDescent="0.25">
      <c r="AK291" s="13">
        <v>3080</v>
      </c>
      <c r="AL291" s="13">
        <v>0</v>
      </c>
    </row>
    <row r="292" spans="37:38" x14ac:dyDescent="0.25">
      <c r="AK292" s="13">
        <v>3100</v>
      </c>
      <c r="AL292" s="13">
        <v>0</v>
      </c>
    </row>
    <row r="293" spans="37:38" x14ac:dyDescent="0.25">
      <c r="AK293" s="13">
        <v>3100</v>
      </c>
      <c r="AL293" s="13">
        <v>0</v>
      </c>
    </row>
    <row r="294" spans="37:38" x14ac:dyDescent="0.25">
      <c r="AK294" s="13">
        <v>3120</v>
      </c>
      <c r="AL294" s="13">
        <v>0</v>
      </c>
    </row>
    <row r="295" spans="37:38" x14ac:dyDescent="0.25">
      <c r="AK295" s="13">
        <v>3120</v>
      </c>
      <c r="AL295" s="13">
        <v>0</v>
      </c>
    </row>
    <row r="296" spans="37:38" x14ac:dyDescent="0.25">
      <c r="AK296" s="13">
        <v>3140</v>
      </c>
      <c r="AL296" s="13">
        <v>0</v>
      </c>
    </row>
    <row r="297" spans="37:38" x14ac:dyDescent="0.25">
      <c r="AK297" s="13">
        <v>3140</v>
      </c>
      <c r="AL297" s="13">
        <v>0</v>
      </c>
    </row>
    <row r="298" spans="37:38" x14ac:dyDescent="0.25">
      <c r="AK298" s="13">
        <v>3160</v>
      </c>
      <c r="AL298" s="13">
        <v>0</v>
      </c>
    </row>
    <row r="299" spans="37:38" x14ac:dyDescent="0.25">
      <c r="AK299" s="13">
        <v>3160</v>
      </c>
      <c r="AL299" s="13">
        <v>0</v>
      </c>
    </row>
    <row r="300" spans="37:38" x14ac:dyDescent="0.25">
      <c r="AK300" s="13">
        <v>3180</v>
      </c>
      <c r="AL300" s="13">
        <v>0</v>
      </c>
    </row>
    <row r="301" spans="37:38" x14ac:dyDescent="0.25">
      <c r="AK301" s="13">
        <v>3180</v>
      </c>
      <c r="AL301" s="13">
        <v>0</v>
      </c>
    </row>
    <row r="302" spans="37:38" x14ac:dyDescent="0.25">
      <c r="AK302" s="13">
        <v>3200</v>
      </c>
      <c r="AL302" s="13">
        <v>0</v>
      </c>
    </row>
    <row r="303" spans="37:38" x14ac:dyDescent="0.25">
      <c r="AK303" s="13">
        <v>3200</v>
      </c>
      <c r="AL303" s="13">
        <v>0</v>
      </c>
    </row>
    <row r="304" spans="37:38" x14ac:dyDescent="0.25">
      <c r="AK304" s="13">
        <v>3220</v>
      </c>
      <c r="AL304" s="13">
        <v>0</v>
      </c>
    </row>
    <row r="305" spans="37:38" x14ac:dyDescent="0.25">
      <c r="AK305" s="13">
        <v>3220</v>
      </c>
      <c r="AL305" s="13">
        <v>0</v>
      </c>
    </row>
    <row r="306" spans="37:38" x14ac:dyDescent="0.25">
      <c r="AK306" s="13">
        <v>3240</v>
      </c>
      <c r="AL306" s="13">
        <v>0</v>
      </c>
    </row>
    <row r="307" spans="37:38" x14ac:dyDescent="0.25">
      <c r="AK307" s="13">
        <v>3240</v>
      </c>
      <c r="AL307" s="13">
        <v>0</v>
      </c>
    </row>
    <row r="308" spans="37:38" x14ac:dyDescent="0.25">
      <c r="AK308" s="13">
        <v>3260</v>
      </c>
      <c r="AL308" s="13">
        <v>0</v>
      </c>
    </row>
    <row r="309" spans="37:38" x14ac:dyDescent="0.25">
      <c r="AK309" s="13">
        <v>3260</v>
      </c>
      <c r="AL309" s="13">
        <v>0</v>
      </c>
    </row>
    <row r="310" spans="37:38" x14ac:dyDescent="0.25">
      <c r="AK310" s="13">
        <v>3280</v>
      </c>
      <c r="AL310" s="13">
        <v>0</v>
      </c>
    </row>
    <row r="311" spans="37:38" x14ac:dyDescent="0.25">
      <c r="AK311" s="13">
        <v>3280</v>
      </c>
      <c r="AL311" s="13">
        <v>0</v>
      </c>
    </row>
    <row r="312" spans="37:38" x14ac:dyDescent="0.25">
      <c r="AK312" s="13">
        <v>3300</v>
      </c>
      <c r="AL312" s="13">
        <v>0</v>
      </c>
    </row>
    <row r="313" spans="37:38" x14ac:dyDescent="0.25">
      <c r="AK313" s="13">
        <v>3300</v>
      </c>
      <c r="AL313" s="13">
        <v>0</v>
      </c>
    </row>
    <row r="314" spans="37:38" x14ac:dyDescent="0.25">
      <c r="AK314" s="13">
        <v>3320</v>
      </c>
      <c r="AL314" s="13">
        <v>0</v>
      </c>
    </row>
    <row r="315" spans="37:38" x14ac:dyDescent="0.25">
      <c r="AK315" s="13">
        <v>3320</v>
      </c>
      <c r="AL315" s="13">
        <v>0</v>
      </c>
    </row>
    <row r="316" spans="37:38" x14ac:dyDescent="0.25">
      <c r="AK316" s="13">
        <v>3340</v>
      </c>
      <c r="AL316" s="13">
        <v>0</v>
      </c>
    </row>
    <row r="317" spans="37:38" x14ac:dyDescent="0.25">
      <c r="AK317" s="13">
        <v>3340</v>
      </c>
      <c r="AL317" s="13">
        <v>0</v>
      </c>
    </row>
    <row r="318" spans="37:38" x14ac:dyDescent="0.25">
      <c r="AK318" s="13">
        <v>3360</v>
      </c>
      <c r="AL318" s="13">
        <v>0</v>
      </c>
    </row>
    <row r="319" spans="37:38" x14ac:dyDescent="0.25">
      <c r="AK319" s="13">
        <v>3360</v>
      </c>
      <c r="AL319" s="13">
        <v>0</v>
      </c>
    </row>
    <row r="320" spans="37:38" x14ac:dyDescent="0.25">
      <c r="AK320" s="13">
        <v>3380</v>
      </c>
      <c r="AL320" s="13">
        <v>0</v>
      </c>
    </row>
    <row r="321" spans="37:38" x14ac:dyDescent="0.25">
      <c r="AK321" s="13">
        <v>3380</v>
      </c>
      <c r="AL321" s="13">
        <v>0</v>
      </c>
    </row>
    <row r="322" spans="37:38" x14ac:dyDescent="0.25">
      <c r="AK322" s="13">
        <v>3400</v>
      </c>
      <c r="AL322" s="13">
        <v>0</v>
      </c>
    </row>
    <row r="323" spans="37:38" x14ac:dyDescent="0.25">
      <c r="AK323" s="13">
        <v>3400</v>
      </c>
      <c r="AL323" s="13">
        <v>0</v>
      </c>
    </row>
    <row r="324" spans="37:38" x14ac:dyDescent="0.25">
      <c r="AK324" s="13">
        <v>3420</v>
      </c>
      <c r="AL324" s="13">
        <v>0</v>
      </c>
    </row>
    <row r="325" spans="37:38" x14ac:dyDescent="0.25">
      <c r="AK325" s="13">
        <v>3420</v>
      </c>
      <c r="AL325" s="13">
        <v>0</v>
      </c>
    </row>
    <row r="326" spans="37:38" x14ac:dyDescent="0.25">
      <c r="AK326" s="13">
        <v>3440</v>
      </c>
      <c r="AL326" s="13">
        <v>0</v>
      </c>
    </row>
    <row r="327" spans="37:38" x14ac:dyDescent="0.25">
      <c r="AK327" s="13">
        <v>3440</v>
      </c>
      <c r="AL327" s="13">
        <v>0</v>
      </c>
    </row>
    <row r="328" spans="37:38" x14ac:dyDescent="0.25">
      <c r="AK328" s="13">
        <v>3460</v>
      </c>
      <c r="AL328" s="13">
        <v>0</v>
      </c>
    </row>
    <row r="329" spans="37:38" x14ac:dyDescent="0.25">
      <c r="AK329" s="13">
        <v>3460</v>
      </c>
      <c r="AL329" s="13">
        <v>0</v>
      </c>
    </row>
    <row r="330" spans="37:38" x14ac:dyDescent="0.25">
      <c r="AK330" s="13">
        <v>3480</v>
      </c>
      <c r="AL330" s="13">
        <v>0</v>
      </c>
    </row>
    <row r="331" spans="37:38" x14ac:dyDescent="0.25">
      <c r="AK331" s="13">
        <v>3480</v>
      </c>
      <c r="AL331" s="13">
        <v>0</v>
      </c>
    </row>
    <row r="332" spans="37:38" x14ac:dyDescent="0.25">
      <c r="AK332" s="13">
        <v>3500</v>
      </c>
      <c r="AL332" s="13">
        <v>0</v>
      </c>
    </row>
    <row r="333" spans="37:38" x14ac:dyDescent="0.25">
      <c r="AK333" s="13">
        <v>3500</v>
      </c>
      <c r="AL333" s="13">
        <v>0</v>
      </c>
    </row>
    <row r="334" spans="37:38" x14ac:dyDescent="0.25">
      <c r="AK334" s="13">
        <v>3520</v>
      </c>
      <c r="AL334" s="13">
        <v>0</v>
      </c>
    </row>
    <row r="335" spans="37:38" x14ac:dyDescent="0.25">
      <c r="AK335" s="13">
        <v>3520</v>
      </c>
      <c r="AL335" s="13">
        <v>0</v>
      </c>
    </row>
    <row r="336" spans="37:38" x14ac:dyDescent="0.25">
      <c r="AK336" s="13">
        <v>3540</v>
      </c>
      <c r="AL336" s="13">
        <v>0</v>
      </c>
    </row>
    <row r="337" spans="37:38" x14ac:dyDescent="0.25">
      <c r="AK337" s="13">
        <v>3540</v>
      </c>
      <c r="AL337" s="13">
        <v>0</v>
      </c>
    </row>
    <row r="338" spans="37:38" x14ac:dyDescent="0.25">
      <c r="AK338" s="13">
        <v>3560</v>
      </c>
      <c r="AL338" s="13">
        <v>0</v>
      </c>
    </row>
    <row r="339" spans="37:38" x14ac:dyDescent="0.25">
      <c r="AK339" s="13">
        <v>3560</v>
      </c>
      <c r="AL339" s="13">
        <v>0</v>
      </c>
    </row>
    <row r="340" spans="37:38" x14ac:dyDescent="0.25">
      <c r="AK340" s="13">
        <v>3580</v>
      </c>
      <c r="AL340" s="13">
        <v>0</v>
      </c>
    </row>
    <row r="341" spans="37:38" x14ac:dyDescent="0.25">
      <c r="AK341" s="13">
        <v>3580</v>
      </c>
      <c r="AL341" s="13">
        <v>0</v>
      </c>
    </row>
    <row r="342" spans="37:38" x14ac:dyDescent="0.25">
      <c r="AK342" s="13">
        <v>3600</v>
      </c>
      <c r="AL342" s="13">
        <v>0</v>
      </c>
    </row>
    <row r="343" spans="37:38" x14ac:dyDescent="0.25">
      <c r="AK343" s="13">
        <v>3600</v>
      </c>
      <c r="AL343" s="13">
        <v>0</v>
      </c>
    </row>
    <row r="344" spans="37:38" x14ac:dyDescent="0.25">
      <c r="AK344" s="13">
        <v>3620</v>
      </c>
      <c r="AL344" s="13">
        <v>0</v>
      </c>
    </row>
    <row r="345" spans="37:38" x14ac:dyDescent="0.25">
      <c r="AK345" s="13">
        <v>3620</v>
      </c>
      <c r="AL345" s="13">
        <v>0</v>
      </c>
    </row>
    <row r="346" spans="37:38" x14ac:dyDescent="0.25">
      <c r="AK346" s="13">
        <v>3640</v>
      </c>
      <c r="AL346" s="13">
        <v>0</v>
      </c>
    </row>
    <row r="347" spans="37:38" x14ac:dyDescent="0.25">
      <c r="AK347" s="13">
        <v>3640</v>
      </c>
      <c r="AL347" s="13">
        <v>0</v>
      </c>
    </row>
    <row r="348" spans="37:38" x14ac:dyDescent="0.25">
      <c r="AK348" s="13">
        <v>3660</v>
      </c>
      <c r="AL348" s="13">
        <v>0</v>
      </c>
    </row>
    <row r="349" spans="37:38" x14ac:dyDescent="0.25">
      <c r="AK349" s="13">
        <v>3660</v>
      </c>
      <c r="AL349" s="13">
        <v>0</v>
      </c>
    </row>
    <row r="350" spans="37:38" x14ac:dyDescent="0.25">
      <c r="AK350" s="13">
        <v>3680</v>
      </c>
      <c r="AL350" s="13">
        <v>0</v>
      </c>
    </row>
    <row r="351" spans="37:38" x14ac:dyDescent="0.25">
      <c r="AK351" s="13">
        <v>3680</v>
      </c>
      <c r="AL351" s="13">
        <v>0</v>
      </c>
    </row>
    <row r="352" spans="37:38" x14ac:dyDescent="0.25">
      <c r="AK352" s="13">
        <v>3700</v>
      </c>
      <c r="AL352" s="13">
        <v>0</v>
      </c>
    </row>
    <row r="353" spans="37:38" x14ac:dyDescent="0.25">
      <c r="AK353" s="13">
        <v>3700</v>
      </c>
      <c r="AL353" s="13">
        <v>0</v>
      </c>
    </row>
    <row r="354" spans="37:38" x14ac:dyDescent="0.25">
      <c r="AK354" s="13">
        <v>3720</v>
      </c>
      <c r="AL354" s="13">
        <v>0</v>
      </c>
    </row>
    <row r="355" spans="37:38" x14ac:dyDescent="0.25">
      <c r="AK355" s="13">
        <v>3720</v>
      </c>
      <c r="AL355" s="13">
        <v>0</v>
      </c>
    </row>
    <row r="356" spans="37:38" x14ac:dyDescent="0.25">
      <c r="AK356" s="13">
        <v>3740</v>
      </c>
      <c r="AL356" s="13">
        <v>0</v>
      </c>
    </row>
    <row r="357" spans="37:38" x14ac:dyDescent="0.25">
      <c r="AK357" s="13">
        <v>3740</v>
      </c>
      <c r="AL357" s="13">
        <v>0</v>
      </c>
    </row>
    <row r="358" spans="37:38" x14ac:dyDescent="0.25">
      <c r="AK358" s="13">
        <v>3760</v>
      </c>
      <c r="AL358" s="13">
        <v>0</v>
      </c>
    </row>
    <row r="359" spans="37:38" x14ac:dyDescent="0.25">
      <c r="AK359" s="13">
        <v>3760</v>
      </c>
      <c r="AL359" s="13">
        <v>0</v>
      </c>
    </row>
    <row r="360" spans="37:38" x14ac:dyDescent="0.25">
      <c r="AK360" s="13">
        <v>3780</v>
      </c>
      <c r="AL360" s="13">
        <v>0</v>
      </c>
    </row>
    <row r="361" spans="37:38" x14ac:dyDescent="0.25">
      <c r="AK361" s="13">
        <v>3780</v>
      </c>
      <c r="AL361" s="13">
        <v>0</v>
      </c>
    </row>
    <row r="362" spans="37:38" x14ac:dyDescent="0.25">
      <c r="AK362" s="13">
        <v>3800</v>
      </c>
      <c r="AL362" s="13">
        <v>0</v>
      </c>
    </row>
    <row r="363" spans="37:38" x14ac:dyDescent="0.25">
      <c r="AK363" s="13">
        <v>3800</v>
      </c>
      <c r="AL363" s="13">
        <v>0</v>
      </c>
    </row>
    <row r="364" spans="37:38" x14ac:dyDescent="0.25">
      <c r="AK364" s="13">
        <v>3820</v>
      </c>
      <c r="AL364" s="13">
        <v>0</v>
      </c>
    </row>
    <row r="365" spans="37:38" x14ac:dyDescent="0.25">
      <c r="AK365" s="13">
        <v>3820</v>
      </c>
      <c r="AL365" s="13">
        <v>0</v>
      </c>
    </row>
    <row r="366" spans="37:38" x14ac:dyDescent="0.25">
      <c r="AK366" s="13">
        <v>3840</v>
      </c>
      <c r="AL366" s="13">
        <v>0</v>
      </c>
    </row>
    <row r="367" spans="37:38" x14ac:dyDescent="0.25">
      <c r="AK367" s="13">
        <v>3840</v>
      </c>
      <c r="AL367" s="13">
        <v>0</v>
      </c>
    </row>
    <row r="368" spans="37:38" x14ac:dyDescent="0.25">
      <c r="AK368" s="13">
        <v>3860</v>
      </c>
      <c r="AL368" s="13">
        <v>0</v>
      </c>
    </row>
    <row r="369" spans="37:38" x14ac:dyDescent="0.25">
      <c r="AK369" s="13">
        <v>3860</v>
      </c>
      <c r="AL369" s="13">
        <v>0</v>
      </c>
    </row>
    <row r="370" spans="37:38" x14ac:dyDescent="0.25">
      <c r="AK370" s="13">
        <v>3880</v>
      </c>
      <c r="AL370" s="13">
        <v>0</v>
      </c>
    </row>
    <row r="371" spans="37:38" x14ac:dyDescent="0.25">
      <c r="AK371" s="13">
        <v>3880</v>
      </c>
      <c r="AL371" s="13">
        <v>0</v>
      </c>
    </row>
    <row r="372" spans="37:38" x14ac:dyDescent="0.25">
      <c r="AK372" s="13">
        <v>3900</v>
      </c>
      <c r="AL372" s="13">
        <v>0</v>
      </c>
    </row>
    <row r="373" spans="37:38" x14ac:dyDescent="0.25">
      <c r="AK373" s="13">
        <v>3900</v>
      </c>
      <c r="AL373" s="13">
        <v>0</v>
      </c>
    </row>
    <row r="374" spans="37:38" x14ac:dyDescent="0.25">
      <c r="AK374" s="13">
        <v>3920</v>
      </c>
      <c r="AL374" s="13">
        <v>0</v>
      </c>
    </row>
    <row r="375" spans="37:38" x14ac:dyDescent="0.25">
      <c r="AK375" s="13">
        <v>3920</v>
      </c>
      <c r="AL375" s="13">
        <v>0</v>
      </c>
    </row>
    <row r="376" spans="37:38" x14ac:dyDescent="0.25">
      <c r="AK376" s="13">
        <v>3940</v>
      </c>
      <c r="AL376" s="13">
        <v>0</v>
      </c>
    </row>
    <row r="377" spans="37:38" x14ac:dyDescent="0.25">
      <c r="AK377" s="13">
        <v>3940</v>
      </c>
      <c r="AL377" s="13">
        <v>0</v>
      </c>
    </row>
    <row r="378" spans="37:38" x14ac:dyDescent="0.25">
      <c r="AK378" s="13">
        <v>3960</v>
      </c>
      <c r="AL378" s="13">
        <v>0</v>
      </c>
    </row>
    <row r="379" spans="37:38" x14ac:dyDescent="0.25">
      <c r="AK379" s="13">
        <v>3960</v>
      </c>
      <c r="AL379" s="13">
        <v>0</v>
      </c>
    </row>
    <row r="380" spans="37:38" x14ac:dyDescent="0.25">
      <c r="AK380" s="13">
        <v>3980</v>
      </c>
      <c r="AL380" s="13">
        <v>0</v>
      </c>
    </row>
    <row r="381" spans="37:38" x14ac:dyDescent="0.25">
      <c r="AK381" s="13">
        <v>3980</v>
      </c>
      <c r="AL381" s="13">
        <v>0</v>
      </c>
    </row>
    <row r="382" spans="37:38" x14ac:dyDescent="0.25">
      <c r="AK382" s="13">
        <v>4000</v>
      </c>
      <c r="AL382" s="13">
        <v>0</v>
      </c>
    </row>
    <row r="383" spans="37:38" x14ac:dyDescent="0.25">
      <c r="AK383" s="13">
        <v>4000</v>
      </c>
      <c r="AL383" s="13">
        <v>0</v>
      </c>
    </row>
    <row r="384" spans="37:38" x14ac:dyDescent="0.25">
      <c r="AK384" s="13">
        <v>4020</v>
      </c>
      <c r="AL384" s="13">
        <v>0</v>
      </c>
    </row>
    <row r="385" spans="37:38" x14ac:dyDescent="0.25">
      <c r="AK385" s="13">
        <v>4020</v>
      </c>
      <c r="AL385" s="13">
        <v>0</v>
      </c>
    </row>
    <row r="386" spans="37:38" x14ac:dyDescent="0.25">
      <c r="AK386" s="13">
        <v>4040</v>
      </c>
      <c r="AL386" s="13">
        <v>0</v>
      </c>
    </row>
    <row r="387" spans="37:38" x14ac:dyDescent="0.25">
      <c r="AK387" s="13">
        <v>4040</v>
      </c>
      <c r="AL387" s="13">
        <v>0</v>
      </c>
    </row>
    <row r="388" spans="37:38" x14ac:dyDescent="0.25">
      <c r="AK388" s="13">
        <v>4060</v>
      </c>
      <c r="AL388" s="13">
        <v>0</v>
      </c>
    </row>
    <row r="389" spans="37:38" x14ac:dyDescent="0.25">
      <c r="AK389" s="13">
        <v>4060</v>
      </c>
      <c r="AL389" s="13">
        <v>0</v>
      </c>
    </row>
    <row r="390" spans="37:38" x14ac:dyDescent="0.25">
      <c r="AK390" s="13">
        <v>4080</v>
      </c>
      <c r="AL390" s="13">
        <v>0</v>
      </c>
    </row>
    <row r="391" spans="37:38" x14ac:dyDescent="0.25">
      <c r="AK391" s="13">
        <v>4080</v>
      </c>
      <c r="AL391" s="13">
        <v>0</v>
      </c>
    </row>
    <row r="392" spans="37:38" x14ac:dyDescent="0.25">
      <c r="AK392" s="13">
        <v>4100</v>
      </c>
      <c r="AL392" s="13">
        <v>0</v>
      </c>
    </row>
    <row r="393" spans="37:38" x14ac:dyDescent="0.25">
      <c r="AK393" s="13">
        <v>4100</v>
      </c>
      <c r="AL393" s="13">
        <v>0</v>
      </c>
    </row>
    <row r="394" spans="37:38" x14ac:dyDescent="0.25">
      <c r="AK394" s="13">
        <v>4120</v>
      </c>
      <c r="AL394" s="13">
        <v>0</v>
      </c>
    </row>
    <row r="395" spans="37:38" x14ac:dyDescent="0.25">
      <c r="AK395" s="13">
        <v>4120</v>
      </c>
      <c r="AL395" s="13">
        <v>0</v>
      </c>
    </row>
    <row r="396" spans="37:38" x14ac:dyDescent="0.25">
      <c r="AK396" s="13">
        <v>4140</v>
      </c>
      <c r="AL396" s="13">
        <v>0</v>
      </c>
    </row>
    <row r="397" spans="37:38" x14ac:dyDescent="0.25">
      <c r="AK397" s="13">
        <v>4140</v>
      </c>
      <c r="AL397" s="13">
        <v>9764</v>
      </c>
    </row>
    <row r="398" spans="37:38" x14ac:dyDescent="0.25">
      <c r="AK398" s="13">
        <v>4160</v>
      </c>
      <c r="AL398" s="13">
        <v>9764</v>
      </c>
    </row>
    <row r="399" spans="37:38" x14ac:dyDescent="0.25">
      <c r="AK399" s="13">
        <v>4160</v>
      </c>
      <c r="AL399" s="13">
        <v>236</v>
      </c>
    </row>
    <row r="400" spans="37:38" x14ac:dyDescent="0.25">
      <c r="AK400" s="13">
        <v>4180</v>
      </c>
      <c r="AL400" s="13">
        <v>236</v>
      </c>
    </row>
    <row r="401" spans="37:38" x14ac:dyDescent="0.25">
      <c r="AK401" s="13">
        <v>4180</v>
      </c>
      <c r="AL401" s="13">
        <v>0</v>
      </c>
    </row>
  </sheetData>
  <dataConsolidate/>
  <mergeCells count="4">
    <mergeCell ref="F2:G2"/>
    <mergeCell ref="I4:J4"/>
    <mergeCell ref="K4:L4"/>
    <mergeCell ref="M4:N4"/>
  </mergeCells>
  <pageMargins left="0.75" right="0.75" top="1" bottom="1" header="0.5" footer="0.5"/>
  <pageSetup orientation="portrait" horizontalDpi="200" verticalDpi="200"/>
  <headerFooter alignWithMargins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N131"/>
  <sheetViews>
    <sheetView showGridLines="0" topLeftCell="A3" workbookViewId="0">
      <selection activeCell="P23" sqref="O22:P23"/>
    </sheetView>
  </sheetViews>
  <sheetFormatPr defaultRowHeight="15.75" x14ac:dyDescent="0.25"/>
  <cols>
    <col min="1" max="1" width="8" style="22" customWidth="1"/>
    <col min="2" max="2" width="10.625" style="11" customWidth="1"/>
    <col min="3" max="3" width="10.625" style="12" customWidth="1"/>
    <col min="4" max="4" width="7.625" style="13" customWidth="1"/>
    <col min="5" max="5" width="7.625" style="14" customWidth="1"/>
    <col min="6" max="6" width="11.625" style="15" customWidth="1"/>
    <col min="7" max="7" width="9" style="14"/>
    <col min="8" max="8" width="6.625" style="14" customWidth="1"/>
    <col min="9" max="14" width="10.125" style="14" customWidth="1"/>
    <col min="15" max="17" width="9" style="14"/>
    <col min="18" max="19" width="9" style="13"/>
    <col min="20" max="20" width="14.25" style="13" customWidth="1"/>
    <col min="21" max="22" width="11.25" style="13" customWidth="1"/>
    <col min="23" max="54" width="9" style="13"/>
    <col min="55" max="256" width="9" style="14"/>
    <col min="257" max="257" width="8" style="14" customWidth="1"/>
    <col min="258" max="259" width="10.625" style="14" customWidth="1"/>
    <col min="260" max="261" width="7.625" style="14" customWidth="1"/>
    <col min="262" max="262" width="11.625" style="14" customWidth="1"/>
    <col min="263" max="263" width="9" style="14"/>
    <col min="264" max="264" width="6.625" style="14" customWidth="1"/>
    <col min="265" max="270" width="10.125" style="14" customWidth="1"/>
    <col min="271" max="275" width="9" style="14"/>
    <col min="276" max="276" width="14.25" style="14" customWidth="1"/>
    <col min="277" max="278" width="11.25" style="14" customWidth="1"/>
    <col min="279" max="512" width="9" style="14"/>
    <col min="513" max="513" width="8" style="14" customWidth="1"/>
    <col min="514" max="515" width="10.625" style="14" customWidth="1"/>
    <col min="516" max="517" width="7.625" style="14" customWidth="1"/>
    <col min="518" max="518" width="11.625" style="14" customWidth="1"/>
    <col min="519" max="519" width="9" style="14"/>
    <col min="520" max="520" width="6.625" style="14" customWidth="1"/>
    <col min="521" max="526" width="10.125" style="14" customWidth="1"/>
    <col min="527" max="531" width="9" style="14"/>
    <col min="532" max="532" width="14.25" style="14" customWidth="1"/>
    <col min="533" max="534" width="11.25" style="14" customWidth="1"/>
    <col min="535" max="768" width="9" style="14"/>
    <col min="769" max="769" width="8" style="14" customWidth="1"/>
    <col min="770" max="771" width="10.625" style="14" customWidth="1"/>
    <col min="772" max="773" width="7.625" style="14" customWidth="1"/>
    <col min="774" max="774" width="11.625" style="14" customWidth="1"/>
    <col min="775" max="775" width="9" style="14"/>
    <col min="776" max="776" width="6.625" style="14" customWidth="1"/>
    <col min="777" max="782" width="10.125" style="14" customWidth="1"/>
    <col min="783" max="787" width="9" style="14"/>
    <col min="788" max="788" width="14.25" style="14" customWidth="1"/>
    <col min="789" max="790" width="11.25" style="14" customWidth="1"/>
    <col min="791" max="1024" width="9" style="14"/>
    <col min="1025" max="1025" width="8" style="14" customWidth="1"/>
    <col min="1026" max="1027" width="10.625" style="14" customWidth="1"/>
    <col min="1028" max="1029" width="7.625" style="14" customWidth="1"/>
    <col min="1030" max="1030" width="11.625" style="14" customWidth="1"/>
    <col min="1031" max="1031" width="9" style="14"/>
    <col min="1032" max="1032" width="6.625" style="14" customWidth="1"/>
    <col min="1033" max="1038" width="10.125" style="14" customWidth="1"/>
    <col min="1039" max="1043" width="9" style="14"/>
    <col min="1044" max="1044" width="14.25" style="14" customWidth="1"/>
    <col min="1045" max="1046" width="11.25" style="14" customWidth="1"/>
    <col min="1047" max="1280" width="9" style="14"/>
    <col min="1281" max="1281" width="8" style="14" customWidth="1"/>
    <col min="1282" max="1283" width="10.625" style="14" customWidth="1"/>
    <col min="1284" max="1285" width="7.625" style="14" customWidth="1"/>
    <col min="1286" max="1286" width="11.625" style="14" customWidth="1"/>
    <col min="1287" max="1287" width="9" style="14"/>
    <col min="1288" max="1288" width="6.625" style="14" customWidth="1"/>
    <col min="1289" max="1294" width="10.125" style="14" customWidth="1"/>
    <col min="1295" max="1299" width="9" style="14"/>
    <col min="1300" max="1300" width="14.25" style="14" customWidth="1"/>
    <col min="1301" max="1302" width="11.25" style="14" customWidth="1"/>
    <col min="1303" max="1536" width="9" style="14"/>
    <col min="1537" max="1537" width="8" style="14" customWidth="1"/>
    <col min="1538" max="1539" width="10.625" style="14" customWidth="1"/>
    <col min="1540" max="1541" width="7.625" style="14" customWidth="1"/>
    <col min="1542" max="1542" width="11.625" style="14" customWidth="1"/>
    <col min="1543" max="1543" width="9" style="14"/>
    <col min="1544" max="1544" width="6.625" style="14" customWidth="1"/>
    <col min="1545" max="1550" width="10.125" style="14" customWidth="1"/>
    <col min="1551" max="1555" width="9" style="14"/>
    <col min="1556" max="1556" width="14.25" style="14" customWidth="1"/>
    <col min="1557" max="1558" width="11.25" style="14" customWidth="1"/>
    <col min="1559" max="1792" width="9" style="14"/>
    <col min="1793" max="1793" width="8" style="14" customWidth="1"/>
    <col min="1794" max="1795" width="10.625" style="14" customWidth="1"/>
    <col min="1796" max="1797" width="7.625" style="14" customWidth="1"/>
    <col min="1798" max="1798" width="11.625" style="14" customWidth="1"/>
    <col min="1799" max="1799" width="9" style="14"/>
    <col min="1800" max="1800" width="6.625" style="14" customWidth="1"/>
    <col min="1801" max="1806" width="10.125" style="14" customWidth="1"/>
    <col min="1807" max="1811" width="9" style="14"/>
    <col min="1812" max="1812" width="14.25" style="14" customWidth="1"/>
    <col min="1813" max="1814" width="11.25" style="14" customWidth="1"/>
    <col min="1815" max="2048" width="9" style="14"/>
    <col min="2049" max="2049" width="8" style="14" customWidth="1"/>
    <col min="2050" max="2051" width="10.625" style="14" customWidth="1"/>
    <col min="2052" max="2053" width="7.625" style="14" customWidth="1"/>
    <col min="2054" max="2054" width="11.625" style="14" customWidth="1"/>
    <col min="2055" max="2055" width="9" style="14"/>
    <col min="2056" max="2056" width="6.625" style="14" customWidth="1"/>
    <col min="2057" max="2062" width="10.125" style="14" customWidth="1"/>
    <col min="2063" max="2067" width="9" style="14"/>
    <col min="2068" max="2068" width="14.25" style="14" customWidth="1"/>
    <col min="2069" max="2070" width="11.25" style="14" customWidth="1"/>
    <col min="2071" max="2304" width="9" style="14"/>
    <col min="2305" max="2305" width="8" style="14" customWidth="1"/>
    <col min="2306" max="2307" width="10.625" style="14" customWidth="1"/>
    <col min="2308" max="2309" width="7.625" style="14" customWidth="1"/>
    <col min="2310" max="2310" width="11.625" style="14" customWidth="1"/>
    <col min="2311" max="2311" width="9" style="14"/>
    <col min="2312" max="2312" width="6.625" style="14" customWidth="1"/>
    <col min="2313" max="2318" width="10.125" style="14" customWidth="1"/>
    <col min="2319" max="2323" width="9" style="14"/>
    <col min="2324" max="2324" width="14.25" style="14" customWidth="1"/>
    <col min="2325" max="2326" width="11.25" style="14" customWidth="1"/>
    <col min="2327" max="2560" width="9" style="14"/>
    <col min="2561" max="2561" width="8" style="14" customWidth="1"/>
    <col min="2562" max="2563" width="10.625" style="14" customWidth="1"/>
    <col min="2564" max="2565" width="7.625" style="14" customWidth="1"/>
    <col min="2566" max="2566" width="11.625" style="14" customWidth="1"/>
    <col min="2567" max="2567" width="9" style="14"/>
    <col min="2568" max="2568" width="6.625" style="14" customWidth="1"/>
    <col min="2569" max="2574" width="10.125" style="14" customWidth="1"/>
    <col min="2575" max="2579" width="9" style="14"/>
    <col min="2580" max="2580" width="14.25" style="14" customWidth="1"/>
    <col min="2581" max="2582" width="11.25" style="14" customWidth="1"/>
    <col min="2583" max="2816" width="9" style="14"/>
    <col min="2817" max="2817" width="8" style="14" customWidth="1"/>
    <col min="2818" max="2819" width="10.625" style="14" customWidth="1"/>
    <col min="2820" max="2821" width="7.625" style="14" customWidth="1"/>
    <col min="2822" max="2822" width="11.625" style="14" customWidth="1"/>
    <col min="2823" max="2823" width="9" style="14"/>
    <col min="2824" max="2824" width="6.625" style="14" customWidth="1"/>
    <col min="2825" max="2830" width="10.125" style="14" customWidth="1"/>
    <col min="2831" max="2835" width="9" style="14"/>
    <col min="2836" max="2836" width="14.25" style="14" customWidth="1"/>
    <col min="2837" max="2838" width="11.25" style="14" customWidth="1"/>
    <col min="2839" max="3072" width="9" style="14"/>
    <col min="3073" max="3073" width="8" style="14" customWidth="1"/>
    <col min="3074" max="3075" width="10.625" style="14" customWidth="1"/>
    <col min="3076" max="3077" width="7.625" style="14" customWidth="1"/>
    <col min="3078" max="3078" width="11.625" style="14" customWidth="1"/>
    <col min="3079" max="3079" width="9" style="14"/>
    <col min="3080" max="3080" width="6.625" style="14" customWidth="1"/>
    <col min="3081" max="3086" width="10.125" style="14" customWidth="1"/>
    <col min="3087" max="3091" width="9" style="14"/>
    <col min="3092" max="3092" width="14.25" style="14" customWidth="1"/>
    <col min="3093" max="3094" width="11.25" style="14" customWidth="1"/>
    <col min="3095" max="3328" width="9" style="14"/>
    <col min="3329" max="3329" width="8" style="14" customWidth="1"/>
    <col min="3330" max="3331" width="10.625" style="14" customWidth="1"/>
    <col min="3332" max="3333" width="7.625" style="14" customWidth="1"/>
    <col min="3334" max="3334" width="11.625" style="14" customWidth="1"/>
    <col min="3335" max="3335" width="9" style="14"/>
    <col min="3336" max="3336" width="6.625" style="14" customWidth="1"/>
    <col min="3337" max="3342" width="10.125" style="14" customWidth="1"/>
    <col min="3343" max="3347" width="9" style="14"/>
    <col min="3348" max="3348" width="14.25" style="14" customWidth="1"/>
    <col min="3349" max="3350" width="11.25" style="14" customWidth="1"/>
    <col min="3351" max="3584" width="9" style="14"/>
    <col min="3585" max="3585" width="8" style="14" customWidth="1"/>
    <col min="3586" max="3587" width="10.625" style="14" customWidth="1"/>
    <col min="3588" max="3589" width="7.625" style="14" customWidth="1"/>
    <col min="3590" max="3590" width="11.625" style="14" customWidth="1"/>
    <col min="3591" max="3591" width="9" style="14"/>
    <col min="3592" max="3592" width="6.625" style="14" customWidth="1"/>
    <col min="3593" max="3598" width="10.125" style="14" customWidth="1"/>
    <col min="3599" max="3603" width="9" style="14"/>
    <col min="3604" max="3604" width="14.25" style="14" customWidth="1"/>
    <col min="3605" max="3606" width="11.25" style="14" customWidth="1"/>
    <col min="3607" max="3840" width="9" style="14"/>
    <col min="3841" max="3841" width="8" style="14" customWidth="1"/>
    <col min="3842" max="3843" width="10.625" style="14" customWidth="1"/>
    <col min="3844" max="3845" width="7.625" style="14" customWidth="1"/>
    <col min="3846" max="3846" width="11.625" style="14" customWidth="1"/>
    <col min="3847" max="3847" width="9" style="14"/>
    <col min="3848" max="3848" width="6.625" style="14" customWidth="1"/>
    <col min="3849" max="3854" width="10.125" style="14" customWidth="1"/>
    <col min="3855" max="3859" width="9" style="14"/>
    <col min="3860" max="3860" width="14.25" style="14" customWidth="1"/>
    <col min="3861" max="3862" width="11.25" style="14" customWidth="1"/>
    <col min="3863" max="4096" width="9" style="14"/>
    <col min="4097" max="4097" width="8" style="14" customWidth="1"/>
    <col min="4098" max="4099" width="10.625" style="14" customWidth="1"/>
    <col min="4100" max="4101" width="7.625" style="14" customWidth="1"/>
    <col min="4102" max="4102" width="11.625" style="14" customWidth="1"/>
    <col min="4103" max="4103" width="9" style="14"/>
    <col min="4104" max="4104" width="6.625" style="14" customWidth="1"/>
    <col min="4105" max="4110" width="10.125" style="14" customWidth="1"/>
    <col min="4111" max="4115" width="9" style="14"/>
    <col min="4116" max="4116" width="14.25" style="14" customWidth="1"/>
    <col min="4117" max="4118" width="11.25" style="14" customWidth="1"/>
    <col min="4119" max="4352" width="9" style="14"/>
    <col min="4353" max="4353" width="8" style="14" customWidth="1"/>
    <col min="4354" max="4355" width="10.625" style="14" customWidth="1"/>
    <col min="4356" max="4357" width="7.625" style="14" customWidth="1"/>
    <col min="4358" max="4358" width="11.625" style="14" customWidth="1"/>
    <col min="4359" max="4359" width="9" style="14"/>
    <col min="4360" max="4360" width="6.625" style="14" customWidth="1"/>
    <col min="4361" max="4366" width="10.125" style="14" customWidth="1"/>
    <col min="4367" max="4371" width="9" style="14"/>
    <col min="4372" max="4372" width="14.25" style="14" customWidth="1"/>
    <col min="4373" max="4374" width="11.25" style="14" customWidth="1"/>
    <col min="4375" max="4608" width="9" style="14"/>
    <col min="4609" max="4609" width="8" style="14" customWidth="1"/>
    <col min="4610" max="4611" width="10.625" style="14" customWidth="1"/>
    <col min="4612" max="4613" width="7.625" style="14" customWidth="1"/>
    <col min="4614" max="4614" width="11.625" style="14" customWidth="1"/>
    <col min="4615" max="4615" width="9" style="14"/>
    <col min="4616" max="4616" width="6.625" style="14" customWidth="1"/>
    <col min="4617" max="4622" width="10.125" style="14" customWidth="1"/>
    <col min="4623" max="4627" width="9" style="14"/>
    <col min="4628" max="4628" width="14.25" style="14" customWidth="1"/>
    <col min="4629" max="4630" width="11.25" style="14" customWidth="1"/>
    <col min="4631" max="4864" width="9" style="14"/>
    <col min="4865" max="4865" width="8" style="14" customWidth="1"/>
    <col min="4866" max="4867" width="10.625" style="14" customWidth="1"/>
    <col min="4868" max="4869" width="7.625" style="14" customWidth="1"/>
    <col min="4870" max="4870" width="11.625" style="14" customWidth="1"/>
    <col min="4871" max="4871" width="9" style="14"/>
    <col min="4872" max="4872" width="6.625" style="14" customWidth="1"/>
    <col min="4873" max="4878" width="10.125" style="14" customWidth="1"/>
    <col min="4879" max="4883" width="9" style="14"/>
    <col min="4884" max="4884" width="14.25" style="14" customWidth="1"/>
    <col min="4885" max="4886" width="11.25" style="14" customWidth="1"/>
    <col min="4887" max="5120" width="9" style="14"/>
    <col min="5121" max="5121" width="8" style="14" customWidth="1"/>
    <col min="5122" max="5123" width="10.625" style="14" customWidth="1"/>
    <col min="5124" max="5125" width="7.625" style="14" customWidth="1"/>
    <col min="5126" max="5126" width="11.625" style="14" customWidth="1"/>
    <col min="5127" max="5127" width="9" style="14"/>
    <col min="5128" max="5128" width="6.625" style="14" customWidth="1"/>
    <col min="5129" max="5134" width="10.125" style="14" customWidth="1"/>
    <col min="5135" max="5139" width="9" style="14"/>
    <col min="5140" max="5140" width="14.25" style="14" customWidth="1"/>
    <col min="5141" max="5142" width="11.25" style="14" customWidth="1"/>
    <col min="5143" max="5376" width="9" style="14"/>
    <col min="5377" max="5377" width="8" style="14" customWidth="1"/>
    <col min="5378" max="5379" width="10.625" style="14" customWidth="1"/>
    <col min="5380" max="5381" width="7.625" style="14" customWidth="1"/>
    <col min="5382" max="5382" width="11.625" style="14" customWidth="1"/>
    <col min="5383" max="5383" width="9" style="14"/>
    <col min="5384" max="5384" width="6.625" style="14" customWidth="1"/>
    <col min="5385" max="5390" width="10.125" style="14" customWidth="1"/>
    <col min="5391" max="5395" width="9" style="14"/>
    <col min="5396" max="5396" width="14.25" style="14" customWidth="1"/>
    <col min="5397" max="5398" width="11.25" style="14" customWidth="1"/>
    <col min="5399" max="5632" width="9" style="14"/>
    <col min="5633" max="5633" width="8" style="14" customWidth="1"/>
    <col min="5634" max="5635" width="10.625" style="14" customWidth="1"/>
    <col min="5636" max="5637" width="7.625" style="14" customWidth="1"/>
    <col min="5638" max="5638" width="11.625" style="14" customWidth="1"/>
    <col min="5639" max="5639" width="9" style="14"/>
    <col min="5640" max="5640" width="6.625" style="14" customWidth="1"/>
    <col min="5641" max="5646" width="10.125" style="14" customWidth="1"/>
    <col min="5647" max="5651" width="9" style="14"/>
    <col min="5652" max="5652" width="14.25" style="14" customWidth="1"/>
    <col min="5653" max="5654" width="11.25" style="14" customWidth="1"/>
    <col min="5655" max="5888" width="9" style="14"/>
    <col min="5889" max="5889" width="8" style="14" customWidth="1"/>
    <col min="5890" max="5891" width="10.625" style="14" customWidth="1"/>
    <col min="5892" max="5893" width="7.625" style="14" customWidth="1"/>
    <col min="5894" max="5894" width="11.625" style="14" customWidth="1"/>
    <col min="5895" max="5895" width="9" style="14"/>
    <col min="5896" max="5896" width="6.625" style="14" customWidth="1"/>
    <col min="5897" max="5902" width="10.125" style="14" customWidth="1"/>
    <col min="5903" max="5907" width="9" style="14"/>
    <col min="5908" max="5908" width="14.25" style="14" customWidth="1"/>
    <col min="5909" max="5910" width="11.25" style="14" customWidth="1"/>
    <col min="5911" max="6144" width="9" style="14"/>
    <col min="6145" max="6145" width="8" style="14" customWidth="1"/>
    <col min="6146" max="6147" width="10.625" style="14" customWidth="1"/>
    <col min="6148" max="6149" width="7.625" style="14" customWidth="1"/>
    <col min="6150" max="6150" width="11.625" style="14" customWidth="1"/>
    <col min="6151" max="6151" width="9" style="14"/>
    <col min="6152" max="6152" width="6.625" style="14" customWidth="1"/>
    <col min="6153" max="6158" width="10.125" style="14" customWidth="1"/>
    <col min="6159" max="6163" width="9" style="14"/>
    <col min="6164" max="6164" width="14.25" style="14" customWidth="1"/>
    <col min="6165" max="6166" width="11.25" style="14" customWidth="1"/>
    <col min="6167" max="6400" width="9" style="14"/>
    <col min="6401" max="6401" width="8" style="14" customWidth="1"/>
    <col min="6402" max="6403" width="10.625" style="14" customWidth="1"/>
    <col min="6404" max="6405" width="7.625" style="14" customWidth="1"/>
    <col min="6406" max="6406" width="11.625" style="14" customWidth="1"/>
    <col min="6407" max="6407" width="9" style="14"/>
    <col min="6408" max="6408" width="6.625" style="14" customWidth="1"/>
    <col min="6409" max="6414" width="10.125" style="14" customWidth="1"/>
    <col min="6415" max="6419" width="9" style="14"/>
    <col min="6420" max="6420" width="14.25" style="14" customWidth="1"/>
    <col min="6421" max="6422" width="11.25" style="14" customWidth="1"/>
    <col min="6423" max="6656" width="9" style="14"/>
    <col min="6657" max="6657" width="8" style="14" customWidth="1"/>
    <col min="6658" max="6659" width="10.625" style="14" customWidth="1"/>
    <col min="6660" max="6661" width="7.625" style="14" customWidth="1"/>
    <col min="6662" max="6662" width="11.625" style="14" customWidth="1"/>
    <col min="6663" max="6663" width="9" style="14"/>
    <col min="6664" max="6664" width="6.625" style="14" customWidth="1"/>
    <col min="6665" max="6670" width="10.125" style="14" customWidth="1"/>
    <col min="6671" max="6675" width="9" style="14"/>
    <col min="6676" max="6676" width="14.25" style="14" customWidth="1"/>
    <col min="6677" max="6678" width="11.25" style="14" customWidth="1"/>
    <col min="6679" max="6912" width="9" style="14"/>
    <col min="6913" max="6913" width="8" style="14" customWidth="1"/>
    <col min="6914" max="6915" width="10.625" style="14" customWidth="1"/>
    <col min="6916" max="6917" width="7.625" style="14" customWidth="1"/>
    <col min="6918" max="6918" width="11.625" style="14" customWidth="1"/>
    <col min="6919" max="6919" width="9" style="14"/>
    <col min="6920" max="6920" width="6.625" style="14" customWidth="1"/>
    <col min="6921" max="6926" width="10.125" style="14" customWidth="1"/>
    <col min="6927" max="6931" width="9" style="14"/>
    <col min="6932" max="6932" width="14.25" style="14" customWidth="1"/>
    <col min="6933" max="6934" width="11.25" style="14" customWidth="1"/>
    <col min="6935" max="7168" width="9" style="14"/>
    <col min="7169" max="7169" width="8" style="14" customWidth="1"/>
    <col min="7170" max="7171" width="10.625" style="14" customWidth="1"/>
    <col min="7172" max="7173" width="7.625" style="14" customWidth="1"/>
    <col min="7174" max="7174" width="11.625" style="14" customWidth="1"/>
    <col min="7175" max="7175" width="9" style="14"/>
    <col min="7176" max="7176" width="6.625" style="14" customWidth="1"/>
    <col min="7177" max="7182" width="10.125" style="14" customWidth="1"/>
    <col min="7183" max="7187" width="9" style="14"/>
    <col min="7188" max="7188" width="14.25" style="14" customWidth="1"/>
    <col min="7189" max="7190" width="11.25" style="14" customWidth="1"/>
    <col min="7191" max="7424" width="9" style="14"/>
    <col min="7425" max="7425" width="8" style="14" customWidth="1"/>
    <col min="7426" max="7427" width="10.625" style="14" customWidth="1"/>
    <col min="7428" max="7429" width="7.625" style="14" customWidth="1"/>
    <col min="7430" max="7430" width="11.625" style="14" customWidth="1"/>
    <col min="7431" max="7431" width="9" style="14"/>
    <col min="7432" max="7432" width="6.625" style="14" customWidth="1"/>
    <col min="7433" max="7438" width="10.125" style="14" customWidth="1"/>
    <col min="7439" max="7443" width="9" style="14"/>
    <col min="7444" max="7444" width="14.25" style="14" customWidth="1"/>
    <col min="7445" max="7446" width="11.25" style="14" customWidth="1"/>
    <col min="7447" max="7680" width="9" style="14"/>
    <col min="7681" max="7681" width="8" style="14" customWidth="1"/>
    <col min="7682" max="7683" width="10.625" style="14" customWidth="1"/>
    <col min="7684" max="7685" width="7.625" style="14" customWidth="1"/>
    <col min="7686" max="7686" width="11.625" style="14" customWidth="1"/>
    <col min="7687" max="7687" width="9" style="14"/>
    <col min="7688" max="7688" width="6.625" style="14" customWidth="1"/>
    <col min="7689" max="7694" width="10.125" style="14" customWidth="1"/>
    <col min="7695" max="7699" width="9" style="14"/>
    <col min="7700" max="7700" width="14.25" style="14" customWidth="1"/>
    <col min="7701" max="7702" width="11.25" style="14" customWidth="1"/>
    <col min="7703" max="7936" width="9" style="14"/>
    <col min="7937" max="7937" width="8" style="14" customWidth="1"/>
    <col min="7938" max="7939" width="10.625" style="14" customWidth="1"/>
    <col min="7940" max="7941" width="7.625" style="14" customWidth="1"/>
    <col min="7942" max="7942" width="11.625" style="14" customWidth="1"/>
    <col min="7943" max="7943" width="9" style="14"/>
    <col min="7944" max="7944" width="6.625" style="14" customWidth="1"/>
    <col min="7945" max="7950" width="10.125" style="14" customWidth="1"/>
    <col min="7951" max="7955" width="9" style="14"/>
    <col min="7956" max="7956" width="14.25" style="14" customWidth="1"/>
    <col min="7957" max="7958" width="11.25" style="14" customWidth="1"/>
    <col min="7959" max="8192" width="9" style="14"/>
    <col min="8193" max="8193" width="8" style="14" customWidth="1"/>
    <col min="8194" max="8195" width="10.625" style="14" customWidth="1"/>
    <col min="8196" max="8197" width="7.625" style="14" customWidth="1"/>
    <col min="8198" max="8198" width="11.625" style="14" customWidth="1"/>
    <col min="8199" max="8199" width="9" style="14"/>
    <col min="8200" max="8200" width="6.625" style="14" customWidth="1"/>
    <col min="8201" max="8206" width="10.125" style="14" customWidth="1"/>
    <col min="8207" max="8211" width="9" style="14"/>
    <col min="8212" max="8212" width="14.25" style="14" customWidth="1"/>
    <col min="8213" max="8214" width="11.25" style="14" customWidth="1"/>
    <col min="8215" max="8448" width="9" style="14"/>
    <col min="8449" max="8449" width="8" style="14" customWidth="1"/>
    <col min="8450" max="8451" width="10.625" style="14" customWidth="1"/>
    <col min="8452" max="8453" width="7.625" style="14" customWidth="1"/>
    <col min="8454" max="8454" width="11.625" style="14" customWidth="1"/>
    <col min="8455" max="8455" width="9" style="14"/>
    <col min="8456" max="8456" width="6.625" style="14" customWidth="1"/>
    <col min="8457" max="8462" width="10.125" style="14" customWidth="1"/>
    <col min="8463" max="8467" width="9" style="14"/>
    <col min="8468" max="8468" width="14.25" style="14" customWidth="1"/>
    <col min="8469" max="8470" width="11.25" style="14" customWidth="1"/>
    <col min="8471" max="8704" width="9" style="14"/>
    <col min="8705" max="8705" width="8" style="14" customWidth="1"/>
    <col min="8706" max="8707" width="10.625" style="14" customWidth="1"/>
    <col min="8708" max="8709" width="7.625" style="14" customWidth="1"/>
    <col min="8710" max="8710" width="11.625" style="14" customWidth="1"/>
    <col min="8711" max="8711" width="9" style="14"/>
    <col min="8712" max="8712" width="6.625" style="14" customWidth="1"/>
    <col min="8713" max="8718" width="10.125" style="14" customWidth="1"/>
    <col min="8719" max="8723" width="9" style="14"/>
    <col min="8724" max="8724" width="14.25" style="14" customWidth="1"/>
    <col min="8725" max="8726" width="11.25" style="14" customWidth="1"/>
    <col min="8727" max="8960" width="9" style="14"/>
    <col min="8961" max="8961" width="8" style="14" customWidth="1"/>
    <col min="8962" max="8963" width="10.625" style="14" customWidth="1"/>
    <col min="8964" max="8965" width="7.625" style="14" customWidth="1"/>
    <col min="8966" max="8966" width="11.625" style="14" customWidth="1"/>
    <col min="8967" max="8967" width="9" style="14"/>
    <col min="8968" max="8968" width="6.625" style="14" customWidth="1"/>
    <col min="8969" max="8974" width="10.125" style="14" customWidth="1"/>
    <col min="8975" max="8979" width="9" style="14"/>
    <col min="8980" max="8980" width="14.25" style="14" customWidth="1"/>
    <col min="8981" max="8982" width="11.25" style="14" customWidth="1"/>
    <col min="8983" max="9216" width="9" style="14"/>
    <col min="9217" max="9217" width="8" style="14" customWidth="1"/>
    <col min="9218" max="9219" width="10.625" style="14" customWidth="1"/>
    <col min="9220" max="9221" width="7.625" style="14" customWidth="1"/>
    <col min="9222" max="9222" width="11.625" style="14" customWidth="1"/>
    <col min="9223" max="9223" width="9" style="14"/>
    <col min="9224" max="9224" width="6.625" style="14" customWidth="1"/>
    <col min="9225" max="9230" width="10.125" style="14" customWidth="1"/>
    <col min="9231" max="9235" width="9" style="14"/>
    <col min="9236" max="9236" width="14.25" style="14" customWidth="1"/>
    <col min="9237" max="9238" width="11.25" style="14" customWidth="1"/>
    <col min="9239" max="9472" width="9" style="14"/>
    <col min="9473" max="9473" width="8" style="14" customWidth="1"/>
    <col min="9474" max="9475" width="10.625" style="14" customWidth="1"/>
    <col min="9476" max="9477" width="7.625" style="14" customWidth="1"/>
    <col min="9478" max="9478" width="11.625" style="14" customWidth="1"/>
    <col min="9479" max="9479" width="9" style="14"/>
    <col min="9480" max="9480" width="6.625" style="14" customWidth="1"/>
    <col min="9481" max="9486" width="10.125" style="14" customWidth="1"/>
    <col min="9487" max="9491" width="9" style="14"/>
    <col min="9492" max="9492" width="14.25" style="14" customWidth="1"/>
    <col min="9493" max="9494" width="11.25" style="14" customWidth="1"/>
    <col min="9495" max="9728" width="9" style="14"/>
    <col min="9729" max="9729" width="8" style="14" customWidth="1"/>
    <col min="9730" max="9731" width="10.625" style="14" customWidth="1"/>
    <col min="9732" max="9733" width="7.625" style="14" customWidth="1"/>
    <col min="9734" max="9734" width="11.625" style="14" customWidth="1"/>
    <col min="9735" max="9735" width="9" style="14"/>
    <col min="9736" max="9736" width="6.625" style="14" customWidth="1"/>
    <col min="9737" max="9742" width="10.125" style="14" customWidth="1"/>
    <col min="9743" max="9747" width="9" style="14"/>
    <col min="9748" max="9748" width="14.25" style="14" customWidth="1"/>
    <col min="9749" max="9750" width="11.25" style="14" customWidth="1"/>
    <col min="9751" max="9984" width="9" style="14"/>
    <col min="9985" max="9985" width="8" style="14" customWidth="1"/>
    <col min="9986" max="9987" width="10.625" style="14" customWidth="1"/>
    <col min="9988" max="9989" width="7.625" style="14" customWidth="1"/>
    <col min="9990" max="9990" width="11.625" style="14" customWidth="1"/>
    <col min="9991" max="9991" width="9" style="14"/>
    <col min="9992" max="9992" width="6.625" style="14" customWidth="1"/>
    <col min="9993" max="9998" width="10.125" style="14" customWidth="1"/>
    <col min="9999" max="10003" width="9" style="14"/>
    <col min="10004" max="10004" width="14.25" style="14" customWidth="1"/>
    <col min="10005" max="10006" width="11.25" style="14" customWidth="1"/>
    <col min="10007" max="10240" width="9" style="14"/>
    <col min="10241" max="10241" width="8" style="14" customWidth="1"/>
    <col min="10242" max="10243" width="10.625" style="14" customWidth="1"/>
    <col min="10244" max="10245" width="7.625" style="14" customWidth="1"/>
    <col min="10246" max="10246" width="11.625" style="14" customWidth="1"/>
    <col min="10247" max="10247" width="9" style="14"/>
    <col min="10248" max="10248" width="6.625" style="14" customWidth="1"/>
    <col min="10249" max="10254" width="10.125" style="14" customWidth="1"/>
    <col min="10255" max="10259" width="9" style="14"/>
    <col min="10260" max="10260" width="14.25" style="14" customWidth="1"/>
    <col min="10261" max="10262" width="11.25" style="14" customWidth="1"/>
    <col min="10263" max="10496" width="9" style="14"/>
    <col min="10497" max="10497" width="8" style="14" customWidth="1"/>
    <col min="10498" max="10499" width="10.625" style="14" customWidth="1"/>
    <col min="10500" max="10501" width="7.625" style="14" customWidth="1"/>
    <col min="10502" max="10502" width="11.625" style="14" customWidth="1"/>
    <col min="10503" max="10503" width="9" style="14"/>
    <col min="10504" max="10504" width="6.625" style="14" customWidth="1"/>
    <col min="10505" max="10510" width="10.125" style="14" customWidth="1"/>
    <col min="10511" max="10515" width="9" style="14"/>
    <col min="10516" max="10516" width="14.25" style="14" customWidth="1"/>
    <col min="10517" max="10518" width="11.25" style="14" customWidth="1"/>
    <col min="10519" max="10752" width="9" style="14"/>
    <col min="10753" max="10753" width="8" style="14" customWidth="1"/>
    <col min="10754" max="10755" width="10.625" style="14" customWidth="1"/>
    <col min="10756" max="10757" width="7.625" style="14" customWidth="1"/>
    <col min="10758" max="10758" width="11.625" style="14" customWidth="1"/>
    <col min="10759" max="10759" width="9" style="14"/>
    <col min="10760" max="10760" width="6.625" style="14" customWidth="1"/>
    <col min="10761" max="10766" width="10.125" style="14" customWidth="1"/>
    <col min="10767" max="10771" width="9" style="14"/>
    <col min="10772" max="10772" width="14.25" style="14" customWidth="1"/>
    <col min="10773" max="10774" width="11.25" style="14" customWidth="1"/>
    <col min="10775" max="11008" width="9" style="14"/>
    <col min="11009" max="11009" width="8" style="14" customWidth="1"/>
    <col min="11010" max="11011" width="10.625" style="14" customWidth="1"/>
    <col min="11012" max="11013" width="7.625" style="14" customWidth="1"/>
    <col min="11014" max="11014" width="11.625" style="14" customWidth="1"/>
    <col min="11015" max="11015" width="9" style="14"/>
    <col min="11016" max="11016" width="6.625" style="14" customWidth="1"/>
    <col min="11017" max="11022" width="10.125" style="14" customWidth="1"/>
    <col min="11023" max="11027" width="9" style="14"/>
    <col min="11028" max="11028" width="14.25" style="14" customWidth="1"/>
    <col min="11029" max="11030" width="11.25" style="14" customWidth="1"/>
    <col min="11031" max="11264" width="9" style="14"/>
    <col min="11265" max="11265" width="8" style="14" customWidth="1"/>
    <col min="11266" max="11267" width="10.625" style="14" customWidth="1"/>
    <col min="11268" max="11269" width="7.625" style="14" customWidth="1"/>
    <col min="11270" max="11270" width="11.625" style="14" customWidth="1"/>
    <col min="11271" max="11271" width="9" style="14"/>
    <col min="11272" max="11272" width="6.625" style="14" customWidth="1"/>
    <col min="11273" max="11278" width="10.125" style="14" customWidth="1"/>
    <col min="11279" max="11283" width="9" style="14"/>
    <col min="11284" max="11284" width="14.25" style="14" customWidth="1"/>
    <col min="11285" max="11286" width="11.25" style="14" customWidth="1"/>
    <col min="11287" max="11520" width="9" style="14"/>
    <col min="11521" max="11521" width="8" style="14" customWidth="1"/>
    <col min="11522" max="11523" width="10.625" style="14" customWidth="1"/>
    <col min="11524" max="11525" width="7.625" style="14" customWidth="1"/>
    <col min="11526" max="11526" width="11.625" style="14" customWidth="1"/>
    <col min="11527" max="11527" width="9" style="14"/>
    <col min="11528" max="11528" width="6.625" style="14" customWidth="1"/>
    <col min="11529" max="11534" width="10.125" style="14" customWidth="1"/>
    <col min="11535" max="11539" width="9" style="14"/>
    <col min="11540" max="11540" width="14.25" style="14" customWidth="1"/>
    <col min="11541" max="11542" width="11.25" style="14" customWidth="1"/>
    <col min="11543" max="11776" width="9" style="14"/>
    <col min="11777" max="11777" width="8" style="14" customWidth="1"/>
    <col min="11778" max="11779" width="10.625" style="14" customWidth="1"/>
    <col min="11780" max="11781" width="7.625" style="14" customWidth="1"/>
    <col min="11782" max="11782" width="11.625" style="14" customWidth="1"/>
    <col min="11783" max="11783" width="9" style="14"/>
    <col min="11784" max="11784" width="6.625" style="14" customWidth="1"/>
    <col min="11785" max="11790" width="10.125" style="14" customWidth="1"/>
    <col min="11791" max="11795" width="9" style="14"/>
    <col min="11796" max="11796" width="14.25" style="14" customWidth="1"/>
    <col min="11797" max="11798" width="11.25" style="14" customWidth="1"/>
    <col min="11799" max="12032" width="9" style="14"/>
    <col min="12033" max="12033" width="8" style="14" customWidth="1"/>
    <col min="12034" max="12035" width="10.625" style="14" customWidth="1"/>
    <col min="12036" max="12037" width="7.625" style="14" customWidth="1"/>
    <col min="12038" max="12038" width="11.625" style="14" customWidth="1"/>
    <col min="12039" max="12039" width="9" style="14"/>
    <col min="12040" max="12040" width="6.625" style="14" customWidth="1"/>
    <col min="12041" max="12046" width="10.125" style="14" customWidth="1"/>
    <col min="12047" max="12051" width="9" style="14"/>
    <col min="12052" max="12052" width="14.25" style="14" customWidth="1"/>
    <col min="12053" max="12054" width="11.25" style="14" customWidth="1"/>
    <col min="12055" max="12288" width="9" style="14"/>
    <col min="12289" max="12289" width="8" style="14" customWidth="1"/>
    <col min="12290" max="12291" width="10.625" style="14" customWidth="1"/>
    <col min="12292" max="12293" width="7.625" style="14" customWidth="1"/>
    <col min="12294" max="12294" width="11.625" style="14" customWidth="1"/>
    <col min="12295" max="12295" width="9" style="14"/>
    <col min="12296" max="12296" width="6.625" style="14" customWidth="1"/>
    <col min="12297" max="12302" width="10.125" style="14" customWidth="1"/>
    <col min="12303" max="12307" width="9" style="14"/>
    <col min="12308" max="12308" width="14.25" style="14" customWidth="1"/>
    <col min="12309" max="12310" width="11.25" style="14" customWidth="1"/>
    <col min="12311" max="12544" width="9" style="14"/>
    <col min="12545" max="12545" width="8" style="14" customWidth="1"/>
    <col min="12546" max="12547" width="10.625" style="14" customWidth="1"/>
    <col min="12548" max="12549" width="7.625" style="14" customWidth="1"/>
    <col min="12550" max="12550" width="11.625" style="14" customWidth="1"/>
    <col min="12551" max="12551" width="9" style="14"/>
    <col min="12552" max="12552" width="6.625" style="14" customWidth="1"/>
    <col min="12553" max="12558" width="10.125" style="14" customWidth="1"/>
    <col min="12559" max="12563" width="9" style="14"/>
    <col min="12564" max="12564" width="14.25" style="14" customWidth="1"/>
    <col min="12565" max="12566" width="11.25" style="14" customWidth="1"/>
    <col min="12567" max="12800" width="9" style="14"/>
    <col min="12801" max="12801" width="8" style="14" customWidth="1"/>
    <col min="12802" max="12803" width="10.625" style="14" customWidth="1"/>
    <col min="12804" max="12805" width="7.625" style="14" customWidth="1"/>
    <col min="12806" max="12806" width="11.625" style="14" customWidth="1"/>
    <col min="12807" max="12807" width="9" style="14"/>
    <col min="12808" max="12808" width="6.625" style="14" customWidth="1"/>
    <col min="12809" max="12814" width="10.125" style="14" customWidth="1"/>
    <col min="12815" max="12819" width="9" style="14"/>
    <col min="12820" max="12820" width="14.25" style="14" customWidth="1"/>
    <col min="12821" max="12822" width="11.25" style="14" customWidth="1"/>
    <col min="12823" max="13056" width="9" style="14"/>
    <col min="13057" max="13057" width="8" style="14" customWidth="1"/>
    <col min="13058" max="13059" width="10.625" style="14" customWidth="1"/>
    <col min="13060" max="13061" width="7.625" style="14" customWidth="1"/>
    <col min="13062" max="13062" width="11.625" style="14" customWidth="1"/>
    <col min="13063" max="13063" width="9" style="14"/>
    <col min="13064" max="13064" width="6.625" style="14" customWidth="1"/>
    <col min="13065" max="13070" width="10.125" style="14" customWidth="1"/>
    <col min="13071" max="13075" width="9" style="14"/>
    <col min="13076" max="13076" width="14.25" style="14" customWidth="1"/>
    <col min="13077" max="13078" width="11.25" style="14" customWidth="1"/>
    <col min="13079" max="13312" width="9" style="14"/>
    <col min="13313" max="13313" width="8" style="14" customWidth="1"/>
    <col min="13314" max="13315" width="10.625" style="14" customWidth="1"/>
    <col min="13316" max="13317" width="7.625" style="14" customWidth="1"/>
    <col min="13318" max="13318" width="11.625" style="14" customWidth="1"/>
    <col min="13319" max="13319" width="9" style="14"/>
    <col min="13320" max="13320" width="6.625" style="14" customWidth="1"/>
    <col min="13321" max="13326" width="10.125" style="14" customWidth="1"/>
    <col min="13327" max="13331" width="9" style="14"/>
    <col min="13332" max="13332" width="14.25" style="14" customWidth="1"/>
    <col min="13333" max="13334" width="11.25" style="14" customWidth="1"/>
    <col min="13335" max="13568" width="9" style="14"/>
    <col min="13569" max="13569" width="8" style="14" customWidth="1"/>
    <col min="13570" max="13571" width="10.625" style="14" customWidth="1"/>
    <col min="13572" max="13573" width="7.625" style="14" customWidth="1"/>
    <col min="13574" max="13574" width="11.625" style="14" customWidth="1"/>
    <col min="13575" max="13575" width="9" style="14"/>
    <col min="13576" max="13576" width="6.625" style="14" customWidth="1"/>
    <col min="13577" max="13582" width="10.125" style="14" customWidth="1"/>
    <col min="13583" max="13587" width="9" style="14"/>
    <col min="13588" max="13588" width="14.25" style="14" customWidth="1"/>
    <col min="13589" max="13590" width="11.25" style="14" customWidth="1"/>
    <col min="13591" max="13824" width="9" style="14"/>
    <col min="13825" max="13825" width="8" style="14" customWidth="1"/>
    <col min="13826" max="13827" width="10.625" style="14" customWidth="1"/>
    <col min="13828" max="13829" width="7.625" style="14" customWidth="1"/>
    <col min="13830" max="13830" width="11.625" style="14" customWidth="1"/>
    <col min="13831" max="13831" width="9" style="14"/>
    <col min="13832" max="13832" width="6.625" style="14" customWidth="1"/>
    <col min="13833" max="13838" width="10.125" style="14" customWidth="1"/>
    <col min="13839" max="13843" width="9" style="14"/>
    <col min="13844" max="13844" width="14.25" style="14" customWidth="1"/>
    <col min="13845" max="13846" width="11.25" style="14" customWidth="1"/>
    <col min="13847" max="14080" width="9" style="14"/>
    <col min="14081" max="14081" width="8" style="14" customWidth="1"/>
    <col min="14082" max="14083" width="10.625" style="14" customWidth="1"/>
    <col min="14084" max="14085" width="7.625" style="14" customWidth="1"/>
    <col min="14086" max="14086" width="11.625" style="14" customWidth="1"/>
    <col min="14087" max="14087" width="9" style="14"/>
    <col min="14088" max="14088" width="6.625" style="14" customWidth="1"/>
    <col min="14089" max="14094" width="10.125" style="14" customWidth="1"/>
    <col min="14095" max="14099" width="9" style="14"/>
    <col min="14100" max="14100" width="14.25" style="14" customWidth="1"/>
    <col min="14101" max="14102" width="11.25" style="14" customWidth="1"/>
    <col min="14103" max="14336" width="9" style="14"/>
    <col min="14337" max="14337" width="8" style="14" customWidth="1"/>
    <col min="14338" max="14339" width="10.625" style="14" customWidth="1"/>
    <col min="14340" max="14341" width="7.625" style="14" customWidth="1"/>
    <col min="14342" max="14342" width="11.625" style="14" customWidth="1"/>
    <col min="14343" max="14343" width="9" style="14"/>
    <col min="14344" max="14344" width="6.625" style="14" customWidth="1"/>
    <col min="14345" max="14350" width="10.125" style="14" customWidth="1"/>
    <col min="14351" max="14355" width="9" style="14"/>
    <col min="14356" max="14356" width="14.25" style="14" customWidth="1"/>
    <col min="14357" max="14358" width="11.25" style="14" customWidth="1"/>
    <col min="14359" max="14592" width="9" style="14"/>
    <col min="14593" max="14593" width="8" style="14" customWidth="1"/>
    <col min="14594" max="14595" width="10.625" style="14" customWidth="1"/>
    <col min="14596" max="14597" width="7.625" style="14" customWidth="1"/>
    <col min="14598" max="14598" width="11.625" style="14" customWidth="1"/>
    <col min="14599" max="14599" width="9" style="14"/>
    <col min="14600" max="14600" width="6.625" style="14" customWidth="1"/>
    <col min="14601" max="14606" width="10.125" style="14" customWidth="1"/>
    <col min="14607" max="14611" width="9" style="14"/>
    <col min="14612" max="14612" width="14.25" style="14" customWidth="1"/>
    <col min="14613" max="14614" width="11.25" style="14" customWidth="1"/>
    <col min="14615" max="14848" width="9" style="14"/>
    <col min="14849" max="14849" width="8" style="14" customWidth="1"/>
    <col min="14850" max="14851" width="10.625" style="14" customWidth="1"/>
    <col min="14852" max="14853" width="7.625" style="14" customWidth="1"/>
    <col min="14854" max="14854" width="11.625" style="14" customWidth="1"/>
    <col min="14855" max="14855" width="9" style="14"/>
    <col min="14856" max="14856" width="6.625" style="14" customWidth="1"/>
    <col min="14857" max="14862" width="10.125" style="14" customWidth="1"/>
    <col min="14863" max="14867" width="9" style="14"/>
    <col min="14868" max="14868" width="14.25" style="14" customWidth="1"/>
    <col min="14869" max="14870" width="11.25" style="14" customWidth="1"/>
    <col min="14871" max="15104" width="9" style="14"/>
    <col min="15105" max="15105" width="8" style="14" customWidth="1"/>
    <col min="15106" max="15107" width="10.625" style="14" customWidth="1"/>
    <col min="15108" max="15109" width="7.625" style="14" customWidth="1"/>
    <col min="15110" max="15110" width="11.625" style="14" customWidth="1"/>
    <col min="15111" max="15111" width="9" style="14"/>
    <col min="15112" max="15112" width="6.625" style="14" customWidth="1"/>
    <col min="15113" max="15118" width="10.125" style="14" customWidth="1"/>
    <col min="15119" max="15123" width="9" style="14"/>
    <col min="15124" max="15124" width="14.25" style="14" customWidth="1"/>
    <col min="15125" max="15126" width="11.25" style="14" customWidth="1"/>
    <col min="15127" max="15360" width="9" style="14"/>
    <col min="15361" max="15361" width="8" style="14" customWidth="1"/>
    <col min="15362" max="15363" width="10.625" style="14" customWidth="1"/>
    <col min="15364" max="15365" width="7.625" style="14" customWidth="1"/>
    <col min="15366" max="15366" width="11.625" style="14" customWidth="1"/>
    <col min="15367" max="15367" width="9" style="14"/>
    <col min="15368" max="15368" width="6.625" style="14" customWidth="1"/>
    <col min="15369" max="15374" width="10.125" style="14" customWidth="1"/>
    <col min="15375" max="15379" width="9" style="14"/>
    <col min="15380" max="15380" width="14.25" style="14" customWidth="1"/>
    <col min="15381" max="15382" width="11.25" style="14" customWidth="1"/>
    <col min="15383" max="15616" width="9" style="14"/>
    <col min="15617" max="15617" width="8" style="14" customWidth="1"/>
    <col min="15618" max="15619" width="10.625" style="14" customWidth="1"/>
    <col min="15620" max="15621" width="7.625" style="14" customWidth="1"/>
    <col min="15622" max="15622" width="11.625" style="14" customWidth="1"/>
    <col min="15623" max="15623" width="9" style="14"/>
    <col min="15624" max="15624" width="6.625" style="14" customWidth="1"/>
    <col min="15625" max="15630" width="10.125" style="14" customWidth="1"/>
    <col min="15631" max="15635" width="9" style="14"/>
    <col min="15636" max="15636" width="14.25" style="14" customWidth="1"/>
    <col min="15637" max="15638" width="11.25" style="14" customWidth="1"/>
    <col min="15639" max="15872" width="9" style="14"/>
    <col min="15873" max="15873" width="8" style="14" customWidth="1"/>
    <col min="15874" max="15875" width="10.625" style="14" customWidth="1"/>
    <col min="15876" max="15877" width="7.625" style="14" customWidth="1"/>
    <col min="15878" max="15878" width="11.625" style="14" customWidth="1"/>
    <col min="15879" max="15879" width="9" style="14"/>
    <col min="15880" max="15880" width="6.625" style="14" customWidth="1"/>
    <col min="15881" max="15886" width="10.125" style="14" customWidth="1"/>
    <col min="15887" max="15891" width="9" style="14"/>
    <col min="15892" max="15892" width="14.25" style="14" customWidth="1"/>
    <col min="15893" max="15894" width="11.25" style="14" customWidth="1"/>
    <col min="15895" max="16128" width="9" style="14"/>
    <col min="16129" max="16129" width="8" style="14" customWidth="1"/>
    <col min="16130" max="16131" width="10.625" style="14" customWidth="1"/>
    <col min="16132" max="16133" width="7.625" style="14" customWidth="1"/>
    <col min="16134" max="16134" width="11.625" style="14" customWidth="1"/>
    <col min="16135" max="16135" width="9" style="14"/>
    <col min="16136" max="16136" width="6.625" style="14" customWidth="1"/>
    <col min="16137" max="16142" width="10.125" style="14" customWidth="1"/>
    <col min="16143" max="16147" width="9" style="14"/>
    <col min="16148" max="16148" width="14.25" style="14" customWidth="1"/>
    <col min="16149" max="16150" width="11.25" style="14" customWidth="1"/>
    <col min="16151" max="16384" width="9" style="14"/>
  </cols>
  <sheetData>
    <row r="1" spans="1:66" ht="31.5" thickBot="1" x14ac:dyDescent="0.5">
      <c r="A1" s="10" t="s">
        <v>19</v>
      </c>
      <c r="I1" s="13"/>
      <c r="J1" s="13"/>
      <c r="K1" s="13"/>
      <c r="L1" s="13"/>
      <c r="M1" s="13"/>
      <c r="N1" s="13"/>
      <c r="O1" s="13"/>
      <c r="Q1" s="13"/>
      <c r="AH1" s="16"/>
      <c r="AI1" s="16"/>
      <c r="AJ1" s="16"/>
      <c r="AK1" s="16"/>
      <c r="AL1" s="16" t="s">
        <v>34</v>
      </c>
      <c r="AM1" s="58" t="s">
        <v>35</v>
      </c>
      <c r="AN1" s="16"/>
      <c r="BC1" s="13"/>
      <c r="BD1" s="13"/>
      <c r="BE1" s="13"/>
      <c r="BF1" s="13"/>
      <c r="BG1" s="13"/>
      <c r="BH1" s="13"/>
      <c r="BI1" s="13"/>
      <c r="BJ1" s="13"/>
      <c r="BK1" s="13"/>
      <c r="BL1" s="13"/>
      <c r="BM1" s="13"/>
      <c r="BN1" s="13"/>
    </row>
    <row r="2" spans="1:66" s="20" customFormat="1" ht="39.75" customHeight="1" thickBot="1" x14ac:dyDescent="0.35">
      <c r="A2" s="17" t="s">
        <v>20</v>
      </c>
      <c r="B2" s="18" t="s">
        <v>34</v>
      </c>
      <c r="C2" s="57" t="s">
        <v>35</v>
      </c>
      <c r="D2" s="13"/>
      <c r="E2" s="19"/>
      <c r="F2" s="59" t="s">
        <v>21</v>
      </c>
      <c r="G2" s="60"/>
      <c r="I2" s="21"/>
      <c r="J2" s="21"/>
      <c r="K2" s="21"/>
      <c r="L2" s="21"/>
      <c r="M2" s="21"/>
      <c r="N2" s="21"/>
      <c r="O2" s="21"/>
      <c r="Q2" s="21"/>
      <c r="R2" s="13"/>
      <c r="S2" s="13"/>
      <c r="T2" s="13"/>
      <c r="U2" s="13"/>
      <c r="V2" s="13"/>
      <c r="W2" s="21"/>
      <c r="X2" s="21"/>
      <c r="Y2" s="13"/>
      <c r="Z2" s="13"/>
      <c r="AA2" s="13"/>
      <c r="AB2" s="13"/>
      <c r="AC2" s="13"/>
      <c r="AD2" s="13"/>
      <c r="AE2" s="13"/>
      <c r="AF2" s="13"/>
      <c r="AG2" s="13"/>
      <c r="AH2" s="16">
        <v>500</v>
      </c>
      <c r="AI2" s="16"/>
      <c r="AJ2" s="16"/>
      <c r="AK2" s="16">
        <v>500</v>
      </c>
      <c r="AL2" s="16">
        <v>0</v>
      </c>
      <c r="AM2" s="16">
        <v>0</v>
      </c>
      <c r="AN2" s="16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21"/>
      <c r="BD2" s="21"/>
      <c r="BE2" s="21"/>
      <c r="BF2" s="21"/>
      <c r="BG2" s="21"/>
      <c r="BH2" s="21"/>
      <c r="BI2" s="21"/>
      <c r="BJ2" s="21"/>
      <c r="BK2" s="21"/>
      <c r="BL2" s="21"/>
      <c r="BM2" s="21"/>
      <c r="BN2" s="21"/>
    </row>
    <row r="3" spans="1:66" ht="16.5" thickBot="1" x14ac:dyDescent="0.3">
      <c r="A3" s="22">
        <v>1</v>
      </c>
      <c r="B3" s="23">
        <v>1549.9980382397589</v>
      </c>
      <c r="C3" s="24">
        <v>864.58624426660811</v>
      </c>
      <c r="E3" s="25"/>
      <c r="F3" s="26">
        <v>10000</v>
      </c>
      <c r="G3" s="27" t="s">
        <v>22</v>
      </c>
      <c r="AH3" s="16">
        <v>525</v>
      </c>
      <c r="AI3" s="16"/>
      <c r="AJ3" s="16"/>
      <c r="AK3" s="16">
        <v>500</v>
      </c>
      <c r="AL3" s="16">
        <v>0</v>
      </c>
      <c r="AM3" s="16">
        <v>0</v>
      </c>
      <c r="AN3" s="16"/>
      <c r="BC3" s="13"/>
      <c r="BD3" s="13"/>
      <c r="BE3" s="13"/>
      <c r="BF3" s="13"/>
      <c r="BG3" s="13"/>
      <c r="BH3" s="13"/>
      <c r="BI3" s="13"/>
      <c r="BJ3" s="13"/>
      <c r="BK3" s="13"/>
      <c r="BL3" s="13"/>
      <c r="BM3" s="13"/>
      <c r="BN3" s="13"/>
    </row>
    <row r="4" spans="1:66" ht="16.5" thickBot="1" x14ac:dyDescent="0.3">
      <c r="A4" s="22">
        <v>2</v>
      </c>
      <c r="B4" s="23">
        <v>1202.3881597174836</v>
      </c>
      <c r="C4" s="24">
        <v>1031.0136361732148</v>
      </c>
      <c r="E4" s="25"/>
      <c r="F4" s="28">
        <v>53.000000445172191</v>
      </c>
      <c r="G4" s="29" t="s">
        <v>23</v>
      </c>
      <c r="I4" s="67" t="s">
        <v>36</v>
      </c>
      <c r="J4" s="62"/>
      <c r="K4" s="63" t="s">
        <v>37</v>
      </c>
      <c r="L4" s="64"/>
      <c r="M4" s="65" t="s">
        <v>24</v>
      </c>
      <c r="N4" s="66"/>
      <c r="P4" s="30"/>
      <c r="AH4" s="16">
        <v>550</v>
      </c>
      <c r="AI4" s="16"/>
      <c r="AJ4" s="16"/>
      <c r="AK4" s="16">
        <v>525</v>
      </c>
      <c r="AL4" s="16">
        <v>0</v>
      </c>
      <c r="AM4" s="16">
        <v>0</v>
      </c>
      <c r="AN4" s="16"/>
      <c r="BC4" s="13"/>
      <c r="BD4" s="13"/>
      <c r="BE4" s="13"/>
      <c r="BF4" s="13"/>
      <c r="BG4" s="13"/>
      <c r="BH4" s="13"/>
      <c r="BI4" s="13"/>
      <c r="BJ4" s="13"/>
      <c r="BK4" s="13"/>
      <c r="BL4" s="13"/>
      <c r="BM4" s="13"/>
      <c r="BN4" s="13"/>
    </row>
    <row r="5" spans="1:66" x14ac:dyDescent="0.25">
      <c r="A5" s="22">
        <v>3</v>
      </c>
      <c r="B5" s="23">
        <v>1246.8026871847753</v>
      </c>
      <c r="C5" s="24">
        <v>758.03434584243223</v>
      </c>
      <c r="E5" s="31"/>
      <c r="F5" s="32"/>
      <c r="G5" s="31"/>
      <c r="I5" s="33" t="s">
        <v>25</v>
      </c>
      <c r="J5" s="34">
        <v>1312.5637414430344</v>
      </c>
      <c r="K5" s="35" t="s">
        <v>25</v>
      </c>
      <c r="L5" s="36">
        <v>863.699597518009</v>
      </c>
      <c r="M5" s="37"/>
      <c r="N5" s="38"/>
      <c r="P5" s="30"/>
      <c r="AH5" s="16">
        <v>575</v>
      </c>
      <c r="AI5" s="16"/>
      <c r="AJ5" s="16"/>
      <c r="AK5" s="16">
        <v>525</v>
      </c>
      <c r="AL5" s="16">
        <v>0</v>
      </c>
      <c r="AM5" s="16">
        <v>4</v>
      </c>
      <c r="AN5" s="16"/>
      <c r="BC5" s="13"/>
      <c r="BD5" s="13"/>
      <c r="BE5" s="13"/>
      <c r="BF5" s="13"/>
      <c r="BG5" s="13"/>
      <c r="BH5" s="13"/>
      <c r="BI5" s="13"/>
      <c r="BJ5" s="13"/>
      <c r="BK5" s="13"/>
      <c r="BL5" s="13"/>
      <c r="BM5" s="13"/>
      <c r="BN5" s="13"/>
    </row>
    <row r="6" spans="1:66" x14ac:dyDescent="0.25">
      <c r="A6" s="22">
        <v>4</v>
      </c>
      <c r="B6" s="23">
        <v>1146.3279561185143</v>
      </c>
      <c r="C6" s="24">
        <v>891.41200659509514</v>
      </c>
      <c r="I6" s="33" t="s">
        <v>26</v>
      </c>
      <c r="J6" s="39">
        <v>174.46033791102693</v>
      </c>
      <c r="K6" s="35" t="s">
        <v>26</v>
      </c>
      <c r="L6" s="40">
        <v>112.62695476090141</v>
      </c>
      <c r="M6" s="41"/>
      <c r="N6" s="42"/>
      <c r="AH6" s="16">
        <v>600</v>
      </c>
      <c r="AI6" s="16"/>
      <c r="AJ6" s="16"/>
      <c r="AK6" s="16">
        <v>550</v>
      </c>
      <c r="AL6" s="16">
        <v>0</v>
      </c>
      <c r="AM6" s="16">
        <v>4</v>
      </c>
      <c r="AN6" s="16"/>
      <c r="BC6" s="13"/>
      <c r="BD6" s="13"/>
      <c r="BE6" s="13"/>
      <c r="BF6" s="13"/>
      <c r="BG6" s="13"/>
      <c r="BH6" s="13"/>
      <c r="BI6" s="13"/>
      <c r="BJ6" s="13"/>
      <c r="BK6" s="13"/>
      <c r="BL6" s="13"/>
      <c r="BM6" s="13"/>
      <c r="BN6" s="13"/>
    </row>
    <row r="7" spans="1:66" x14ac:dyDescent="0.25">
      <c r="A7" s="22">
        <v>5</v>
      </c>
      <c r="B7" s="23">
        <v>1412.9394254927793</v>
      </c>
      <c r="C7" s="24">
        <v>674.41649629909546</v>
      </c>
      <c r="F7" s="43"/>
      <c r="I7" s="33" t="s">
        <v>27</v>
      </c>
      <c r="J7" s="34">
        <v>2079.1806624677356</v>
      </c>
      <c r="K7" s="35" t="s">
        <v>27</v>
      </c>
      <c r="L7" s="36">
        <v>1388.7019474818076</v>
      </c>
      <c r="M7" s="25"/>
      <c r="N7" s="44"/>
      <c r="AH7" s="16">
        <v>625</v>
      </c>
      <c r="AI7" s="16"/>
      <c r="AJ7" s="16"/>
      <c r="AK7" s="16">
        <v>550</v>
      </c>
      <c r="AL7" s="16">
        <v>0</v>
      </c>
      <c r="AM7" s="16">
        <v>15</v>
      </c>
      <c r="AN7" s="16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</row>
    <row r="8" spans="1:66" ht="16.5" thickBot="1" x14ac:dyDescent="0.3">
      <c r="A8" s="22">
        <v>6</v>
      </c>
      <c r="B8" s="23">
        <v>1111.3390983469226</v>
      </c>
      <c r="C8" s="24">
        <v>732.92427034107163</v>
      </c>
      <c r="F8" s="43"/>
      <c r="I8" s="45" t="s">
        <v>28</v>
      </c>
      <c r="J8" s="46">
        <v>767.71518112866079</v>
      </c>
      <c r="K8" s="47" t="s">
        <v>28</v>
      </c>
      <c r="L8" s="48">
        <v>530.26793957521977</v>
      </c>
      <c r="M8" s="49"/>
      <c r="N8" s="50"/>
      <c r="AH8" s="16">
        <v>650</v>
      </c>
      <c r="AI8" s="16"/>
      <c r="AJ8" s="16"/>
      <c r="AK8" s="16">
        <v>575</v>
      </c>
      <c r="AL8" s="16">
        <v>0</v>
      </c>
      <c r="AM8" s="16">
        <v>15</v>
      </c>
      <c r="AN8" s="16"/>
      <c r="BC8" s="13"/>
      <c r="BD8" s="13"/>
      <c r="BE8" s="13"/>
      <c r="BF8" s="13"/>
      <c r="BG8" s="13"/>
      <c r="BH8" s="13"/>
      <c r="BI8" s="13"/>
      <c r="BJ8" s="13"/>
      <c r="BK8" s="13"/>
      <c r="BL8" s="13"/>
      <c r="BM8" s="13"/>
      <c r="BN8" s="13"/>
    </row>
    <row r="9" spans="1:66" x14ac:dyDescent="0.25">
      <c r="A9" s="22">
        <v>7</v>
      </c>
      <c r="B9" s="23">
        <v>1749.3927499400779</v>
      </c>
      <c r="C9" s="24">
        <v>914.68953914017584</v>
      </c>
      <c r="F9" s="43"/>
      <c r="I9" s="31"/>
      <c r="J9" s="51"/>
      <c r="K9" s="31"/>
      <c r="L9" s="31"/>
      <c r="M9" s="31"/>
      <c r="N9" s="31"/>
      <c r="AH9" s="16">
        <v>675</v>
      </c>
      <c r="AI9" s="16"/>
      <c r="AJ9" s="16"/>
      <c r="AK9" s="16">
        <v>575</v>
      </c>
      <c r="AL9" s="16">
        <v>0</v>
      </c>
      <c r="AM9" s="16">
        <v>23</v>
      </c>
      <c r="AN9" s="16"/>
      <c r="BC9" s="13"/>
      <c r="BD9" s="13"/>
      <c r="BE9" s="13"/>
      <c r="BF9" s="13"/>
      <c r="BG9" s="13"/>
      <c r="BH9" s="13"/>
      <c r="BI9" s="13"/>
      <c r="BJ9" s="13"/>
      <c r="BK9" s="13"/>
      <c r="BL9" s="13"/>
      <c r="BM9" s="13"/>
      <c r="BN9" s="13"/>
    </row>
    <row r="10" spans="1:66" x14ac:dyDescent="0.25">
      <c r="A10" s="22">
        <v>8</v>
      </c>
      <c r="B10" s="23">
        <v>1121.4913026927702</v>
      </c>
      <c r="C10" s="24">
        <v>901.91229526347411</v>
      </c>
      <c r="F10" s="43"/>
      <c r="I10" s="25"/>
      <c r="J10" s="51"/>
      <c r="K10" s="31"/>
      <c r="L10" s="31"/>
      <c r="M10" s="31"/>
      <c r="N10" s="31"/>
      <c r="P10" s="30"/>
      <c r="AH10" s="16">
        <v>700</v>
      </c>
      <c r="AI10" s="16"/>
      <c r="AJ10" s="16"/>
      <c r="AK10" s="16">
        <v>600</v>
      </c>
      <c r="AL10" s="16">
        <v>0</v>
      </c>
      <c r="AM10" s="16">
        <v>23</v>
      </c>
      <c r="AN10" s="16"/>
      <c r="BC10" s="13"/>
      <c r="BD10" s="13"/>
      <c r="BE10" s="13"/>
      <c r="BF10" s="13"/>
      <c r="BG10" s="13"/>
      <c r="BH10" s="13"/>
      <c r="BI10" s="13"/>
      <c r="BJ10" s="13"/>
      <c r="BK10" s="13"/>
      <c r="BL10" s="13"/>
      <c r="BM10" s="13"/>
      <c r="BN10" s="13"/>
    </row>
    <row r="11" spans="1:66" x14ac:dyDescent="0.25">
      <c r="A11" s="22">
        <v>9</v>
      </c>
      <c r="B11" s="23">
        <v>1460.8778009346017</v>
      </c>
      <c r="C11" s="24">
        <v>875.59528439348617</v>
      </c>
      <c r="I11" s="31"/>
      <c r="J11" s="51"/>
      <c r="K11" s="31"/>
      <c r="L11" s="31"/>
      <c r="M11" s="31"/>
      <c r="N11" s="31"/>
      <c r="P11" s="30"/>
      <c r="AH11" s="16">
        <v>725</v>
      </c>
      <c r="AI11" s="16"/>
      <c r="AJ11" s="16"/>
      <c r="AK11" s="16">
        <v>600</v>
      </c>
      <c r="AL11" s="16">
        <v>0</v>
      </c>
      <c r="AM11" s="16">
        <v>47</v>
      </c>
      <c r="AN11" s="16"/>
      <c r="BC11" s="13"/>
      <c r="BD11" s="13"/>
      <c r="BE11" s="13"/>
      <c r="BF11" s="13"/>
      <c r="BG11" s="13"/>
      <c r="BH11" s="13"/>
      <c r="BI11" s="13"/>
      <c r="BJ11" s="13"/>
      <c r="BK11" s="13"/>
      <c r="BL11" s="13"/>
      <c r="BM11" s="13"/>
      <c r="BN11" s="13"/>
    </row>
    <row r="12" spans="1:66" x14ac:dyDescent="0.25">
      <c r="A12" s="22">
        <v>10</v>
      </c>
      <c r="B12" s="23">
        <v>1601.3752685648249</v>
      </c>
      <c r="C12" s="24">
        <v>1021.0838399012998</v>
      </c>
      <c r="I12" s="31"/>
      <c r="J12" s="31"/>
      <c r="K12" s="31"/>
      <c r="L12" s="31"/>
      <c r="M12" s="31"/>
      <c r="N12" s="31"/>
      <c r="P12" s="30"/>
      <c r="AH12" s="16">
        <v>750</v>
      </c>
      <c r="AI12" s="16"/>
      <c r="AJ12" s="16"/>
      <c r="AK12" s="16">
        <v>625</v>
      </c>
      <c r="AL12" s="16">
        <v>0</v>
      </c>
      <c r="AM12" s="16">
        <v>47</v>
      </c>
      <c r="AN12" s="16"/>
      <c r="BC12" s="13"/>
      <c r="BD12" s="13"/>
      <c r="BE12" s="13"/>
      <c r="BF12" s="13"/>
      <c r="BG12" s="13"/>
      <c r="BH12" s="13"/>
      <c r="BI12" s="13"/>
      <c r="BJ12" s="13"/>
      <c r="BK12" s="13"/>
      <c r="BL12" s="13"/>
      <c r="BM12" s="13"/>
      <c r="BN12" s="13"/>
    </row>
    <row r="13" spans="1:66" x14ac:dyDescent="0.25">
      <c r="A13" s="22">
        <v>11</v>
      </c>
      <c r="B13" s="23">
        <v>1513.8227442223672</v>
      </c>
      <c r="C13" s="24">
        <v>762.81028901131833</v>
      </c>
      <c r="I13" s="31"/>
      <c r="J13" s="31"/>
      <c r="K13" s="31"/>
      <c r="L13" s="31"/>
      <c r="M13" s="31"/>
      <c r="N13" s="31"/>
      <c r="AH13" s="16">
        <v>775</v>
      </c>
      <c r="AI13" s="16"/>
      <c r="AJ13" s="16"/>
      <c r="AK13" s="16">
        <v>625</v>
      </c>
      <c r="AL13" s="16">
        <v>0</v>
      </c>
      <c r="AM13" s="16">
        <v>87</v>
      </c>
      <c r="AN13" s="16"/>
      <c r="BC13" s="13"/>
      <c r="BD13" s="13"/>
      <c r="BE13" s="13"/>
      <c r="BF13" s="13"/>
      <c r="BG13" s="13"/>
      <c r="BH13" s="13"/>
      <c r="BI13" s="13"/>
      <c r="BJ13" s="13"/>
      <c r="BK13" s="13"/>
      <c r="BL13" s="13"/>
      <c r="BM13" s="13"/>
      <c r="BN13" s="13"/>
    </row>
    <row r="14" spans="1:66" x14ac:dyDescent="0.25">
      <c r="A14" s="22">
        <v>12</v>
      </c>
      <c r="B14" s="23">
        <v>1114.0600896424803</v>
      </c>
      <c r="C14" s="24">
        <v>774.97376158354791</v>
      </c>
      <c r="E14" s="52"/>
      <c r="I14" s="31"/>
      <c r="J14" s="31"/>
      <c r="K14" s="31"/>
      <c r="L14" s="31"/>
      <c r="M14" s="31"/>
      <c r="N14" s="31"/>
      <c r="AH14" s="16">
        <v>800</v>
      </c>
      <c r="AI14" s="16"/>
      <c r="AJ14" s="16"/>
      <c r="AK14" s="16">
        <v>650</v>
      </c>
      <c r="AL14" s="16">
        <v>0</v>
      </c>
      <c r="AM14" s="16">
        <v>87</v>
      </c>
      <c r="AN14" s="16"/>
      <c r="BC14" s="13"/>
      <c r="BD14" s="13"/>
      <c r="BE14" s="13"/>
      <c r="BF14" s="13"/>
      <c r="BG14" s="13"/>
      <c r="BH14" s="13"/>
      <c r="BI14" s="13"/>
      <c r="BJ14" s="13"/>
      <c r="BK14" s="13"/>
      <c r="BL14" s="13"/>
      <c r="BM14" s="13"/>
      <c r="BN14" s="13"/>
    </row>
    <row r="15" spans="1:66" x14ac:dyDescent="0.25">
      <c r="A15" s="22">
        <v>13</v>
      </c>
      <c r="B15" s="23">
        <v>1331.0671304152354</v>
      </c>
      <c r="C15" s="24">
        <v>742.57886510590788</v>
      </c>
      <c r="E15" s="52"/>
      <c r="I15" s="31"/>
      <c r="J15" s="31"/>
      <c r="K15" s="31"/>
      <c r="L15" s="31"/>
      <c r="M15" s="31"/>
      <c r="N15" s="31"/>
      <c r="AH15" s="16">
        <v>825</v>
      </c>
      <c r="AI15" s="16"/>
      <c r="AJ15" s="16"/>
      <c r="AK15" s="16">
        <v>650</v>
      </c>
      <c r="AL15" s="16">
        <v>0</v>
      </c>
      <c r="AM15" s="16">
        <v>178</v>
      </c>
      <c r="AN15" s="16"/>
      <c r="BC15" s="13"/>
      <c r="BD15" s="13"/>
      <c r="BE15" s="13"/>
      <c r="BF15" s="13"/>
      <c r="BG15" s="13"/>
      <c r="BH15" s="13"/>
      <c r="BI15" s="13"/>
      <c r="BJ15" s="13"/>
      <c r="BK15" s="13"/>
      <c r="BL15" s="13"/>
      <c r="BM15" s="13"/>
      <c r="BN15" s="13"/>
    </row>
    <row r="16" spans="1:66" x14ac:dyDescent="0.25">
      <c r="A16" s="22">
        <v>14</v>
      </c>
      <c r="B16" s="23">
        <v>1308.6691159853985</v>
      </c>
      <c r="C16" s="24">
        <v>762.07735375272819</v>
      </c>
      <c r="E16" s="52"/>
      <c r="I16" s="31"/>
      <c r="J16" s="31"/>
      <c r="K16" s="31"/>
      <c r="L16" s="31"/>
      <c r="M16" s="31"/>
      <c r="N16" s="31"/>
      <c r="AH16" s="16">
        <v>850</v>
      </c>
      <c r="AI16" s="16"/>
      <c r="AJ16" s="16"/>
      <c r="AK16" s="16">
        <v>675</v>
      </c>
      <c r="AL16" s="16">
        <v>0</v>
      </c>
      <c r="AM16" s="16">
        <v>178</v>
      </c>
      <c r="AN16" s="16"/>
      <c r="BC16" s="13"/>
      <c r="BD16" s="13"/>
      <c r="BE16" s="13"/>
      <c r="BF16" s="13"/>
      <c r="BG16" s="13"/>
      <c r="BH16" s="13"/>
      <c r="BI16" s="13"/>
      <c r="BJ16" s="13"/>
      <c r="BK16" s="13"/>
      <c r="BL16" s="13"/>
      <c r="BM16" s="13"/>
      <c r="BN16" s="13"/>
    </row>
    <row r="17" spans="1:66" x14ac:dyDescent="0.25">
      <c r="A17" s="22">
        <v>15</v>
      </c>
      <c r="B17" s="23">
        <v>1143.572991608886</v>
      </c>
      <c r="C17" s="24">
        <v>933.84925279895072</v>
      </c>
      <c r="I17" s="31"/>
      <c r="J17" s="31"/>
      <c r="K17" s="31"/>
      <c r="L17" s="31"/>
      <c r="M17" s="31"/>
      <c r="N17" s="31"/>
      <c r="AH17" s="16">
        <v>875</v>
      </c>
      <c r="AI17" s="16"/>
      <c r="AJ17" s="16"/>
      <c r="AK17" s="16">
        <v>675</v>
      </c>
      <c r="AL17" s="16">
        <v>0</v>
      </c>
      <c r="AM17" s="16">
        <v>274</v>
      </c>
      <c r="AN17" s="16"/>
      <c r="BC17" s="13"/>
      <c r="BD17" s="13"/>
      <c r="BE17" s="13"/>
      <c r="BF17" s="13"/>
      <c r="BG17" s="13"/>
      <c r="BH17" s="13"/>
      <c r="BI17" s="13"/>
      <c r="BJ17" s="13"/>
      <c r="BK17" s="13"/>
      <c r="BL17" s="13"/>
      <c r="BM17" s="13"/>
      <c r="BN17" s="13"/>
    </row>
    <row r="18" spans="1:66" x14ac:dyDescent="0.25">
      <c r="A18" s="22">
        <v>16</v>
      </c>
      <c r="B18" s="23">
        <v>1117.6069408766982</v>
      </c>
      <c r="C18" s="24">
        <v>818.17268203367621</v>
      </c>
      <c r="I18" s="31"/>
      <c r="J18" s="31"/>
      <c r="K18" s="31"/>
      <c r="L18" s="31"/>
      <c r="M18" s="31"/>
      <c r="N18" s="31"/>
      <c r="AH18" s="16">
        <v>900</v>
      </c>
      <c r="AI18" s="16"/>
      <c r="AJ18" s="16"/>
      <c r="AK18" s="16">
        <v>700</v>
      </c>
      <c r="AL18" s="16">
        <v>0</v>
      </c>
      <c r="AM18" s="16">
        <v>274</v>
      </c>
      <c r="AN18" s="16"/>
      <c r="BC18" s="13"/>
      <c r="BD18" s="13"/>
      <c r="BE18" s="13"/>
      <c r="BF18" s="13"/>
      <c r="BG18" s="13"/>
      <c r="BH18" s="13"/>
      <c r="BI18" s="13"/>
      <c r="BJ18" s="13"/>
      <c r="BK18" s="13"/>
      <c r="BL18" s="13"/>
      <c r="BM18" s="13"/>
      <c r="BN18" s="13"/>
    </row>
    <row r="19" spans="1:66" x14ac:dyDescent="0.25">
      <c r="A19" s="22">
        <v>17</v>
      </c>
      <c r="B19" s="23">
        <v>1586.6538915355902</v>
      </c>
      <c r="C19" s="24">
        <v>909.6873299912329</v>
      </c>
      <c r="F19" s="53">
        <v>1</v>
      </c>
      <c r="I19" s="31"/>
      <c r="J19" s="31"/>
      <c r="K19" s="31"/>
      <c r="L19" s="31"/>
      <c r="M19" s="31"/>
      <c r="N19" s="31"/>
      <c r="AH19" s="16">
        <v>925</v>
      </c>
      <c r="AI19" s="16"/>
      <c r="AJ19" s="16"/>
      <c r="AK19" s="16">
        <v>700</v>
      </c>
      <c r="AL19" s="16">
        <v>0</v>
      </c>
      <c r="AM19" s="16">
        <v>404</v>
      </c>
      <c r="AN19" s="16"/>
      <c r="BC19" s="13"/>
      <c r="BD19" s="13"/>
      <c r="BE19" s="13"/>
      <c r="BF19" s="13"/>
      <c r="BG19" s="13"/>
      <c r="BH19" s="13"/>
      <c r="BI19" s="13"/>
      <c r="BJ19" s="13"/>
      <c r="BK19" s="13"/>
      <c r="BL19" s="13"/>
      <c r="BM19" s="13"/>
      <c r="BN19" s="13"/>
    </row>
    <row r="20" spans="1:66" x14ac:dyDescent="0.25">
      <c r="A20" s="22">
        <v>18</v>
      </c>
      <c r="B20" s="23">
        <v>1407.5985614118747</v>
      </c>
      <c r="C20" s="24">
        <v>698.43980580471361</v>
      </c>
      <c r="I20" s="31"/>
      <c r="J20" s="31"/>
      <c r="K20" s="31"/>
      <c r="L20" s="31"/>
      <c r="M20" s="31"/>
      <c r="N20" s="31"/>
      <c r="AH20" s="16">
        <v>950</v>
      </c>
      <c r="AI20" s="16"/>
      <c r="AJ20" s="16"/>
      <c r="AK20" s="16">
        <v>725</v>
      </c>
      <c r="AL20" s="16">
        <v>0</v>
      </c>
      <c r="AM20" s="16">
        <v>404</v>
      </c>
      <c r="AN20" s="16"/>
      <c r="BC20" s="13"/>
      <c r="BD20" s="13"/>
      <c r="BE20" s="13"/>
      <c r="BF20" s="13"/>
      <c r="BG20" s="13"/>
      <c r="BH20" s="13"/>
      <c r="BI20" s="13"/>
      <c r="BJ20" s="13"/>
      <c r="BK20" s="13"/>
      <c r="BL20" s="13"/>
      <c r="BM20" s="13"/>
      <c r="BN20" s="13"/>
    </row>
    <row r="21" spans="1:66" x14ac:dyDescent="0.25">
      <c r="A21" s="22">
        <v>19</v>
      </c>
      <c r="B21" s="23">
        <v>1428.9440163899217</v>
      </c>
      <c r="C21" s="24">
        <v>826.28988659751917</v>
      </c>
      <c r="I21" s="31"/>
      <c r="J21" s="31"/>
      <c r="K21" s="31"/>
      <c r="L21" s="31"/>
      <c r="M21" s="31"/>
      <c r="N21" s="31"/>
      <c r="AH21" s="16">
        <v>975</v>
      </c>
      <c r="AI21" s="16"/>
      <c r="AJ21" s="16"/>
      <c r="AK21" s="16">
        <v>725</v>
      </c>
      <c r="AL21" s="16">
        <v>0</v>
      </c>
      <c r="AM21" s="16">
        <v>510</v>
      </c>
      <c r="AN21" s="16"/>
      <c r="BC21" s="13"/>
      <c r="BD21" s="13"/>
      <c r="BE21" s="13"/>
      <c r="BF21" s="13"/>
      <c r="BG21" s="13"/>
      <c r="BH21" s="13"/>
      <c r="BI21" s="13"/>
      <c r="BJ21" s="13"/>
      <c r="BK21" s="13"/>
      <c r="BL21" s="13"/>
      <c r="BM21" s="13"/>
      <c r="BN21" s="13"/>
    </row>
    <row r="22" spans="1:66" x14ac:dyDescent="0.25">
      <c r="A22" s="22">
        <v>20</v>
      </c>
      <c r="B22" s="23">
        <v>1197.8246302160228</v>
      </c>
      <c r="C22" s="24">
        <v>742.23181262890171</v>
      </c>
      <c r="I22" s="31"/>
      <c r="J22" s="31"/>
      <c r="K22" s="31"/>
      <c r="L22" s="31"/>
      <c r="M22" s="31"/>
      <c r="N22" s="31"/>
      <c r="AH22" s="16">
        <v>1000</v>
      </c>
      <c r="AI22" s="16"/>
      <c r="AJ22" s="16"/>
      <c r="AK22" s="16">
        <v>750</v>
      </c>
      <c r="AL22" s="16">
        <v>0</v>
      </c>
      <c r="AM22" s="16">
        <v>510</v>
      </c>
      <c r="AN22" s="16"/>
      <c r="BC22" s="13"/>
      <c r="BD22" s="13"/>
      <c r="BE22" s="13"/>
      <c r="BF22" s="13"/>
      <c r="BG22" s="13"/>
      <c r="BH22" s="13"/>
      <c r="BI22" s="13"/>
      <c r="BJ22" s="13"/>
      <c r="BK22" s="13"/>
      <c r="BL22" s="13"/>
      <c r="BM22" s="13"/>
      <c r="BN22" s="13"/>
    </row>
    <row r="23" spans="1:66" x14ac:dyDescent="0.25">
      <c r="A23" s="22">
        <v>21</v>
      </c>
      <c r="B23" s="23">
        <v>1446.1447141388285</v>
      </c>
      <c r="C23" s="24">
        <v>794.17008298516498</v>
      </c>
      <c r="AH23" s="16">
        <v>1025</v>
      </c>
      <c r="AI23" s="16"/>
      <c r="AJ23" s="16"/>
      <c r="AK23" s="16">
        <v>750</v>
      </c>
      <c r="AL23" s="16">
        <v>3</v>
      </c>
      <c r="AM23" s="16">
        <v>675</v>
      </c>
      <c r="AN23" s="16"/>
      <c r="BC23" s="13"/>
      <c r="BD23" s="13"/>
      <c r="BE23" s="13"/>
      <c r="BF23" s="13"/>
      <c r="BG23" s="13"/>
      <c r="BH23" s="13"/>
      <c r="BI23" s="13"/>
      <c r="BJ23" s="13"/>
      <c r="BK23" s="13"/>
      <c r="BL23" s="13"/>
      <c r="BM23" s="13"/>
      <c r="BN23" s="13"/>
    </row>
    <row r="24" spans="1:66" x14ac:dyDescent="0.25">
      <c r="A24" s="22">
        <v>22</v>
      </c>
      <c r="B24" s="23">
        <v>1265.5216768434855</v>
      </c>
      <c r="C24" s="24">
        <v>894.76183809333361</v>
      </c>
      <c r="I24" s="54"/>
      <c r="AH24" s="16">
        <v>1050</v>
      </c>
      <c r="AI24" s="16"/>
      <c r="AJ24" s="16"/>
      <c r="AK24" s="16">
        <v>775</v>
      </c>
      <c r="AL24" s="16">
        <v>3</v>
      </c>
      <c r="AM24" s="16">
        <v>675</v>
      </c>
      <c r="AN24" s="16"/>
      <c r="BC24" s="13"/>
      <c r="BD24" s="13"/>
      <c r="BE24" s="13"/>
      <c r="BF24" s="13"/>
      <c r="BG24" s="13"/>
      <c r="BH24" s="13"/>
      <c r="BI24" s="13"/>
      <c r="BJ24" s="13"/>
      <c r="BK24" s="13"/>
      <c r="BL24" s="13"/>
      <c r="BM24" s="13"/>
      <c r="BN24" s="13"/>
    </row>
    <row r="25" spans="1:66" x14ac:dyDescent="0.25">
      <c r="A25" s="22">
        <v>23</v>
      </c>
      <c r="B25" s="23">
        <v>1202.3795227043424</v>
      </c>
      <c r="C25" s="24">
        <v>994.50600868023218</v>
      </c>
      <c r="AH25" s="16">
        <v>1075</v>
      </c>
      <c r="AI25" s="16"/>
      <c r="AJ25" s="16"/>
      <c r="AK25" s="16">
        <v>775</v>
      </c>
      <c r="AL25" s="16">
        <v>4</v>
      </c>
      <c r="AM25" s="16">
        <v>773</v>
      </c>
      <c r="AN25" s="16"/>
      <c r="BC25" s="13"/>
      <c r="BD25" s="13"/>
      <c r="BE25" s="13"/>
      <c r="BF25" s="13"/>
      <c r="BG25" s="13"/>
      <c r="BH25" s="13"/>
      <c r="BI25" s="13"/>
      <c r="BJ25" s="13"/>
      <c r="BK25" s="13"/>
      <c r="BL25" s="13"/>
      <c r="BM25" s="13"/>
      <c r="BN25" s="13"/>
    </row>
    <row r="26" spans="1:66" x14ac:dyDescent="0.25">
      <c r="A26" s="22">
        <v>24</v>
      </c>
      <c r="B26" s="23">
        <v>1299.7781764602037</v>
      </c>
      <c r="C26" s="24">
        <v>949.23758529193913</v>
      </c>
      <c r="AH26" s="16">
        <v>1100</v>
      </c>
      <c r="AI26" s="16"/>
      <c r="AJ26" s="16"/>
      <c r="AK26" s="16">
        <v>800</v>
      </c>
      <c r="AL26" s="16">
        <v>4</v>
      </c>
      <c r="AM26" s="16">
        <v>773</v>
      </c>
      <c r="AN26" s="16"/>
      <c r="BC26" s="13"/>
      <c r="BD26" s="13"/>
      <c r="BE26" s="13"/>
      <c r="BF26" s="13"/>
      <c r="BG26" s="13"/>
      <c r="BH26" s="13"/>
      <c r="BI26" s="13"/>
      <c r="BJ26" s="13"/>
      <c r="BK26" s="13"/>
      <c r="BL26" s="13"/>
      <c r="BM26" s="13"/>
      <c r="BN26" s="13"/>
    </row>
    <row r="27" spans="1:66" x14ac:dyDescent="0.25">
      <c r="A27" s="22">
        <v>25</v>
      </c>
      <c r="B27" s="23">
        <v>1668.2339495905505</v>
      </c>
      <c r="C27" s="24">
        <v>901.48834846992986</v>
      </c>
      <c r="AH27" s="16">
        <v>1125</v>
      </c>
      <c r="AI27" s="16"/>
      <c r="AJ27" s="16"/>
      <c r="AK27" s="16">
        <v>800</v>
      </c>
      <c r="AL27" s="16">
        <v>4</v>
      </c>
      <c r="AM27" s="16">
        <v>819</v>
      </c>
      <c r="AN27" s="16"/>
      <c r="BC27" s="13"/>
      <c r="BD27" s="13"/>
      <c r="BE27" s="13"/>
      <c r="BF27" s="13"/>
      <c r="BG27" s="13"/>
      <c r="BH27" s="13"/>
      <c r="BI27" s="13"/>
      <c r="BJ27" s="13"/>
      <c r="BK27" s="13"/>
      <c r="BL27" s="13"/>
      <c r="BM27" s="13"/>
      <c r="BN27" s="13"/>
    </row>
    <row r="28" spans="1:66" x14ac:dyDescent="0.25">
      <c r="A28" s="22">
        <v>26</v>
      </c>
      <c r="B28" s="23">
        <v>1622.5881823344887</v>
      </c>
      <c r="C28" s="24">
        <v>880.7024410853096</v>
      </c>
      <c r="AH28" s="16">
        <v>1150</v>
      </c>
      <c r="AI28" s="16"/>
      <c r="AJ28" s="16"/>
      <c r="AK28" s="16">
        <v>825</v>
      </c>
      <c r="AL28" s="16">
        <v>4</v>
      </c>
      <c r="AM28" s="16">
        <v>819</v>
      </c>
      <c r="AN28" s="16"/>
      <c r="BC28" s="13"/>
      <c r="BD28" s="13"/>
      <c r="BE28" s="13"/>
      <c r="BF28" s="13"/>
      <c r="BG28" s="13"/>
      <c r="BH28" s="13"/>
      <c r="BI28" s="13"/>
      <c r="BJ28" s="13"/>
      <c r="BK28" s="13"/>
      <c r="BL28" s="13"/>
      <c r="BM28" s="13"/>
      <c r="BN28" s="13"/>
    </row>
    <row r="29" spans="1:66" x14ac:dyDescent="0.25">
      <c r="A29" s="22">
        <v>27</v>
      </c>
      <c r="B29" s="23">
        <v>1381.5797608847583</v>
      </c>
      <c r="C29" s="24">
        <v>817.37046327483699</v>
      </c>
      <c r="AH29" s="16">
        <v>1175</v>
      </c>
      <c r="AI29" s="16"/>
      <c r="AJ29" s="16"/>
      <c r="AK29" s="16">
        <v>825</v>
      </c>
      <c r="AL29" s="16">
        <v>10</v>
      </c>
      <c r="AM29" s="16">
        <v>879</v>
      </c>
      <c r="AN29" s="16"/>
      <c r="BC29" s="13"/>
      <c r="BD29" s="13"/>
      <c r="BE29" s="13"/>
      <c r="BF29" s="13"/>
      <c r="BG29" s="13"/>
      <c r="BH29" s="13"/>
      <c r="BI29" s="13"/>
      <c r="BJ29" s="13"/>
      <c r="BK29" s="13"/>
      <c r="BL29" s="13"/>
      <c r="BM29" s="13"/>
      <c r="BN29" s="13"/>
    </row>
    <row r="30" spans="1:66" x14ac:dyDescent="0.25">
      <c r="A30" s="22">
        <v>28</v>
      </c>
      <c r="B30" s="23">
        <v>1504.7115720982415</v>
      </c>
      <c r="C30" s="24">
        <v>938.84431407695627</v>
      </c>
      <c r="AH30" s="16">
        <v>1200</v>
      </c>
      <c r="AI30" s="16"/>
      <c r="AJ30" s="16"/>
      <c r="AK30" s="16">
        <v>850</v>
      </c>
      <c r="AL30" s="16">
        <v>10</v>
      </c>
      <c r="AM30" s="16">
        <v>879</v>
      </c>
      <c r="AN30" s="16"/>
      <c r="BC30" s="13"/>
      <c r="BD30" s="13"/>
      <c r="BE30" s="13"/>
      <c r="BF30" s="13"/>
      <c r="BG30" s="13"/>
      <c r="BH30" s="13"/>
      <c r="BI30" s="13"/>
      <c r="BJ30" s="13"/>
      <c r="BK30" s="13"/>
      <c r="BL30" s="13"/>
      <c r="BM30" s="13"/>
      <c r="BN30" s="13"/>
    </row>
    <row r="31" spans="1:66" x14ac:dyDescent="0.25">
      <c r="A31" s="22">
        <v>29</v>
      </c>
      <c r="B31" s="23">
        <v>1328.899329091051</v>
      </c>
      <c r="C31" s="24">
        <v>751.19651909602021</v>
      </c>
      <c r="AH31" s="16">
        <v>1225</v>
      </c>
      <c r="AI31" s="16"/>
      <c r="AJ31" s="16"/>
      <c r="AK31" s="16">
        <v>850</v>
      </c>
      <c r="AL31" s="16">
        <v>21</v>
      </c>
      <c r="AM31" s="16">
        <v>905</v>
      </c>
      <c r="AN31" s="16"/>
      <c r="BC31" s="13"/>
      <c r="BD31" s="13"/>
      <c r="BE31" s="13"/>
      <c r="BF31" s="13"/>
      <c r="BG31" s="13"/>
      <c r="BH31" s="13"/>
      <c r="BI31" s="13"/>
      <c r="BJ31" s="13"/>
      <c r="BK31" s="13"/>
      <c r="BL31" s="13"/>
      <c r="BM31" s="13"/>
      <c r="BN31" s="13"/>
    </row>
    <row r="32" spans="1:66" x14ac:dyDescent="0.25">
      <c r="A32" s="22">
        <v>30</v>
      </c>
      <c r="B32" s="23">
        <v>1296.7103008713398</v>
      </c>
      <c r="C32" s="24">
        <v>906.01604188704084</v>
      </c>
      <c r="AH32" s="16">
        <v>1250</v>
      </c>
      <c r="AI32" s="16"/>
      <c r="AJ32" s="16"/>
      <c r="AK32" s="16">
        <v>875</v>
      </c>
      <c r="AL32" s="16">
        <v>21</v>
      </c>
      <c r="AM32" s="16">
        <v>905</v>
      </c>
      <c r="AN32" s="16"/>
      <c r="BC32" s="13"/>
      <c r="BD32" s="13"/>
      <c r="BE32" s="13"/>
      <c r="BF32" s="13"/>
      <c r="BG32" s="13"/>
      <c r="BH32" s="13"/>
      <c r="BI32" s="13"/>
      <c r="BJ32" s="13"/>
      <c r="BK32" s="13"/>
      <c r="BL32" s="13"/>
      <c r="BM32" s="13"/>
      <c r="BN32" s="13"/>
    </row>
    <row r="33" spans="1:66" x14ac:dyDescent="0.25">
      <c r="A33" s="22">
        <v>31</v>
      </c>
      <c r="B33" s="23">
        <v>1223.8187345135827</v>
      </c>
      <c r="C33" s="24">
        <v>888.19225771494496</v>
      </c>
      <c r="AH33" s="16">
        <v>1275</v>
      </c>
      <c r="AI33" s="16"/>
      <c r="AJ33" s="16"/>
      <c r="AK33" s="16">
        <v>875</v>
      </c>
      <c r="AL33" s="16">
        <v>28</v>
      </c>
      <c r="AM33" s="16">
        <v>870</v>
      </c>
      <c r="AN33" s="16"/>
      <c r="BC33" s="13"/>
      <c r="BD33" s="13"/>
      <c r="BE33" s="13"/>
      <c r="BF33" s="13"/>
      <c r="BG33" s="13"/>
      <c r="BH33" s="13"/>
      <c r="BI33" s="13"/>
      <c r="BJ33" s="13"/>
      <c r="BK33" s="13"/>
      <c r="BL33" s="13"/>
      <c r="BM33" s="13"/>
      <c r="BN33" s="13"/>
    </row>
    <row r="34" spans="1:66" x14ac:dyDescent="0.25">
      <c r="A34" s="22">
        <v>32</v>
      </c>
      <c r="B34" s="23">
        <v>1337.0149524840056</v>
      </c>
      <c r="C34" s="24">
        <v>639.77114957630886</v>
      </c>
      <c r="AH34" s="16">
        <v>1300</v>
      </c>
      <c r="AI34" s="16"/>
      <c r="AJ34" s="16"/>
      <c r="AK34" s="16">
        <v>900</v>
      </c>
      <c r="AL34" s="16">
        <v>28</v>
      </c>
      <c r="AM34" s="16">
        <v>870</v>
      </c>
      <c r="AN34" s="16"/>
      <c r="BC34" s="13"/>
      <c r="BD34" s="13"/>
      <c r="BE34" s="13"/>
      <c r="BF34" s="13"/>
      <c r="BG34" s="13"/>
      <c r="BH34" s="13"/>
      <c r="BI34" s="13"/>
      <c r="BJ34" s="13"/>
      <c r="BK34" s="13"/>
      <c r="BL34" s="13"/>
      <c r="BM34" s="13"/>
      <c r="BN34" s="13"/>
    </row>
    <row r="35" spans="1:66" x14ac:dyDescent="0.25">
      <c r="A35" s="22">
        <v>33</v>
      </c>
      <c r="B35" s="23">
        <v>1214.3630331398815</v>
      </c>
      <c r="C35" s="24">
        <v>796.26043273156449</v>
      </c>
      <c r="AH35" s="16">
        <v>1325</v>
      </c>
      <c r="AI35" s="16"/>
      <c r="AJ35" s="16"/>
      <c r="AK35" s="16">
        <v>900</v>
      </c>
      <c r="AL35" s="16">
        <v>31</v>
      </c>
      <c r="AM35" s="16">
        <v>773</v>
      </c>
      <c r="AN35" s="16"/>
      <c r="BC35" s="13"/>
      <c r="BD35" s="13"/>
      <c r="BE35" s="13"/>
      <c r="BF35" s="13"/>
      <c r="BG35" s="13"/>
      <c r="BH35" s="13"/>
      <c r="BI35" s="13"/>
      <c r="BJ35" s="13"/>
      <c r="BK35" s="13"/>
      <c r="BL35" s="13"/>
      <c r="BM35" s="13"/>
      <c r="BN35" s="13"/>
    </row>
    <row r="36" spans="1:66" x14ac:dyDescent="0.25">
      <c r="A36" s="22">
        <v>34</v>
      </c>
      <c r="B36" s="23">
        <v>1404.0493912869197</v>
      </c>
      <c r="C36" s="24">
        <v>867.31412413019711</v>
      </c>
      <c r="AH36" s="16">
        <v>1350</v>
      </c>
      <c r="AI36" s="16"/>
      <c r="AJ36" s="16"/>
      <c r="AK36" s="16">
        <v>925</v>
      </c>
      <c r="AL36" s="16">
        <v>31</v>
      </c>
      <c r="AM36" s="16">
        <v>773</v>
      </c>
      <c r="AN36" s="16"/>
      <c r="BC36" s="13"/>
      <c r="BD36" s="13"/>
      <c r="BE36" s="13"/>
      <c r="BF36" s="13"/>
      <c r="BG36" s="13"/>
      <c r="BH36" s="13"/>
      <c r="BI36" s="13"/>
      <c r="BJ36" s="13"/>
      <c r="BK36" s="13"/>
      <c r="BL36" s="13"/>
      <c r="BM36" s="13"/>
      <c r="BN36" s="13"/>
    </row>
    <row r="37" spans="1:66" x14ac:dyDescent="0.25">
      <c r="A37" s="22">
        <v>35</v>
      </c>
      <c r="B37" s="23">
        <v>1608.1784637193261</v>
      </c>
      <c r="C37" s="24">
        <v>780.08004886095978</v>
      </c>
      <c r="AH37" s="16">
        <v>1375</v>
      </c>
      <c r="AI37" s="16"/>
      <c r="AJ37" s="16"/>
      <c r="AK37" s="16">
        <v>925</v>
      </c>
      <c r="AL37" s="16">
        <v>43</v>
      </c>
      <c r="AM37" s="16">
        <v>662</v>
      </c>
      <c r="AN37" s="16"/>
      <c r="BC37" s="13"/>
      <c r="BD37" s="13"/>
      <c r="BE37" s="13"/>
      <c r="BF37" s="13"/>
      <c r="BG37" s="13"/>
      <c r="BH37" s="13"/>
      <c r="BI37" s="13"/>
      <c r="BJ37" s="13"/>
      <c r="BK37" s="13"/>
      <c r="BL37" s="13"/>
      <c r="BM37" s="13"/>
      <c r="BN37" s="13"/>
    </row>
    <row r="38" spans="1:66" x14ac:dyDescent="0.25">
      <c r="A38" s="22">
        <v>36</v>
      </c>
      <c r="B38" s="23">
        <v>1741.7704429282237</v>
      </c>
      <c r="C38" s="24">
        <v>964.28439864206484</v>
      </c>
      <c r="AH38" s="16">
        <v>1400</v>
      </c>
      <c r="AI38" s="16"/>
      <c r="AJ38" s="16"/>
      <c r="AK38" s="16">
        <v>950</v>
      </c>
      <c r="AL38" s="16">
        <v>43</v>
      </c>
      <c r="AM38" s="16">
        <v>662</v>
      </c>
      <c r="AN38" s="16"/>
      <c r="BC38" s="13"/>
      <c r="BD38" s="13"/>
      <c r="BE38" s="13"/>
      <c r="BF38" s="13"/>
      <c r="BG38" s="13"/>
      <c r="BH38" s="13"/>
      <c r="BI38" s="13"/>
      <c r="BJ38" s="13"/>
      <c r="BK38" s="13"/>
      <c r="BL38" s="13"/>
      <c r="BM38" s="13"/>
      <c r="BN38" s="13"/>
    </row>
    <row r="39" spans="1:66" x14ac:dyDescent="0.25">
      <c r="A39" s="22">
        <v>37</v>
      </c>
      <c r="B39" s="23">
        <v>1532.7218292998159</v>
      </c>
      <c r="C39" s="24">
        <v>1123.165229567516</v>
      </c>
      <c r="AH39" s="16">
        <v>1425</v>
      </c>
      <c r="AI39" s="16"/>
      <c r="AJ39" s="16"/>
      <c r="AK39" s="16">
        <v>950</v>
      </c>
      <c r="AL39" s="16">
        <v>67</v>
      </c>
      <c r="AM39" s="16">
        <v>524</v>
      </c>
      <c r="AN39" s="16"/>
      <c r="BC39" s="13"/>
      <c r="BD39" s="13"/>
      <c r="BE39" s="13"/>
      <c r="BF39" s="13"/>
      <c r="BG39" s="13"/>
      <c r="BH39" s="13"/>
      <c r="BI39" s="13"/>
      <c r="BJ39" s="13"/>
      <c r="BK39" s="13"/>
      <c r="BL39" s="13"/>
      <c r="BM39" s="13"/>
      <c r="BN39" s="13"/>
    </row>
    <row r="40" spans="1:66" x14ac:dyDescent="0.25">
      <c r="A40" s="22">
        <v>38</v>
      </c>
      <c r="B40" s="23">
        <v>1202.0323167614447</v>
      </c>
      <c r="C40" s="24">
        <v>820.78034779471943</v>
      </c>
      <c r="AH40" s="16">
        <v>1450</v>
      </c>
      <c r="AI40" s="16"/>
      <c r="AJ40" s="16"/>
      <c r="AK40" s="16">
        <v>975</v>
      </c>
      <c r="AL40" s="16">
        <v>67</v>
      </c>
      <c r="AM40" s="16">
        <v>524</v>
      </c>
      <c r="AN40" s="16"/>
      <c r="BC40" s="13"/>
      <c r="BD40" s="13"/>
      <c r="BE40" s="13"/>
      <c r="BF40" s="13"/>
      <c r="BG40" s="13"/>
      <c r="BH40" s="13"/>
      <c r="BI40" s="13"/>
      <c r="BJ40" s="13"/>
      <c r="BK40" s="13"/>
      <c r="BL40" s="13"/>
      <c r="BM40" s="13"/>
      <c r="BN40" s="13"/>
    </row>
    <row r="41" spans="1:66" x14ac:dyDescent="0.25">
      <c r="A41" s="22">
        <v>39</v>
      </c>
      <c r="B41" s="23">
        <v>1412.0758774952533</v>
      </c>
      <c r="C41" s="24">
        <v>834.43530176066474</v>
      </c>
      <c r="AH41" s="16">
        <v>1475</v>
      </c>
      <c r="AI41" s="16"/>
      <c r="AJ41" s="16"/>
      <c r="AK41" s="16">
        <v>975</v>
      </c>
      <c r="AL41" s="16">
        <v>85</v>
      </c>
      <c r="AM41" s="16">
        <v>432</v>
      </c>
      <c r="AN41" s="16"/>
      <c r="BC41" s="13"/>
      <c r="BD41" s="13"/>
      <c r="BE41" s="13"/>
      <c r="BF41" s="13"/>
      <c r="BG41" s="13"/>
      <c r="BH41" s="13"/>
      <c r="BI41" s="13"/>
      <c r="BJ41" s="13"/>
      <c r="BK41" s="13"/>
      <c r="BL41" s="13"/>
      <c r="BM41" s="13"/>
      <c r="BN41" s="13"/>
    </row>
    <row r="42" spans="1:66" x14ac:dyDescent="0.25">
      <c r="A42" s="22">
        <v>40</v>
      </c>
      <c r="B42" s="23">
        <v>1388.9387594024183</v>
      </c>
      <c r="C42" s="24">
        <v>869.39985395078418</v>
      </c>
      <c r="AH42" s="16">
        <v>1500</v>
      </c>
      <c r="AI42" s="16"/>
      <c r="AJ42" s="16"/>
      <c r="AK42" s="16">
        <v>1000</v>
      </c>
      <c r="AL42" s="16">
        <v>85</v>
      </c>
      <c r="AM42" s="16">
        <v>432</v>
      </c>
      <c r="AN42" s="16"/>
      <c r="BC42" s="13"/>
      <c r="BD42" s="13"/>
      <c r="BE42" s="13"/>
      <c r="BF42" s="13"/>
      <c r="BG42" s="13"/>
      <c r="BH42" s="13"/>
      <c r="BI42" s="13"/>
      <c r="BJ42" s="13"/>
      <c r="BK42" s="13"/>
      <c r="BL42" s="13"/>
      <c r="BM42" s="13"/>
      <c r="BN42" s="13"/>
    </row>
    <row r="43" spans="1:66" x14ac:dyDescent="0.25">
      <c r="A43" s="22">
        <v>41</v>
      </c>
      <c r="B43" s="23">
        <v>1398.5461312305486</v>
      </c>
      <c r="C43" s="24">
        <v>827.46343016513947</v>
      </c>
      <c r="AH43" s="16">
        <v>1525</v>
      </c>
      <c r="AI43" s="16"/>
      <c r="AJ43" s="16"/>
      <c r="AK43" s="16">
        <v>1000</v>
      </c>
      <c r="AL43" s="16">
        <v>116</v>
      </c>
      <c r="AM43" s="16">
        <v>336</v>
      </c>
      <c r="AN43" s="16"/>
      <c r="BC43" s="13"/>
      <c r="BD43" s="13"/>
      <c r="BE43" s="13"/>
      <c r="BF43" s="13"/>
      <c r="BG43" s="13"/>
      <c r="BH43" s="13"/>
      <c r="BI43" s="13"/>
      <c r="BJ43" s="13"/>
      <c r="BK43" s="13"/>
      <c r="BL43" s="13"/>
      <c r="BM43" s="13"/>
      <c r="BN43" s="13"/>
    </row>
    <row r="44" spans="1:66" x14ac:dyDescent="0.25">
      <c r="A44" s="22">
        <v>42</v>
      </c>
      <c r="B44" s="23">
        <v>988.50063358975922</v>
      </c>
      <c r="C44" s="24">
        <v>633.9196877381961</v>
      </c>
      <c r="AH44" s="16">
        <v>1550</v>
      </c>
      <c r="AI44" s="16"/>
      <c r="AJ44" s="16"/>
      <c r="AK44" s="16">
        <v>1025</v>
      </c>
      <c r="AL44" s="16">
        <v>116</v>
      </c>
      <c r="AM44" s="16">
        <v>336</v>
      </c>
      <c r="AN44" s="16"/>
      <c r="BC44" s="13"/>
      <c r="BD44" s="13"/>
      <c r="BE44" s="13"/>
      <c r="BF44" s="13"/>
      <c r="BG44" s="13"/>
      <c r="BH44" s="13"/>
      <c r="BI44" s="13"/>
      <c r="BJ44" s="13"/>
      <c r="BK44" s="13"/>
      <c r="BL44" s="13"/>
      <c r="BM44" s="13"/>
      <c r="BN44" s="13"/>
    </row>
    <row r="45" spans="1:66" x14ac:dyDescent="0.25">
      <c r="A45" s="22">
        <v>43</v>
      </c>
      <c r="B45" s="23">
        <v>1643.0964530122258</v>
      </c>
      <c r="C45" s="24">
        <v>842.7103472266956</v>
      </c>
      <c r="AH45" s="16">
        <v>1575</v>
      </c>
      <c r="AI45" s="16"/>
      <c r="AJ45" s="16"/>
      <c r="AK45" s="16">
        <v>1025</v>
      </c>
      <c r="AL45" s="16">
        <v>158</v>
      </c>
      <c r="AM45" s="16">
        <v>240</v>
      </c>
      <c r="AN45" s="16"/>
      <c r="BC45" s="13"/>
      <c r="BD45" s="13"/>
      <c r="BE45" s="13"/>
      <c r="BF45" s="13"/>
      <c r="BG45" s="13"/>
      <c r="BH45" s="13"/>
      <c r="BI45" s="13"/>
      <c r="BJ45" s="13"/>
      <c r="BK45" s="13"/>
      <c r="BL45" s="13"/>
      <c r="BM45" s="13"/>
      <c r="BN45" s="13"/>
    </row>
    <row r="46" spans="1:66" x14ac:dyDescent="0.25">
      <c r="A46" s="22">
        <v>44</v>
      </c>
      <c r="B46" s="23">
        <v>1159.3094810187868</v>
      </c>
      <c r="C46" s="24">
        <v>803.64626997926416</v>
      </c>
      <c r="I46" s="54"/>
      <c r="AH46" s="16">
        <v>1600</v>
      </c>
      <c r="AI46" s="16"/>
      <c r="AJ46" s="16"/>
      <c r="AK46" s="16">
        <v>1050</v>
      </c>
      <c r="AL46" s="16">
        <v>158</v>
      </c>
      <c r="AM46" s="16">
        <v>240</v>
      </c>
      <c r="AN46" s="16"/>
      <c r="BC46" s="13"/>
      <c r="BD46" s="13"/>
      <c r="BE46" s="13"/>
      <c r="BF46" s="13"/>
      <c r="BG46" s="13"/>
      <c r="BH46" s="13"/>
      <c r="BI46" s="13"/>
      <c r="BJ46" s="13"/>
      <c r="BK46" s="13"/>
      <c r="BL46" s="13"/>
      <c r="BM46" s="13"/>
      <c r="BN46" s="13"/>
    </row>
    <row r="47" spans="1:66" x14ac:dyDescent="0.25">
      <c r="A47" s="22">
        <v>45</v>
      </c>
      <c r="B47" s="23">
        <v>1003.0630966715872</v>
      </c>
      <c r="C47" s="24">
        <v>936.27758312973458</v>
      </c>
      <c r="AH47" s="16">
        <v>1625</v>
      </c>
      <c r="AI47" s="16"/>
      <c r="AJ47" s="16"/>
      <c r="AK47" s="16">
        <v>1050</v>
      </c>
      <c r="AL47" s="16">
        <v>220</v>
      </c>
      <c r="AM47" s="16">
        <v>156</v>
      </c>
      <c r="AN47" s="16"/>
      <c r="BC47" s="13"/>
      <c r="BD47" s="13"/>
      <c r="BE47" s="13"/>
      <c r="BF47" s="13"/>
      <c r="BG47" s="13"/>
      <c r="BH47" s="13"/>
      <c r="BI47" s="13"/>
      <c r="BJ47" s="13"/>
      <c r="BK47" s="13"/>
      <c r="BL47" s="13"/>
      <c r="BM47" s="13"/>
      <c r="BN47" s="13"/>
    </row>
    <row r="48" spans="1:66" x14ac:dyDescent="0.25">
      <c r="A48" s="22">
        <v>46</v>
      </c>
      <c r="B48" s="23">
        <v>1429.0332184397291</v>
      </c>
      <c r="C48" s="24">
        <v>1003.1371251431742</v>
      </c>
      <c r="AH48" s="16">
        <v>1650</v>
      </c>
      <c r="AI48" s="16"/>
      <c r="AJ48" s="16"/>
      <c r="AK48" s="16">
        <v>1075</v>
      </c>
      <c r="AL48" s="16">
        <v>220</v>
      </c>
      <c r="AM48" s="16">
        <v>156</v>
      </c>
      <c r="AN48" s="16"/>
      <c r="BC48" s="13"/>
      <c r="BD48" s="13"/>
      <c r="BE48" s="13"/>
      <c r="BF48" s="13"/>
      <c r="BG48" s="13"/>
      <c r="BH48" s="13"/>
      <c r="BI48" s="13"/>
      <c r="BJ48" s="13"/>
      <c r="BK48" s="13"/>
      <c r="BL48" s="13"/>
      <c r="BM48" s="13"/>
      <c r="BN48" s="13"/>
    </row>
    <row r="49" spans="1:66" x14ac:dyDescent="0.25">
      <c r="A49" s="22">
        <v>47</v>
      </c>
      <c r="B49" s="23">
        <v>1457.9443690278445</v>
      </c>
      <c r="C49" s="24">
        <v>878.2586322885179</v>
      </c>
      <c r="AH49" s="16">
        <v>1675</v>
      </c>
      <c r="AI49" s="16"/>
      <c r="AJ49" s="16"/>
      <c r="AK49" s="16">
        <v>1075</v>
      </c>
      <c r="AL49" s="16">
        <v>269</v>
      </c>
      <c r="AM49" s="16">
        <v>144</v>
      </c>
      <c r="AN49" s="16"/>
      <c r="BC49" s="13"/>
      <c r="BD49" s="13"/>
      <c r="BE49" s="13"/>
      <c r="BF49" s="13"/>
      <c r="BG49" s="13"/>
      <c r="BH49" s="13"/>
      <c r="BI49" s="13"/>
      <c r="BJ49" s="13"/>
      <c r="BK49" s="13"/>
      <c r="BL49" s="13"/>
      <c r="BM49" s="13"/>
      <c r="BN49" s="13"/>
    </row>
    <row r="50" spans="1:66" x14ac:dyDescent="0.25">
      <c r="A50" s="22">
        <v>48</v>
      </c>
      <c r="B50" s="23">
        <v>1284.4780799720031</v>
      </c>
      <c r="C50" s="24">
        <v>929.11416191234389</v>
      </c>
      <c r="AH50" s="16">
        <v>1700</v>
      </c>
      <c r="AI50" s="16"/>
      <c r="AJ50" s="16"/>
      <c r="AK50" s="16">
        <v>1100</v>
      </c>
      <c r="AL50" s="16">
        <v>269</v>
      </c>
      <c r="AM50" s="16">
        <v>144</v>
      </c>
      <c r="AN50" s="16"/>
      <c r="BC50" s="13"/>
      <c r="BD50" s="13"/>
      <c r="BE50" s="13"/>
      <c r="BF50" s="13"/>
      <c r="BG50" s="13"/>
      <c r="BH50" s="13"/>
      <c r="BI50" s="13"/>
      <c r="BJ50" s="13"/>
      <c r="BK50" s="13"/>
      <c r="BL50" s="13"/>
      <c r="BM50" s="13"/>
      <c r="BN50" s="13"/>
    </row>
    <row r="51" spans="1:66" x14ac:dyDescent="0.25">
      <c r="A51" s="22">
        <v>49</v>
      </c>
      <c r="B51" s="23">
        <v>1582.6495568504811</v>
      </c>
      <c r="C51" s="24">
        <v>794.78781424622389</v>
      </c>
      <c r="AH51" s="16">
        <v>1725</v>
      </c>
      <c r="AI51" s="16"/>
      <c r="AJ51" s="16"/>
      <c r="AK51" s="16">
        <v>1100</v>
      </c>
      <c r="AL51" s="16">
        <v>322</v>
      </c>
      <c r="AM51" s="16">
        <v>96</v>
      </c>
      <c r="AN51" s="16"/>
      <c r="BC51" s="13"/>
      <c r="BD51" s="13"/>
      <c r="BE51" s="13"/>
      <c r="BF51" s="13"/>
      <c r="BG51" s="13"/>
      <c r="BH51" s="13"/>
      <c r="BI51" s="13"/>
      <c r="BJ51" s="13"/>
      <c r="BK51" s="13"/>
      <c r="BL51" s="13"/>
      <c r="BM51" s="13"/>
      <c r="BN51" s="13"/>
    </row>
    <row r="52" spans="1:66" x14ac:dyDescent="0.25">
      <c r="A52" s="22">
        <v>50</v>
      </c>
      <c r="B52" s="23">
        <v>1288.2116384373767</v>
      </c>
      <c r="C52" s="24">
        <v>782.72689652458382</v>
      </c>
      <c r="AH52" s="16">
        <v>1750</v>
      </c>
      <c r="AI52" s="16"/>
      <c r="AJ52" s="16"/>
      <c r="AK52" s="16">
        <v>1125</v>
      </c>
      <c r="AL52" s="16">
        <v>322</v>
      </c>
      <c r="AM52" s="16">
        <v>96</v>
      </c>
      <c r="AN52" s="16"/>
      <c r="BC52" s="13"/>
      <c r="BD52" s="13"/>
      <c r="BE52" s="13"/>
      <c r="BF52" s="13"/>
      <c r="BG52" s="13"/>
      <c r="BH52" s="13"/>
      <c r="BI52" s="13"/>
      <c r="BJ52" s="13"/>
      <c r="BK52" s="13"/>
      <c r="BL52" s="13"/>
      <c r="BM52" s="13"/>
      <c r="BN52" s="13"/>
    </row>
    <row r="53" spans="1:66" x14ac:dyDescent="0.25">
      <c r="A53" s="22">
        <v>51</v>
      </c>
      <c r="B53" s="23">
        <v>1372.6135049281129</v>
      </c>
      <c r="C53" s="24">
        <v>978.08489736016577</v>
      </c>
      <c r="AH53" s="16">
        <v>1775</v>
      </c>
      <c r="AI53" s="16"/>
      <c r="AJ53" s="16"/>
      <c r="AK53" s="16">
        <v>1125</v>
      </c>
      <c r="AL53" s="16">
        <v>392</v>
      </c>
      <c r="AM53" s="16">
        <v>58</v>
      </c>
      <c r="AN53" s="16"/>
      <c r="BC53" s="13"/>
      <c r="BD53" s="13"/>
      <c r="BE53" s="13"/>
      <c r="BF53" s="13"/>
      <c r="BG53" s="13"/>
      <c r="BH53" s="13"/>
      <c r="BI53" s="13"/>
      <c r="BJ53" s="13"/>
      <c r="BK53" s="13"/>
      <c r="BL53" s="13"/>
      <c r="BM53" s="13"/>
      <c r="BN53" s="13"/>
    </row>
    <row r="54" spans="1:66" x14ac:dyDescent="0.25">
      <c r="A54" s="22">
        <v>52</v>
      </c>
      <c r="B54" s="23">
        <v>1381.9575765330285</v>
      </c>
      <c r="C54" s="24">
        <v>930.47163558236741</v>
      </c>
      <c r="AH54" s="16">
        <v>1800</v>
      </c>
      <c r="AI54" s="16"/>
      <c r="AJ54" s="16"/>
      <c r="AK54" s="16">
        <v>1150</v>
      </c>
      <c r="AL54" s="16">
        <v>392</v>
      </c>
      <c r="AM54" s="16">
        <v>58</v>
      </c>
      <c r="AN54" s="16"/>
      <c r="BC54" s="13"/>
      <c r="BD54" s="13"/>
      <c r="BE54" s="13"/>
      <c r="BF54" s="13"/>
      <c r="BG54" s="13"/>
      <c r="BH54" s="13"/>
      <c r="BI54" s="13"/>
      <c r="BJ54" s="13"/>
      <c r="BK54" s="13"/>
      <c r="BL54" s="13"/>
      <c r="BM54" s="13"/>
      <c r="BN54" s="13"/>
    </row>
    <row r="55" spans="1:66" x14ac:dyDescent="0.25">
      <c r="A55" s="22">
        <v>53</v>
      </c>
      <c r="B55" s="23">
        <v>1337.4627994504242</v>
      </c>
      <c r="C55" s="24">
        <v>988.20598170522203</v>
      </c>
      <c r="AH55" s="16">
        <v>1825</v>
      </c>
      <c r="AI55" s="16"/>
      <c r="AJ55" s="16"/>
      <c r="AK55" s="16">
        <v>1150</v>
      </c>
      <c r="AL55" s="16">
        <v>395</v>
      </c>
      <c r="AM55" s="16">
        <v>46</v>
      </c>
      <c r="AN55" s="16"/>
      <c r="BC55" s="13"/>
      <c r="BD55" s="13"/>
      <c r="BE55" s="13"/>
      <c r="BF55" s="13"/>
      <c r="BG55" s="13"/>
      <c r="BH55" s="13"/>
      <c r="BI55" s="13"/>
      <c r="BJ55" s="13"/>
      <c r="BK55" s="13"/>
      <c r="BL55" s="13"/>
      <c r="BM55" s="13"/>
      <c r="BN55" s="13"/>
    </row>
    <row r="56" spans="1:66" x14ac:dyDescent="0.25">
      <c r="A56" s="22">
        <v>54</v>
      </c>
      <c r="B56" s="23">
        <v>1416.0749319941704</v>
      </c>
      <c r="C56" s="24">
        <v>872.98455149110839</v>
      </c>
      <c r="AH56" s="16">
        <v>1850</v>
      </c>
      <c r="AI56" s="16"/>
      <c r="AJ56" s="16"/>
      <c r="AK56" s="16">
        <v>1175</v>
      </c>
      <c r="AL56" s="16">
        <v>395</v>
      </c>
      <c r="AM56" s="16">
        <v>46</v>
      </c>
      <c r="AN56" s="16"/>
      <c r="BC56" s="13"/>
      <c r="BD56" s="13"/>
      <c r="BE56" s="13"/>
      <c r="BF56" s="13"/>
      <c r="BG56" s="13"/>
      <c r="BH56" s="13"/>
      <c r="BI56" s="13"/>
      <c r="BJ56" s="13"/>
      <c r="BK56" s="13"/>
      <c r="BL56" s="13"/>
      <c r="BM56" s="13"/>
      <c r="BN56" s="13"/>
    </row>
    <row r="57" spans="1:66" x14ac:dyDescent="0.25">
      <c r="A57" s="22">
        <v>55</v>
      </c>
      <c r="B57" s="23">
        <v>1500.9052391317089</v>
      </c>
      <c r="C57" s="24">
        <v>1024.2157509883496</v>
      </c>
      <c r="AH57" s="16">
        <v>1875</v>
      </c>
      <c r="AI57" s="16"/>
      <c r="AJ57" s="16"/>
      <c r="AK57" s="16">
        <v>1175</v>
      </c>
      <c r="AL57" s="16">
        <v>424</v>
      </c>
      <c r="AM57" s="16">
        <v>35</v>
      </c>
      <c r="AN57" s="16"/>
      <c r="BC57" s="13"/>
      <c r="BD57" s="13"/>
      <c r="BE57" s="13"/>
      <c r="BF57" s="13"/>
      <c r="BG57" s="13"/>
      <c r="BH57" s="13"/>
      <c r="BI57" s="13"/>
      <c r="BJ57" s="13"/>
      <c r="BK57" s="13"/>
      <c r="BL57" s="13"/>
      <c r="BM57" s="13"/>
      <c r="BN57" s="13"/>
    </row>
    <row r="58" spans="1:66" x14ac:dyDescent="0.25">
      <c r="A58" s="22">
        <v>56</v>
      </c>
      <c r="B58" s="23">
        <v>1475.7112634164823</v>
      </c>
      <c r="C58" s="24">
        <v>959.61071029052891</v>
      </c>
      <c r="AH58" s="16">
        <v>1900</v>
      </c>
      <c r="AI58" s="16"/>
      <c r="AJ58" s="16"/>
      <c r="AK58" s="16">
        <v>1200</v>
      </c>
      <c r="AL58" s="16">
        <v>424</v>
      </c>
      <c r="AM58" s="16">
        <v>35</v>
      </c>
      <c r="AN58" s="16"/>
      <c r="BC58" s="13"/>
      <c r="BD58" s="13"/>
      <c r="BE58" s="13"/>
      <c r="BF58" s="13"/>
      <c r="BG58" s="13"/>
      <c r="BH58" s="13"/>
      <c r="BI58" s="13"/>
      <c r="BJ58" s="13"/>
      <c r="BK58" s="13"/>
      <c r="BL58" s="13"/>
      <c r="BM58" s="13"/>
      <c r="BN58" s="13"/>
    </row>
    <row r="59" spans="1:66" x14ac:dyDescent="0.25">
      <c r="A59" s="22">
        <v>57</v>
      </c>
      <c r="B59" s="23">
        <v>1262.8015387298726</v>
      </c>
      <c r="C59" s="24">
        <v>692.60582415283682</v>
      </c>
      <c r="AH59" s="16">
        <v>1925</v>
      </c>
      <c r="AI59" s="16"/>
      <c r="AJ59" s="16"/>
      <c r="AK59" s="16">
        <v>1200</v>
      </c>
      <c r="AL59" s="16">
        <v>553</v>
      </c>
      <c r="AM59" s="16">
        <v>17</v>
      </c>
      <c r="AN59" s="16"/>
      <c r="BC59" s="13"/>
      <c r="BD59" s="13"/>
      <c r="BE59" s="13"/>
      <c r="BF59" s="13"/>
      <c r="BG59" s="13"/>
      <c r="BH59" s="13"/>
      <c r="BI59" s="13"/>
      <c r="BJ59" s="13"/>
      <c r="BK59" s="13"/>
      <c r="BL59" s="13"/>
      <c r="BM59" s="13"/>
      <c r="BN59" s="13"/>
    </row>
    <row r="60" spans="1:66" x14ac:dyDescent="0.25">
      <c r="A60" s="22">
        <v>58</v>
      </c>
      <c r="B60" s="23">
        <v>1097.9638249133809</v>
      </c>
      <c r="C60" s="24">
        <v>888.54826730854404</v>
      </c>
      <c r="AH60" s="16">
        <v>1950</v>
      </c>
      <c r="AI60" s="16"/>
      <c r="AJ60" s="16"/>
      <c r="AK60" s="16">
        <v>1225</v>
      </c>
      <c r="AL60" s="16">
        <v>553</v>
      </c>
      <c r="AM60" s="16">
        <v>17</v>
      </c>
      <c r="AN60" s="16"/>
      <c r="BC60" s="13"/>
      <c r="BD60" s="13"/>
      <c r="BE60" s="13"/>
      <c r="BF60" s="13"/>
      <c r="BG60" s="13"/>
      <c r="BH60" s="13"/>
      <c r="BI60" s="13"/>
      <c r="BJ60" s="13"/>
      <c r="BK60" s="13"/>
      <c r="BL60" s="13"/>
      <c r="BM60" s="13"/>
      <c r="BN60" s="13"/>
    </row>
    <row r="61" spans="1:66" x14ac:dyDescent="0.25">
      <c r="A61" s="22">
        <v>59</v>
      </c>
      <c r="B61" s="23">
        <v>866.24571342159368</v>
      </c>
      <c r="C61" s="24">
        <v>867.25885221463034</v>
      </c>
      <c r="AH61" s="16">
        <v>1975</v>
      </c>
      <c r="AI61" s="16"/>
      <c r="AJ61" s="16"/>
      <c r="AK61" s="16">
        <v>1225</v>
      </c>
      <c r="AL61" s="16">
        <v>559</v>
      </c>
      <c r="AM61" s="16">
        <v>5</v>
      </c>
      <c r="AN61" s="16"/>
      <c r="BC61" s="13"/>
      <c r="BD61" s="13"/>
      <c r="BE61" s="13"/>
      <c r="BF61" s="13"/>
      <c r="BG61" s="13"/>
      <c r="BH61" s="13"/>
      <c r="BI61" s="13"/>
      <c r="BJ61" s="13"/>
      <c r="BK61" s="13"/>
      <c r="BL61" s="13"/>
      <c r="BM61" s="13"/>
      <c r="BN61" s="13"/>
    </row>
    <row r="62" spans="1:66" x14ac:dyDescent="0.25">
      <c r="A62" s="22">
        <v>60</v>
      </c>
      <c r="B62" s="23">
        <v>1146.9349429793581</v>
      </c>
      <c r="C62" s="24">
        <v>876.97802840911379</v>
      </c>
      <c r="AH62" s="16">
        <v>2000</v>
      </c>
      <c r="AI62" s="16"/>
      <c r="AJ62" s="16"/>
      <c r="AK62" s="16">
        <v>1250</v>
      </c>
      <c r="AL62" s="16">
        <v>559</v>
      </c>
      <c r="AM62" s="16">
        <v>5</v>
      </c>
      <c r="AN62" s="16"/>
      <c r="BC62" s="13"/>
      <c r="BD62" s="13"/>
      <c r="BE62" s="13"/>
      <c r="BF62" s="13"/>
      <c r="BG62" s="13"/>
      <c r="BH62" s="13"/>
      <c r="BI62" s="13"/>
      <c r="BJ62" s="13"/>
      <c r="BK62" s="13"/>
      <c r="BL62" s="13"/>
      <c r="BM62" s="13"/>
      <c r="BN62" s="13"/>
    </row>
    <row r="63" spans="1:66" x14ac:dyDescent="0.25">
      <c r="A63" s="22">
        <v>61</v>
      </c>
      <c r="B63" s="23">
        <v>996.16845575939703</v>
      </c>
      <c r="C63" s="24">
        <v>813.67985032151751</v>
      </c>
      <c r="AH63" s="16">
        <v>2025</v>
      </c>
      <c r="AI63" s="16"/>
      <c r="AJ63" s="16"/>
      <c r="AK63" s="16">
        <v>1250</v>
      </c>
      <c r="AL63" s="16">
        <v>578</v>
      </c>
      <c r="AM63" s="16">
        <v>6</v>
      </c>
      <c r="AN63" s="16"/>
      <c r="BC63" s="13"/>
      <c r="BD63" s="13"/>
      <c r="BE63" s="13"/>
      <c r="BF63" s="13"/>
      <c r="BG63" s="13"/>
      <c r="BH63" s="13"/>
      <c r="BI63" s="13"/>
      <c r="BJ63" s="13"/>
      <c r="BK63" s="13"/>
      <c r="BL63" s="13"/>
      <c r="BM63" s="13"/>
      <c r="BN63" s="13"/>
    </row>
    <row r="64" spans="1:66" x14ac:dyDescent="0.25">
      <c r="A64" s="22">
        <v>62</v>
      </c>
      <c r="B64" s="23">
        <v>1348.7917850065151</v>
      </c>
      <c r="C64" s="24">
        <v>914.08842821604367</v>
      </c>
      <c r="AH64" s="16">
        <v>2050</v>
      </c>
      <c r="AI64" s="16"/>
      <c r="AJ64" s="16"/>
      <c r="AK64" s="16">
        <v>1275</v>
      </c>
      <c r="AL64" s="16">
        <v>578</v>
      </c>
      <c r="AM64" s="16">
        <v>6</v>
      </c>
      <c r="AN64" s="16"/>
      <c r="BC64" s="13"/>
      <c r="BD64" s="13"/>
      <c r="BE64" s="13"/>
      <c r="BF64" s="13"/>
      <c r="BG64" s="13"/>
      <c r="BH64" s="13"/>
      <c r="BI64" s="13"/>
      <c r="BJ64" s="13"/>
      <c r="BK64" s="13"/>
      <c r="BL64" s="13"/>
      <c r="BM64" s="13"/>
      <c r="BN64" s="13"/>
    </row>
    <row r="65" spans="1:66" x14ac:dyDescent="0.25">
      <c r="A65" s="22">
        <v>63</v>
      </c>
      <c r="B65" s="23">
        <v>1212.2659472775024</v>
      </c>
      <c r="C65" s="24">
        <v>717.94550522868633</v>
      </c>
      <c r="AH65" s="16">
        <v>2075</v>
      </c>
      <c r="AI65" s="16"/>
      <c r="AJ65" s="16"/>
      <c r="AK65" s="16">
        <v>1275</v>
      </c>
      <c r="AL65" s="16">
        <v>571</v>
      </c>
      <c r="AM65" s="16">
        <v>4</v>
      </c>
      <c r="AN65" s="16"/>
      <c r="BC65" s="13"/>
      <c r="BD65" s="13"/>
      <c r="BE65" s="13"/>
      <c r="BF65" s="13"/>
      <c r="BG65" s="13"/>
      <c r="BH65" s="13"/>
      <c r="BI65" s="13"/>
      <c r="BJ65" s="13"/>
      <c r="BK65" s="13"/>
      <c r="BL65" s="13"/>
      <c r="BM65" s="13"/>
      <c r="BN65" s="13"/>
    </row>
    <row r="66" spans="1:66" x14ac:dyDescent="0.25">
      <c r="A66" s="22">
        <v>64</v>
      </c>
      <c r="B66" s="23">
        <v>1101.4933136988004</v>
      </c>
      <c r="C66" s="24">
        <v>839.62241002931898</v>
      </c>
      <c r="AH66" s="16">
        <v>2100</v>
      </c>
      <c r="AI66" s="16"/>
      <c r="AJ66" s="16"/>
      <c r="AK66" s="16">
        <v>1300</v>
      </c>
      <c r="AL66" s="16">
        <v>571</v>
      </c>
      <c r="AM66" s="16">
        <v>4</v>
      </c>
      <c r="AN66" s="16"/>
      <c r="BC66" s="13"/>
      <c r="BD66" s="13"/>
      <c r="BE66" s="13"/>
      <c r="BF66" s="13"/>
      <c r="BG66" s="13"/>
      <c r="BH66" s="13"/>
      <c r="BI66" s="13"/>
      <c r="BJ66" s="13"/>
      <c r="BK66" s="13"/>
      <c r="BL66" s="13"/>
      <c r="BM66" s="13"/>
      <c r="BN66" s="13"/>
    </row>
    <row r="67" spans="1:66" x14ac:dyDescent="0.25">
      <c r="A67" s="22">
        <v>65</v>
      </c>
      <c r="B67" s="23">
        <v>1625.6620101924016</v>
      </c>
      <c r="C67" s="24">
        <v>939.4478353812159</v>
      </c>
      <c r="AH67" s="16"/>
      <c r="AI67" s="16"/>
      <c r="AJ67" s="16"/>
      <c r="AK67" s="16">
        <v>1300</v>
      </c>
      <c r="AL67" s="16">
        <v>585</v>
      </c>
      <c r="AM67" s="16">
        <v>1</v>
      </c>
      <c r="AN67" s="16"/>
      <c r="BC67" s="13"/>
      <c r="BD67" s="13"/>
      <c r="BE67" s="13"/>
      <c r="BF67" s="13"/>
      <c r="BG67" s="13"/>
      <c r="BH67" s="13"/>
      <c r="BI67" s="13"/>
      <c r="BJ67" s="13"/>
      <c r="BK67" s="13"/>
      <c r="BL67" s="13"/>
      <c r="BM67" s="13"/>
      <c r="BN67" s="13"/>
    </row>
    <row r="68" spans="1:66" x14ac:dyDescent="0.25">
      <c r="A68" s="22">
        <v>66</v>
      </c>
      <c r="B68" s="23">
        <v>1467.7641986331678</v>
      </c>
      <c r="C68" s="24">
        <v>789.3692684994403</v>
      </c>
      <c r="AK68" s="13">
        <v>1325</v>
      </c>
      <c r="AL68" s="13">
        <v>585</v>
      </c>
      <c r="AM68" s="13">
        <v>1</v>
      </c>
      <c r="BC68" s="13"/>
      <c r="BD68" s="13"/>
      <c r="BE68" s="13"/>
      <c r="BF68" s="13"/>
      <c r="BG68" s="13"/>
      <c r="BH68" s="13"/>
      <c r="BI68" s="13"/>
      <c r="BJ68" s="13"/>
      <c r="BK68" s="13"/>
      <c r="BL68" s="13"/>
      <c r="BM68" s="13"/>
      <c r="BN68" s="13"/>
    </row>
    <row r="69" spans="1:66" x14ac:dyDescent="0.25">
      <c r="A69" s="22">
        <v>67</v>
      </c>
      <c r="B69" s="23">
        <v>1131.2636689487424</v>
      </c>
      <c r="C69" s="24">
        <v>684.06091759153173</v>
      </c>
      <c r="AK69" s="13">
        <v>1325</v>
      </c>
      <c r="AL69" s="13">
        <v>569</v>
      </c>
      <c r="AM69" s="13">
        <v>0</v>
      </c>
      <c r="BC69" s="13"/>
      <c r="BD69" s="13"/>
      <c r="BE69" s="13"/>
      <c r="BF69" s="13"/>
      <c r="BG69" s="13"/>
      <c r="BH69" s="13"/>
      <c r="BI69" s="13"/>
      <c r="BJ69" s="13"/>
      <c r="BK69" s="13"/>
      <c r="BL69" s="13"/>
      <c r="BM69" s="13"/>
      <c r="BN69" s="13"/>
    </row>
    <row r="70" spans="1:66" x14ac:dyDescent="0.25">
      <c r="A70" s="22">
        <v>68</v>
      </c>
      <c r="B70" s="23">
        <v>1387.3594506698962</v>
      </c>
      <c r="C70" s="24">
        <v>985.39861853308389</v>
      </c>
      <c r="AK70" s="13">
        <v>1350</v>
      </c>
      <c r="AL70" s="13">
        <v>569</v>
      </c>
      <c r="AM70" s="13">
        <v>0</v>
      </c>
      <c r="BC70" s="13"/>
      <c r="BD70" s="13"/>
      <c r="BE70" s="13"/>
      <c r="BF70" s="13"/>
      <c r="BG70" s="13"/>
      <c r="BH70" s="13"/>
      <c r="BI70" s="13"/>
      <c r="BJ70" s="13"/>
      <c r="BK70" s="13"/>
      <c r="BL70" s="13"/>
      <c r="BM70" s="13"/>
      <c r="BN70" s="13"/>
    </row>
    <row r="71" spans="1:66" x14ac:dyDescent="0.25">
      <c r="A71" s="22">
        <v>69</v>
      </c>
      <c r="B71" s="23">
        <v>1789.3610203819287</v>
      </c>
      <c r="C71" s="24">
        <v>680.61515181705022</v>
      </c>
      <c r="AK71" s="13">
        <v>1350</v>
      </c>
      <c r="AL71" s="13">
        <v>537</v>
      </c>
      <c r="AM71" s="13">
        <v>1</v>
      </c>
      <c r="BC71" s="13"/>
      <c r="BD71" s="13"/>
      <c r="BE71" s="13"/>
      <c r="BF71" s="13"/>
      <c r="BG71" s="13"/>
      <c r="BH71" s="13"/>
      <c r="BI71" s="13"/>
      <c r="BJ71" s="13"/>
      <c r="BK71" s="13"/>
      <c r="BL71" s="13"/>
      <c r="BM71" s="13"/>
      <c r="BN71" s="13"/>
    </row>
    <row r="72" spans="1:66" x14ac:dyDescent="0.25">
      <c r="A72" s="22">
        <v>70</v>
      </c>
      <c r="B72" s="23">
        <v>1142.3355037461265</v>
      </c>
      <c r="C72" s="24">
        <v>949.78058032222577</v>
      </c>
      <c r="AK72" s="13">
        <v>1375</v>
      </c>
      <c r="AL72" s="13">
        <v>537</v>
      </c>
      <c r="AM72" s="13">
        <v>1</v>
      </c>
      <c r="BC72" s="13"/>
      <c r="BD72" s="13"/>
      <c r="BE72" s="13"/>
      <c r="BF72" s="13"/>
      <c r="BG72" s="13"/>
      <c r="BH72" s="13"/>
      <c r="BI72" s="13"/>
      <c r="BJ72" s="13"/>
      <c r="BK72" s="13"/>
      <c r="BL72" s="13"/>
      <c r="BM72" s="13"/>
      <c r="BN72" s="13"/>
    </row>
    <row r="73" spans="1:66" x14ac:dyDescent="0.25">
      <c r="A73" s="22">
        <v>71</v>
      </c>
      <c r="B73" s="23">
        <v>1296.379502287999</v>
      </c>
      <c r="C73" s="24">
        <v>874.60811699787541</v>
      </c>
      <c r="AK73" s="13">
        <v>1375</v>
      </c>
      <c r="AL73" s="13">
        <v>515</v>
      </c>
      <c r="AM73" s="13">
        <v>1</v>
      </c>
      <c r="BC73" s="13"/>
      <c r="BD73" s="13"/>
      <c r="BE73" s="13"/>
      <c r="BF73" s="13"/>
      <c r="BG73" s="13"/>
      <c r="BH73" s="13"/>
      <c r="BI73" s="13"/>
      <c r="BJ73" s="13"/>
      <c r="BK73" s="13"/>
      <c r="BL73" s="13"/>
      <c r="BM73" s="13"/>
      <c r="BN73" s="13"/>
    </row>
    <row r="74" spans="1:66" x14ac:dyDescent="0.25">
      <c r="A74" s="22">
        <v>72</v>
      </c>
      <c r="B74" s="23">
        <v>1441.8658928606142</v>
      </c>
      <c r="C74" s="24">
        <v>894.31169929674979</v>
      </c>
      <c r="AK74" s="13">
        <v>1400</v>
      </c>
      <c r="AL74" s="13">
        <v>515</v>
      </c>
      <c r="AM74" s="13">
        <v>1</v>
      </c>
      <c r="BC74" s="13"/>
      <c r="BD74" s="13"/>
      <c r="BE74" s="13"/>
      <c r="BF74" s="13"/>
      <c r="BG74" s="13"/>
      <c r="BH74" s="13"/>
      <c r="BI74" s="13"/>
      <c r="BJ74" s="13"/>
      <c r="BK74" s="13"/>
      <c r="BL74" s="13"/>
      <c r="BM74" s="13"/>
      <c r="BN74" s="13"/>
    </row>
    <row r="75" spans="1:66" x14ac:dyDescent="0.25">
      <c r="A75" s="22">
        <v>73</v>
      </c>
      <c r="B75" s="23">
        <v>1675.0299744591364</v>
      </c>
      <c r="C75" s="24">
        <v>1211.5528095689517</v>
      </c>
      <c r="AK75" s="13">
        <v>1400</v>
      </c>
      <c r="AL75" s="13">
        <v>435</v>
      </c>
      <c r="AM75" s="13">
        <v>0</v>
      </c>
      <c r="BC75" s="13"/>
      <c r="BD75" s="13"/>
      <c r="BE75" s="13"/>
      <c r="BF75" s="13"/>
      <c r="BG75" s="13"/>
      <c r="BH75" s="13"/>
      <c r="BI75" s="13"/>
      <c r="BJ75" s="13"/>
      <c r="BK75" s="13"/>
      <c r="BL75" s="13"/>
      <c r="BM75" s="13"/>
      <c r="BN75" s="13"/>
    </row>
    <row r="76" spans="1:66" x14ac:dyDescent="0.25">
      <c r="A76" s="22">
        <v>74</v>
      </c>
      <c r="B76" s="23">
        <v>1145.6696842397321</v>
      </c>
      <c r="C76" s="24">
        <v>933.08141302223828</v>
      </c>
      <c r="AK76" s="13">
        <v>1425</v>
      </c>
      <c r="AL76" s="13">
        <v>435</v>
      </c>
      <c r="BC76" s="13"/>
      <c r="BD76" s="13"/>
      <c r="BE76" s="13"/>
      <c r="BF76" s="13"/>
      <c r="BG76" s="13"/>
      <c r="BH76" s="13"/>
      <c r="BI76" s="13"/>
      <c r="BJ76" s="13"/>
      <c r="BK76" s="13"/>
      <c r="BL76" s="13"/>
      <c r="BM76" s="13"/>
      <c r="BN76" s="13"/>
    </row>
    <row r="77" spans="1:66" x14ac:dyDescent="0.25">
      <c r="A77" s="22">
        <v>75</v>
      </c>
      <c r="B77" s="23">
        <v>1646.8486468899741</v>
      </c>
      <c r="C77" s="24">
        <v>800.53183953731286</v>
      </c>
      <c r="AK77" s="13">
        <v>1425</v>
      </c>
      <c r="AL77" s="13">
        <v>381</v>
      </c>
      <c r="BC77" s="13"/>
      <c r="BD77" s="13"/>
      <c r="BE77" s="13"/>
      <c r="BF77" s="13"/>
      <c r="BG77" s="13"/>
      <c r="BH77" s="13"/>
      <c r="BI77" s="13"/>
      <c r="BJ77" s="13"/>
      <c r="BK77" s="13"/>
      <c r="BL77" s="13"/>
      <c r="BM77" s="13"/>
      <c r="BN77" s="13"/>
    </row>
    <row r="78" spans="1:66" x14ac:dyDescent="0.25">
      <c r="A78" s="22">
        <v>76</v>
      </c>
      <c r="B78" s="23">
        <v>1152.9852032921176</v>
      </c>
      <c r="C78" s="24">
        <v>689.15431943321892</v>
      </c>
      <c r="AK78" s="13">
        <v>1450</v>
      </c>
      <c r="AL78" s="13">
        <v>381</v>
      </c>
      <c r="BC78" s="13"/>
      <c r="BD78" s="13"/>
      <c r="BE78" s="13"/>
      <c r="BF78" s="13"/>
      <c r="BG78" s="13"/>
      <c r="BH78" s="13"/>
      <c r="BI78" s="13"/>
      <c r="BJ78" s="13"/>
      <c r="BK78" s="13"/>
      <c r="BL78" s="13"/>
      <c r="BM78" s="13"/>
      <c r="BN78" s="13"/>
    </row>
    <row r="79" spans="1:66" x14ac:dyDescent="0.25">
      <c r="A79" s="22">
        <v>77</v>
      </c>
      <c r="B79" s="23">
        <v>1286.8895844883464</v>
      </c>
      <c r="C79" s="24">
        <v>967.64482264058506</v>
      </c>
      <c r="AK79" s="13">
        <v>1450</v>
      </c>
      <c r="AL79" s="13">
        <v>377</v>
      </c>
      <c r="BC79" s="13"/>
      <c r="BD79" s="13"/>
      <c r="BE79" s="13"/>
      <c r="BF79" s="13"/>
      <c r="BG79" s="13"/>
      <c r="BH79" s="13"/>
      <c r="BI79" s="13"/>
      <c r="BJ79" s="13"/>
      <c r="BK79" s="13"/>
      <c r="BL79" s="13"/>
      <c r="BM79" s="13"/>
      <c r="BN79" s="13"/>
    </row>
    <row r="80" spans="1:66" x14ac:dyDescent="0.25">
      <c r="A80" s="22">
        <v>78</v>
      </c>
      <c r="B80" s="23">
        <v>1159.2093488344822</v>
      </c>
      <c r="C80" s="24">
        <v>844.30830507193741</v>
      </c>
      <c r="AK80" s="13">
        <v>1475</v>
      </c>
      <c r="AL80" s="13">
        <v>377</v>
      </c>
      <c r="BC80" s="13"/>
      <c r="BD80" s="13"/>
      <c r="BE80" s="13"/>
      <c r="BF80" s="13"/>
      <c r="BG80" s="13"/>
      <c r="BH80" s="13"/>
      <c r="BI80" s="13"/>
      <c r="BJ80" s="13"/>
      <c r="BK80" s="13"/>
      <c r="BL80" s="13"/>
      <c r="BM80" s="13"/>
      <c r="BN80" s="13"/>
    </row>
    <row r="81" spans="1:66" x14ac:dyDescent="0.25">
      <c r="A81" s="22">
        <v>79</v>
      </c>
      <c r="B81" s="23">
        <v>1232.1522252978864</v>
      </c>
      <c r="C81" s="24">
        <v>936.30404562154422</v>
      </c>
      <c r="AK81" s="13">
        <v>1475</v>
      </c>
      <c r="AL81" s="13">
        <v>334</v>
      </c>
      <c r="BC81" s="13"/>
      <c r="BD81" s="13"/>
      <c r="BE81" s="13"/>
      <c r="BF81" s="13"/>
      <c r="BG81" s="13"/>
      <c r="BH81" s="13"/>
      <c r="BI81" s="13"/>
      <c r="BJ81" s="13"/>
      <c r="BK81" s="13"/>
      <c r="BL81" s="13"/>
      <c r="BM81" s="13"/>
      <c r="BN81" s="13"/>
    </row>
    <row r="82" spans="1:66" x14ac:dyDescent="0.25">
      <c r="A82" s="22">
        <v>80</v>
      </c>
      <c r="B82" s="23">
        <v>1651.9090814264237</v>
      </c>
      <c r="C82" s="24">
        <v>1181.3399768564825</v>
      </c>
      <c r="AK82" s="13">
        <v>1500</v>
      </c>
      <c r="AL82" s="13">
        <v>334</v>
      </c>
      <c r="BC82" s="13"/>
      <c r="BD82" s="13"/>
      <c r="BE82" s="13"/>
      <c r="BF82" s="13"/>
      <c r="BG82" s="13"/>
      <c r="BH82" s="13"/>
      <c r="BI82" s="13"/>
      <c r="BJ82" s="13"/>
      <c r="BK82" s="13"/>
      <c r="BL82" s="13"/>
      <c r="BM82" s="13"/>
      <c r="BN82" s="13"/>
    </row>
    <row r="83" spans="1:66" x14ac:dyDescent="0.25">
      <c r="A83" s="22">
        <v>81</v>
      </c>
      <c r="B83" s="23">
        <v>1300.0814013402503</v>
      </c>
      <c r="C83" s="24">
        <v>948.30993393193967</v>
      </c>
      <c r="AK83" s="13">
        <v>1500</v>
      </c>
      <c r="AL83" s="13">
        <v>266</v>
      </c>
      <c r="BC83" s="13"/>
      <c r="BD83" s="13"/>
      <c r="BE83" s="13"/>
      <c r="BF83" s="13"/>
      <c r="BG83" s="13"/>
      <c r="BH83" s="13"/>
      <c r="BI83" s="13"/>
      <c r="BJ83" s="13"/>
      <c r="BK83" s="13"/>
      <c r="BL83" s="13"/>
      <c r="BM83" s="13"/>
      <c r="BN83" s="13"/>
    </row>
    <row r="84" spans="1:66" x14ac:dyDescent="0.25">
      <c r="A84" s="22">
        <v>82</v>
      </c>
      <c r="B84" s="23">
        <v>1115.8311424644016</v>
      </c>
      <c r="C84" s="24">
        <v>750.18827516936403</v>
      </c>
      <c r="AK84" s="13">
        <v>1525</v>
      </c>
      <c r="AL84" s="13">
        <v>266</v>
      </c>
      <c r="BC84" s="13"/>
      <c r="BD84" s="13"/>
      <c r="BE84" s="13"/>
      <c r="BF84" s="13"/>
      <c r="BG84" s="13"/>
      <c r="BH84" s="13"/>
      <c r="BI84" s="13"/>
      <c r="BJ84" s="13"/>
      <c r="BK84" s="13"/>
      <c r="BL84" s="13"/>
      <c r="BM84" s="13"/>
      <c r="BN84" s="13"/>
    </row>
    <row r="85" spans="1:66" x14ac:dyDescent="0.25">
      <c r="A85" s="22">
        <v>83</v>
      </c>
      <c r="B85" s="23">
        <v>1305.9196040762552</v>
      </c>
      <c r="C85" s="24">
        <v>690.08877310289608</v>
      </c>
      <c r="AK85" s="13">
        <v>1525</v>
      </c>
      <c r="AL85" s="13">
        <v>246</v>
      </c>
      <c r="BC85" s="13"/>
      <c r="BD85" s="13"/>
      <c r="BE85" s="13"/>
      <c r="BF85" s="13"/>
      <c r="BG85" s="13"/>
      <c r="BH85" s="13"/>
      <c r="BI85" s="13"/>
      <c r="BJ85" s="13"/>
      <c r="BK85" s="13"/>
      <c r="BL85" s="13"/>
      <c r="BM85" s="13"/>
      <c r="BN85" s="13"/>
    </row>
    <row r="86" spans="1:66" x14ac:dyDescent="0.25">
      <c r="A86" s="22">
        <v>84</v>
      </c>
      <c r="B86" s="23">
        <v>1444.4353647006267</v>
      </c>
      <c r="C86" s="24">
        <v>869.54966584625981</v>
      </c>
      <c r="AK86" s="13">
        <v>1550</v>
      </c>
      <c r="AL86" s="13">
        <v>246</v>
      </c>
      <c r="BC86" s="13"/>
      <c r="BD86" s="13"/>
      <c r="BE86" s="13"/>
      <c r="BF86" s="13"/>
      <c r="BG86" s="13"/>
      <c r="BH86" s="13"/>
      <c r="BI86" s="13"/>
      <c r="BJ86" s="13"/>
      <c r="BK86" s="13"/>
      <c r="BL86" s="13"/>
      <c r="BM86" s="13"/>
      <c r="BN86" s="13"/>
    </row>
    <row r="87" spans="1:66" x14ac:dyDescent="0.25">
      <c r="A87" s="22">
        <v>85</v>
      </c>
      <c r="B87" s="23">
        <v>1269.1109505812292</v>
      </c>
      <c r="C87" s="24">
        <v>760.37604861561147</v>
      </c>
      <c r="AK87" s="13">
        <v>1550</v>
      </c>
      <c r="AL87" s="13">
        <v>206</v>
      </c>
      <c r="BC87" s="13"/>
      <c r="BD87" s="13"/>
      <c r="BE87" s="13"/>
      <c r="BF87" s="13"/>
      <c r="BG87" s="13"/>
      <c r="BH87" s="13"/>
      <c r="BI87" s="13"/>
      <c r="BJ87" s="13"/>
      <c r="BK87" s="13"/>
      <c r="BL87" s="13"/>
      <c r="BM87" s="13"/>
      <c r="BN87" s="13"/>
    </row>
    <row r="88" spans="1:66" x14ac:dyDescent="0.25">
      <c r="A88" s="22">
        <v>86</v>
      </c>
      <c r="B88" s="23">
        <v>1032.6220185567504</v>
      </c>
      <c r="C88" s="24">
        <v>992.00003795388534</v>
      </c>
      <c r="AK88" s="13">
        <v>1575</v>
      </c>
      <c r="AL88" s="13">
        <v>206</v>
      </c>
      <c r="BC88" s="13"/>
      <c r="BD88" s="13"/>
      <c r="BE88" s="13"/>
      <c r="BF88" s="13"/>
      <c r="BG88" s="13"/>
      <c r="BH88" s="13"/>
      <c r="BI88" s="13"/>
      <c r="BJ88" s="13"/>
      <c r="BK88" s="13"/>
      <c r="BL88" s="13"/>
      <c r="BM88" s="13"/>
      <c r="BN88" s="13"/>
    </row>
    <row r="89" spans="1:66" x14ac:dyDescent="0.25">
      <c r="A89" s="22">
        <v>87</v>
      </c>
      <c r="B89" s="23">
        <v>1291.4477235343145</v>
      </c>
      <c r="C89" s="24">
        <v>769.60042575807165</v>
      </c>
      <c r="AK89" s="13">
        <v>1575</v>
      </c>
      <c r="AL89" s="13">
        <v>147</v>
      </c>
      <c r="BC89" s="13"/>
      <c r="BD89" s="13"/>
      <c r="BE89" s="13"/>
      <c r="BF89" s="13"/>
      <c r="BG89" s="13"/>
      <c r="BH89" s="13"/>
      <c r="BI89" s="13"/>
      <c r="BJ89" s="13"/>
      <c r="BK89" s="13"/>
      <c r="BL89" s="13"/>
      <c r="BM89" s="13"/>
      <c r="BN89" s="13"/>
    </row>
    <row r="90" spans="1:66" x14ac:dyDescent="0.25">
      <c r="A90" s="22">
        <v>88</v>
      </c>
      <c r="B90" s="23">
        <v>1129.25752855819</v>
      </c>
      <c r="C90" s="24">
        <v>736.24370166773588</v>
      </c>
      <c r="AK90" s="13">
        <v>1600</v>
      </c>
      <c r="AL90" s="13">
        <v>147</v>
      </c>
      <c r="BC90" s="13"/>
      <c r="BD90" s="13"/>
      <c r="BE90" s="13"/>
      <c r="BF90" s="13"/>
      <c r="BG90" s="13"/>
      <c r="BH90" s="13"/>
      <c r="BI90" s="13"/>
      <c r="BJ90" s="13"/>
      <c r="BK90" s="13"/>
      <c r="BL90" s="13"/>
      <c r="BM90" s="13"/>
      <c r="BN90" s="13"/>
    </row>
    <row r="91" spans="1:66" x14ac:dyDescent="0.25">
      <c r="A91" s="22">
        <v>89</v>
      </c>
      <c r="B91" s="23">
        <v>1345.0046896873309</v>
      </c>
      <c r="C91" s="24">
        <v>1001.4424648576764</v>
      </c>
      <c r="AK91" s="13">
        <v>1600</v>
      </c>
      <c r="AL91" s="13">
        <v>129</v>
      </c>
      <c r="BC91" s="13"/>
      <c r="BD91" s="13"/>
      <c r="BE91" s="13"/>
      <c r="BF91" s="13"/>
      <c r="BG91" s="13"/>
      <c r="BH91" s="13"/>
      <c r="BI91" s="13"/>
      <c r="BJ91" s="13"/>
      <c r="BK91" s="13"/>
      <c r="BL91" s="13"/>
      <c r="BM91" s="13"/>
      <c r="BN91" s="13"/>
    </row>
    <row r="92" spans="1:66" x14ac:dyDescent="0.25">
      <c r="A92" s="22">
        <v>90</v>
      </c>
      <c r="B92" s="23">
        <v>1421.5179314626287</v>
      </c>
      <c r="C92" s="24">
        <v>1006.7863430707533</v>
      </c>
      <c r="AK92" s="13">
        <v>1625</v>
      </c>
      <c r="AL92" s="13">
        <v>129</v>
      </c>
      <c r="BC92" s="13"/>
      <c r="BD92" s="13"/>
      <c r="BE92" s="13"/>
      <c r="BF92" s="13"/>
      <c r="BG92" s="13"/>
      <c r="BH92" s="13"/>
      <c r="BI92" s="13"/>
      <c r="BJ92" s="13"/>
      <c r="BK92" s="13"/>
      <c r="BL92" s="13"/>
      <c r="BM92" s="13"/>
      <c r="BN92" s="13"/>
    </row>
    <row r="93" spans="1:66" x14ac:dyDescent="0.25">
      <c r="A93" s="22">
        <v>91</v>
      </c>
      <c r="B93" s="23">
        <v>1738.6371535979411</v>
      </c>
      <c r="C93" s="24">
        <v>928.83363807441958</v>
      </c>
      <c r="AK93" s="13">
        <v>1625</v>
      </c>
      <c r="AL93" s="13">
        <v>112</v>
      </c>
      <c r="BC93" s="13"/>
      <c r="BD93" s="13"/>
      <c r="BE93" s="13"/>
      <c r="BF93" s="13"/>
      <c r="BG93" s="13"/>
      <c r="BH93" s="13"/>
      <c r="BI93" s="13"/>
      <c r="BJ93" s="13"/>
      <c r="BK93" s="13"/>
      <c r="BL93" s="13"/>
      <c r="BM93" s="13"/>
      <c r="BN93" s="13"/>
    </row>
    <row r="94" spans="1:66" x14ac:dyDescent="0.25">
      <c r="A94" s="22">
        <v>92</v>
      </c>
      <c r="B94" s="23">
        <v>1507.4743915791632</v>
      </c>
      <c r="C94" s="24">
        <v>788.79935348742231</v>
      </c>
      <c r="AK94" s="13">
        <v>1650</v>
      </c>
      <c r="AL94" s="13">
        <v>112</v>
      </c>
      <c r="BC94" s="13"/>
      <c r="BD94" s="13"/>
      <c r="BE94" s="13"/>
      <c r="BF94" s="13"/>
      <c r="BG94" s="13"/>
      <c r="BH94" s="13"/>
      <c r="BI94" s="13"/>
      <c r="BJ94" s="13"/>
      <c r="BK94" s="13"/>
      <c r="BL94" s="13"/>
      <c r="BM94" s="13"/>
      <c r="BN94" s="13"/>
    </row>
    <row r="95" spans="1:66" x14ac:dyDescent="0.25">
      <c r="A95" s="22">
        <v>93</v>
      </c>
      <c r="B95" s="23">
        <v>1456.4811107946716</v>
      </c>
      <c r="C95" s="24">
        <v>690.77484613420768</v>
      </c>
      <c r="AK95" s="13">
        <v>1650</v>
      </c>
      <c r="AL95" s="13">
        <v>79</v>
      </c>
      <c r="BC95" s="13"/>
      <c r="BD95" s="13"/>
      <c r="BE95" s="13"/>
      <c r="BF95" s="13"/>
      <c r="BG95" s="13"/>
      <c r="BH95" s="13"/>
      <c r="BI95" s="13"/>
      <c r="BJ95" s="13"/>
      <c r="BK95" s="13"/>
      <c r="BL95" s="13"/>
      <c r="BM95" s="13"/>
      <c r="BN95" s="13"/>
    </row>
    <row r="96" spans="1:66" x14ac:dyDescent="0.25">
      <c r="A96" s="22">
        <v>94</v>
      </c>
      <c r="B96" s="23">
        <v>1256.1343721942594</v>
      </c>
      <c r="C96" s="24">
        <v>851.07954109257003</v>
      </c>
      <c r="AK96" s="13">
        <v>1675</v>
      </c>
      <c r="AL96" s="13">
        <v>79</v>
      </c>
      <c r="BC96" s="13"/>
      <c r="BD96" s="13"/>
      <c r="BE96" s="13"/>
      <c r="BF96" s="13"/>
      <c r="BG96" s="13"/>
      <c r="BH96" s="13"/>
      <c r="BI96" s="13"/>
      <c r="BJ96" s="13"/>
      <c r="BK96" s="13"/>
      <c r="BL96" s="13"/>
      <c r="BM96" s="13"/>
      <c r="BN96" s="13"/>
    </row>
    <row r="97" spans="1:66" x14ac:dyDescent="0.25">
      <c r="A97" s="22">
        <v>95</v>
      </c>
      <c r="B97" s="23">
        <v>1305.9292899473771</v>
      </c>
      <c r="C97" s="24">
        <v>772.894335276275</v>
      </c>
      <c r="AK97" s="13">
        <v>1675</v>
      </c>
      <c r="AL97" s="13">
        <v>57</v>
      </c>
      <c r="BC97" s="13"/>
      <c r="BD97" s="13"/>
      <c r="BE97" s="13"/>
      <c r="BF97" s="13"/>
      <c r="BG97" s="13"/>
      <c r="BH97" s="13"/>
      <c r="BI97" s="13"/>
      <c r="BJ97" s="13"/>
      <c r="BK97" s="13"/>
      <c r="BL97" s="13"/>
      <c r="BM97" s="13"/>
      <c r="BN97" s="13"/>
    </row>
    <row r="98" spans="1:66" x14ac:dyDescent="0.25">
      <c r="A98" s="22">
        <v>96</v>
      </c>
      <c r="B98" s="23">
        <v>1356.5174051721963</v>
      </c>
      <c r="C98" s="24">
        <v>791.18254792650714</v>
      </c>
      <c r="AK98" s="13">
        <v>1700</v>
      </c>
      <c r="AL98" s="13">
        <v>57</v>
      </c>
      <c r="BC98" s="13"/>
      <c r="BD98" s="13"/>
      <c r="BE98" s="13"/>
      <c r="BF98" s="13"/>
      <c r="BG98" s="13"/>
      <c r="BH98" s="13"/>
      <c r="BI98" s="13"/>
      <c r="BJ98" s="13"/>
      <c r="BK98" s="13"/>
      <c r="BL98" s="13"/>
      <c r="BM98" s="13"/>
      <c r="BN98" s="13"/>
    </row>
    <row r="99" spans="1:66" x14ac:dyDescent="0.25">
      <c r="A99" s="22">
        <v>97</v>
      </c>
      <c r="B99" s="23">
        <v>1172.4259159910687</v>
      </c>
      <c r="C99" s="24">
        <v>749.1939893184998</v>
      </c>
      <c r="AK99" s="13">
        <v>1700</v>
      </c>
      <c r="AL99" s="13">
        <v>48</v>
      </c>
      <c r="BC99" s="13"/>
      <c r="BD99" s="13"/>
      <c r="BE99" s="13"/>
      <c r="BF99" s="13"/>
      <c r="BG99" s="13"/>
      <c r="BH99" s="13"/>
      <c r="BI99" s="13"/>
      <c r="BJ99" s="13"/>
      <c r="BK99" s="13"/>
      <c r="BL99" s="13"/>
      <c r="BM99" s="13"/>
      <c r="BN99" s="13"/>
    </row>
    <row r="100" spans="1:66" x14ac:dyDescent="0.25">
      <c r="A100" s="22">
        <v>98</v>
      </c>
      <c r="B100" s="23">
        <v>1104.9078208210847</v>
      </c>
      <c r="C100" s="24">
        <v>858.60134863691428</v>
      </c>
      <c r="AK100" s="13">
        <v>1725</v>
      </c>
      <c r="AL100" s="13">
        <v>48</v>
      </c>
      <c r="BC100" s="13"/>
      <c r="BD100" s="13"/>
      <c r="BE100" s="13"/>
      <c r="BF100" s="13"/>
      <c r="BG100" s="13"/>
      <c r="BH100" s="13"/>
      <c r="BI100" s="13"/>
      <c r="BJ100" s="13"/>
      <c r="BK100" s="13"/>
      <c r="BL100" s="13"/>
      <c r="BM100" s="13"/>
      <c r="BN100" s="13"/>
    </row>
    <row r="101" spans="1:66" x14ac:dyDescent="0.25">
      <c r="A101" s="22">
        <v>99</v>
      </c>
      <c r="B101" s="23">
        <v>1573.2553834108426</v>
      </c>
      <c r="C101" s="24">
        <v>867.63377491966708</v>
      </c>
      <c r="AK101" s="13">
        <v>1725</v>
      </c>
      <c r="AL101" s="13">
        <v>28</v>
      </c>
      <c r="BC101" s="13"/>
      <c r="BD101" s="13"/>
      <c r="BE101" s="13"/>
      <c r="BF101" s="13"/>
      <c r="BG101" s="13"/>
      <c r="BH101" s="13"/>
      <c r="BI101" s="13"/>
      <c r="BJ101" s="13"/>
      <c r="BK101" s="13"/>
      <c r="BL101" s="13"/>
      <c r="BM101" s="13"/>
      <c r="BN101" s="13"/>
    </row>
    <row r="102" spans="1:66" x14ac:dyDescent="0.25">
      <c r="A102" s="22">
        <v>100</v>
      </c>
      <c r="B102" s="23">
        <v>1073.0676425309766</v>
      </c>
      <c r="C102" s="24">
        <v>960.36196792279748</v>
      </c>
      <c r="AK102" s="13">
        <v>1750</v>
      </c>
      <c r="AL102" s="13">
        <v>28</v>
      </c>
      <c r="BC102" s="13"/>
      <c r="BD102" s="13"/>
      <c r="BE102" s="13"/>
      <c r="BF102" s="13"/>
      <c r="BG102" s="13"/>
      <c r="BH102" s="13"/>
      <c r="BI102" s="13"/>
      <c r="BJ102" s="13"/>
      <c r="BK102" s="13"/>
      <c r="BL102" s="13"/>
      <c r="BM102" s="13"/>
      <c r="BN102" s="13"/>
    </row>
    <row r="103" spans="1:66" x14ac:dyDescent="0.25">
      <c r="A103" s="55" t="s">
        <v>29</v>
      </c>
      <c r="AK103" s="13">
        <v>1750</v>
      </c>
      <c r="AL103" s="13">
        <v>20</v>
      </c>
    </row>
    <row r="104" spans="1:66" x14ac:dyDescent="0.25">
      <c r="AK104" s="13">
        <v>1775</v>
      </c>
      <c r="AL104" s="13">
        <v>20</v>
      </c>
    </row>
    <row r="105" spans="1:66" x14ac:dyDescent="0.25">
      <c r="AK105" s="13">
        <v>1775</v>
      </c>
      <c r="AL105" s="13">
        <v>21</v>
      </c>
    </row>
    <row r="106" spans="1:66" x14ac:dyDescent="0.25">
      <c r="AK106" s="13">
        <v>1800</v>
      </c>
      <c r="AL106" s="13">
        <v>21</v>
      </c>
    </row>
    <row r="107" spans="1:66" x14ac:dyDescent="0.25">
      <c r="AK107" s="13">
        <v>1800</v>
      </c>
      <c r="AL107" s="13">
        <v>15</v>
      </c>
    </row>
    <row r="108" spans="1:66" x14ac:dyDescent="0.25">
      <c r="AK108" s="13">
        <v>1825</v>
      </c>
      <c r="AL108" s="13">
        <v>15</v>
      </c>
    </row>
    <row r="109" spans="1:66" x14ac:dyDescent="0.25">
      <c r="AK109" s="13">
        <v>1825</v>
      </c>
      <c r="AL109" s="13">
        <v>10</v>
      </c>
    </row>
    <row r="110" spans="1:66" x14ac:dyDescent="0.25">
      <c r="AK110" s="13">
        <v>1850</v>
      </c>
      <c r="AL110" s="13">
        <v>10</v>
      </c>
    </row>
    <row r="111" spans="1:66" x14ac:dyDescent="0.25">
      <c r="AK111" s="13">
        <v>1850</v>
      </c>
      <c r="AL111" s="13">
        <v>9</v>
      </c>
    </row>
    <row r="112" spans="1:66" x14ac:dyDescent="0.25">
      <c r="AK112" s="13">
        <v>1875</v>
      </c>
      <c r="AL112" s="13">
        <v>9</v>
      </c>
    </row>
    <row r="113" spans="37:38" x14ac:dyDescent="0.25">
      <c r="AK113" s="13">
        <v>1875</v>
      </c>
      <c r="AL113" s="13">
        <v>4</v>
      </c>
    </row>
    <row r="114" spans="37:38" x14ac:dyDescent="0.25">
      <c r="AK114" s="13">
        <v>1900</v>
      </c>
      <c r="AL114" s="13">
        <v>4</v>
      </c>
    </row>
    <row r="115" spans="37:38" x14ac:dyDescent="0.25">
      <c r="AK115" s="13">
        <v>1900</v>
      </c>
      <c r="AL115" s="13">
        <v>5</v>
      </c>
    </row>
    <row r="116" spans="37:38" x14ac:dyDescent="0.25">
      <c r="AK116" s="13">
        <v>1925</v>
      </c>
      <c r="AL116" s="13">
        <v>5</v>
      </c>
    </row>
    <row r="117" spans="37:38" x14ac:dyDescent="0.25">
      <c r="AK117" s="13">
        <v>1925</v>
      </c>
      <c r="AL117" s="13">
        <v>2</v>
      </c>
    </row>
    <row r="118" spans="37:38" x14ac:dyDescent="0.25">
      <c r="AK118" s="13">
        <v>1950</v>
      </c>
      <c r="AL118" s="13">
        <v>2</v>
      </c>
    </row>
    <row r="119" spans="37:38" x14ac:dyDescent="0.25">
      <c r="AK119" s="13">
        <v>1950</v>
      </c>
      <c r="AL119" s="13">
        <v>3</v>
      </c>
    </row>
    <row r="120" spans="37:38" x14ac:dyDescent="0.25">
      <c r="AK120" s="13">
        <v>1975</v>
      </c>
      <c r="AL120" s="13">
        <v>3</v>
      </c>
    </row>
    <row r="121" spans="37:38" x14ac:dyDescent="0.25">
      <c r="AK121" s="13">
        <v>1975</v>
      </c>
      <c r="AL121" s="13">
        <v>3</v>
      </c>
    </row>
    <row r="122" spans="37:38" x14ac:dyDescent="0.25">
      <c r="AK122" s="13">
        <v>2000</v>
      </c>
      <c r="AL122" s="13">
        <v>3</v>
      </c>
    </row>
    <row r="123" spans="37:38" x14ac:dyDescent="0.25">
      <c r="AK123" s="13">
        <v>2000</v>
      </c>
      <c r="AL123" s="13">
        <v>2</v>
      </c>
    </row>
    <row r="124" spans="37:38" x14ac:dyDescent="0.25">
      <c r="AK124" s="13">
        <v>2025</v>
      </c>
      <c r="AL124" s="13">
        <v>2</v>
      </c>
    </row>
    <row r="125" spans="37:38" x14ac:dyDescent="0.25">
      <c r="AK125" s="13">
        <v>2025</v>
      </c>
      <c r="AL125" s="13">
        <v>0</v>
      </c>
    </row>
    <row r="126" spans="37:38" x14ac:dyDescent="0.25">
      <c r="AK126" s="13">
        <v>2050</v>
      </c>
      <c r="AL126" s="13">
        <v>0</v>
      </c>
    </row>
    <row r="127" spans="37:38" x14ac:dyDescent="0.25">
      <c r="AK127" s="13">
        <v>2050</v>
      </c>
      <c r="AL127" s="13">
        <v>1</v>
      </c>
    </row>
    <row r="128" spans="37:38" x14ac:dyDescent="0.25">
      <c r="AK128" s="13">
        <v>2075</v>
      </c>
      <c r="AL128" s="13">
        <v>1</v>
      </c>
    </row>
    <row r="129" spans="37:38" x14ac:dyDescent="0.25">
      <c r="AK129" s="13">
        <v>2075</v>
      </c>
      <c r="AL129" s="13">
        <v>1</v>
      </c>
    </row>
    <row r="130" spans="37:38" x14ac:dyDescent="0.25">
      <c r="AK130" s="13">
        <v>2100</v>
      </c>
      <c r="AL130" s="13">
        <v>1</v>
      </c>
    </row>
    <row r="131" spans="37:38" x14ac:dyDescent="0.25">
      <c r="AK131" s="13">
        <v>2100</v>
      </c>
      <c r="AL131" s="13">
        <v>0</v>
      </c>
    </row>
  </sheetData>
  <dataConsolidate/>
  <mergeCells count="4">
    <mergeCell ref="F2:G2"/>
    <mergeCell ref="I4:J4"/>
    <mergeCell ref="K4:L4"/>
    <mergeCell ref="M4:N4"/>
  </mergeCells>
  <pageMargins left="0.75" right="0.75" top="1" bottom="1" header="0.5" footer="0.5"/>
  <pageSetup orientation="portrait" horizontalDpi="200" verticalDpi="200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N131"/>
  <sheetViews>
    <sheetView showGridLines="0" topLeftCell="A2" workbookViewId="0">
      <selection activeCell="O23" sqref="O22:O23"/>
    </sheetView>
  </sheetViews>
  <sheetFormatPr defaultRowHeight="15.75" x14ac:dyDescent="0.25"/>
  <cols>
    <col min="1" max="1" width="8" style="22" customWidth="1"/>
    <col min="2" max="2" width="10.625" style="11" customWidth="1"/>
    <col min="3" max="3" width="10.625" style="12" customWidth="1"/>
    <col min="4" max="4" width="7.625" style="13" customWidth="1"/>
    <col min="5" max="5" width="7.625" style="14" customWidth="1"/>
    <col min="6" max="6" width="11.625" style="15" customWidth="1"/>
    <col min="7" max="7" width="9" style="14"/>
    <col min="8" max="8" width="6.625" style="14" customWidth="1"/>
    <col min="9" max="14" width="10.125" style="14" customWidth="1"/>
    <col min="15" max="17" width="9" style="14"/>
    <col min="18" max="19" width="9" style="13"/>
    <col min="20" max="20" width="14.25" style="13" customWidth="1"/>
    <col min="21" max="22" width="11.25" style="13" customWidth="1"/>
    <col min="23" max="54" width="9" style="13"/>
    <col min="55" max="256" width="9" style="14"/>
    <col min="257" max="257" width="8" style="14" customWidth="1"/>
    <col min="258" max="259" width="10.625" style="14" customWidth="1"/>
    <col min="260" max="261" width="7.625" style="14" customWidth="1"/>
    <col min="262" max="262" width="11.625" style="14" customWidth="1"/>
    <col min="263" max="263" width="9" style="14"/>
    <col min="264" max="264" width="6.625" style="14" customWidth="1"/>
    <col min="265" max="270" width="10.125" style="14" customWidth="1"/>
    <col min="271" max="275" width="9" style="14"/>
    <col min="276" max="276" width="14.25" style="14" customWidth="1"/>
    <col min="277" max="278" width="11.25" style="14" customWidth="1"/>
    <col min="279" max="512" width="9" style="14"/>
    <col min="513" max="513" width="8" style="14" customWidth="1"/>
    <col min="514" max="515" width="10.625" style="14" customWidth="1"/>
    <col min="516" max="517" width="7.625" style="14" customWidth="1"/>
    <col min="518" max="518" width="11.625" style="14" customWidth="1"/>
    <col min="519" max="519" width="9" style="14"/>
    <col min="520" max="520" width="6.625" style="14" customWidth="1"/>
    <col min="521" max="526" width="10.125" style="14" customWidth="1"/>
    <col min="527" max="531" width="9" style="14"/>
    <col min="532" max="532" width="14.25" style="14" customWidth="1"/>
    <col min="533" max="534" width="11.25" style="14" customWidth="1"/>
    <col min="535" max="768" width="9" style="14"/>
    <col min="769" max="769" width="8" style="14" customWidth="1"/>
    <col min="770" max="771" width="10.625" style="14" customWidth="1"/>
    <col min="772" max="773" width="7.625" style="14" customWidth="1"/>
    <col min="774" max="774" width="11.625" style="14" customWidth="1"/>
    <col min="775" max="775" width="9" style="14"/>
    <col min="776" max="776" width="6.625" style="14" customWidth="1"/>
    <col min="777" max="782" width="10.125" style="14" customWidth="1"/>
    <col min="783" max="787" width="9" style="14"/>
    <col min="788" max="788" width="14.25" style="14" customWidth="1"/>
    <col min="789" max="790" width="11.25" style="14" customWidth="1"/>
    <col min="791" max="1024" width="9" style="14"/>
    <col min="1025" max="1025" width="8" style="14" customWidth="1"/>
    <col min="1026" max="1027" width="10.625" style="14" customWidth="1"/>
    <col min="1028" max="1029" width="7.625" style="14" customWidth="1"/>
    <col min="1030" max="1030" width="11.625" style="14" customWidth="1"/>
    <col min="1031" max="1031" width="9" style="14"/>
    <col min="1032" max="1032" width="6.625" style="14" customWidth="1"/>
    <col min="1033" max="1038" width="10.125" style="14" customWidth="1"/>
    <col min="1039" max="1043" width="9" style="14"/>
    <col min="1044" max="1044" width="14.25" style="14" customWidth="1"/>
    <col min="1045" max="1046" width="11.25" style="14" customWidth="1"/>
    <col min="1047" max="1280" width="9" style="14"/>
    <col min="1281" max="1281" width="8" style="14" customWidth="1"/>
    <col min="1282" max="1283" width="10.625" style="14" customWidth="1"/>
    <col min="1284" max="1285" width="7.625" style="14" customWidth="1"/>
    <col min="1286" max="1286" width="11.625" style="14" customWidth="1"/>
    <col min="1287" max="1287" width="9" style="14"/>
    <col min="1288" max="1288" width="6.625" style="14" customWidth="1"/>
    <col min="1289" max="1294" width="10.125" style="14" customWidth="1"/>
    <col min="1295" max="1299" width="9" style="14"/>
    <col min="1300" max="1300" width="14.25" style="14" customWidth="1"/>
    <col min="1301" max="1302" width="11.25" style="14" customWidth="1"/>
    <col min="1303" max="1536" width="9" style="14"/>
    <col min="1537" max="1537" width="8" style="14" customWidth="1"/>
    <col min="1538" max="1539" width="10.625" style="14" customWidth="1"/>
    <col min="1540" max="1541" width="7.625" style="14" customWidth="1"/>
    <col min="1542" max="1542" width="11.625" style="14" customWidth="1"/>
    <col min="1543" max="1543" width="9" style="14"/>
    <col min="1544" max="1544" width="6.625" style="14" customWidth="1"/>
    <col min="1545" max="1550" width="10.125" style="14" customWidth="1"/>
    <col min="1551" max="1555" width="9" style="14"/>
    <col min="1556" max="1556" width="14.25" style="14" customWidth="1"/>
    <col min="1557" max="1558" width="11.25" style="14" customWidth="1"/>
    <col min="1559" max="1792" width="9" style="14"/>
    <col min="1793" max="1793" width="8" style="14" customWidth="1"/>
    <col min="1794" max="1795" width="10.625" style="14" customWidth="1"/>
    <col min="1796" max="1797" width="7.625" style="14" customWidth="1"/>
    <col min="1798" max="1798" width="11.625" style="14" customWidth="1"/>
    <col min="1799" max="1799" width="9" style="14"/>
    <col min="1800" max="1800" width="6.625" style="14" customWidth="1"/>
    <col min="1801" max="1806" width="10.125" style="14" customWidth="1"/>
    <col min="1807" max="1811" width="9" style="14"/>
    <col min="1812" max="1812" width="14.25" style="14" customWidth="1"/>
    <col min="1813" max="1814" width="11.25" style="14" customWidth="1"/>
    <col min="1815" max="2048" width="9" style="14"/>
    <col min="2049" max="2049" width="8" style="14" customWidth="1"/>
    <col min="2050" max="2051" width="10.625" style="14" customWidth="1"/>
    <col min="2052" max="2053" width="7.625" style="14" customWidth="1"/>
    <col min="2054" max="2054" width="11.625" style="14" customWidth="1"/>
    <col min="2055" max="2055" width="9" style="14"/>
    <col min="2056" max="2056" width="6.625" style="14" customWidth="1"/>
    <col min="2057" max="2062" width="10.125" style="14" customWidth="1"/>
    <col min="2063" max="2067" width="9" style="14"/>
    <col min="2068" max="2068" width="14.25" style="14" customWidth="1"/>
    <col min="2069" max="2070" width="11.25" style="14" customWidth="1"/>
    <col min="2071" max="2304" width="9" style="14"/>
    <col min="2305" max="2305" width="8" style="14" customWidth="1"/>
    <col min="2306" max="2307" width="10.625" style="14" customWidth="1"/>
    <col min="2308" max="2309" width="7.625" style="14" customWidth="1"/>
    <col min="2310" max="2310" width="11.625" style="14" customWidth="1"/>
    <col min="2311" max="2311" width="9" style="14"/>
    <col min="2312" max="2312" width="6.625" style="14" customWidth="1"/>
    <col min="2313" max="2318" width="10.125" style="14" customWidth="1"/>
    <col min="2319" max="2323" width="9" style="14"/>
    <col min="2324" max="2324" width="14.25" style="14" customWidth="1"/>
    <col min="2325" max="2326" width="11.25" style="14" customWidth="1"/>
    <col min="2327" max="2560" width="9" style="14"/>
    <col min="2561" max="2561" width="8" style="14" customWidth="1"/>
    <col min="2562" max="2563" width="10.625" style="14" customWidth="1"/>
    <col min="2564" max="2565" width="7.625" style="14" customWidth="1"/>
    <col min="2566" max="2566" width="11.625" style="14" customWidth="1"/>
    <col min="2567" max="2567" width="9" style="14"/>
    <col min="2568" max="2568" width="6.625" style="14" customWidth="1"/>
    <col min="2569" max="2574" width="10.125" style="14" customWidth="1"/>
    <col min="2575" max="2579" width="9" style="14"/>
    <col min="2580" max="2580" width="14.25" style="14" customWidth="1"/>
    <col min="2581" max="2582" width="11.25" style="14" customWidth="1"/>
    <col min="2583" max="2816" width="9" style="14"/>
    <col min="2817" max="2817" width="8" style="14" customWidth="1"/>
    <col min="2818" max="2819" width="10.625" style="14" customWidth="1"/>
    <col min="2820" max="2821" width="7.625" style="14" customWidth="1"/>
    <col min="2822" max="2822" width="11.625" style="14" customWidth="1"/>
    <col min="2823" max="2823" width="9" style="14"/>
    <col min="2824" max="2824" width="6.625" style="14" customWidth="1"/>
    <col min="2825" max="2830" width="10.125" style="14" customWidth="1"/>
    <col min="2831" max="2835" width="9" style="14"/>
    <col min="2836" max="2836" width="14.25" style="14" customWidth="1"/>
    <col min="2837" max="2838" width="11.25" style="14" customWidth="1"/>
    <col min="2839" max="3072" width="9" style="14"/>
    <col min="3073" max="3073" width="8" style="14" customWidth="1"/>
    <col min="3074" max="3075" width="10.625" style="14" customWidth="1"/>
    <col min="3076" max="3077" width="7.625" style="14" customWidth="1"/>
    <col min="3078" max="3078" width="11.625" style="14" customWidth="1"/>
    <col min="3079" max="3079" width="9" style="14"/>
    <col min="3080" max="3080" width="6.625" style="14" customWidth="1"/>
    <col min="3081" max="3086" width="10.125" style="14" customWidth="1"/>
    <col min="3087" max="3091" width="9" style="14"/>
    <col min="3092" max="3092" width="14.25" style="14" customWidth="1"/>
    <col min="3093" max="3094" width="11.25" style="14" customWidth="1"/>
    <col min="3095" max="3328" width="9" style="14"/>
    <col min="3329" max="3329" width="8" style="14" customWidth="1"/>
    <col min="3330" max="3331" width="10.625" style="14" customWidth="1"/>
    <col min="3332" max="3333" width="7.625" style="14" customWidth="1"/>
    <col min="3334" max="3334" width="11.625" style="14" customWidth="1"/>
    <col min="3335" max="3335" width="9" style="14"/>
    <col min="3336" max="3336" width="6.625" style="14" customWidth="1"/>
    <col min="3337" max="3342" width="10.125" style="14" customWidth="1"/>
    <col min="3343" max="3347" width="9" style="14"/>
    <col min="3348" max="3348" width="14.25" style="14" customWidth="1"/>
    <col min="3349" max="3350" width="11.25" style="14" customWidth="1"/>
    <col min="3351" max="3584" width="9" style="14"/>
    <col min="3585" max="3585" width="8" style="14" customWidth="1"/>
    <col min="3586" max="3587" width="10.625" style="14" customWidth="1"/>
    <col min="3588" max="3589" width="7.625" style="14" customWidth="1"/>
    <col min="3590" max="3590" width="11.625" style="14" customWidth="1"/>
    <col min="3591" max="3591" width="9" style="14"/>
    <col min="3592" max="3592" width="6.625" style="14" customWidth="1"/>
    <col min="3593" max="3598" width="10.125" style="14" customWidth="1"/>
    <col min="3599" max="3603" width="9" style="14"/>
    <col min="3604" max="3604" width="14.25" style="14" customWidth="1"/>
    <col min="3605" max="3606" width="11.25" style="14" customWidth="1"/>
    <col min="3607" max="3840" width="9" style="14"/>
    <col min="3841" max="3841" width="8" style="14" customWidth="1"/>
    <col min="3842" max="3843" width="10.625" style="14" customWidth="1"/>
    <col min="3844" max="3845" width="7.625" style="14" customWidth="1"/>
    <col min="3846" max="3846" width="11.625" style="14" customWidth="1"/>
    <col min="3847" max="3847" width="9" style="14"/>
    <col min="3848" max="3848" width="6.625" style="14" customWidth="1"/>
    <col min="3849" max="3854" width="10.125" style="14" customWidth="1"/>
    <col min="3855" max="3859" width="9" style="14"/>
    <col min="3860" max="3860" width="14.25" style="14" customWidth="1"/>
    <col min="3861" max="3862" width="11.25" style="14" customWidth="1"/>
    <col min="3863" max="4096" width="9" style="14"/>
    <col min="4097" max="4097" width="8" style="14" customWidth="1"/>
    <col min="4098" max="4099" width="10.625" style="14" customWidth="1"/>
    <col min="4100" max="4101" width="7.625" style="14" customWidth="1"/>
    <col min="4102" max="4102" width="11.625" style="14" customWidth="1"/>
    <col min="4103" max="4103" width="9" style="14"/>
    <col min="4104" max="4104" width="6.625" style="14" customWidth="1"/>
    <col min="4105" max="4110" width="10.125" style="14" customWidth="1"/>
    <col min="4111" max="4115" width="9" style="14"/>
    <col min="4116" max="4116" width="14.25" style="14" customWidth="1"/>
    <col min="4117" max="4118" width="11.25" style="14" customWidth="1"/>
    <col min="4119" max="4352" width="9" style="14"/>
    <col min="4353" max="4353" width="8" style="14" customWidth="1"/>
    <col min="4354" max="4355" width="10.625" style="14" customWidth="1"/>
    <col min="4356" max="4357" width="7.625" style="14" customWidth="1"/>
    <col min="4358" max="4358" width="11.625" style="14" customWidth="1"/>
    <col min="4359" max="4359" width="9" style="14"/>
    <col min="4360" max="4360" width="6.625" style="14" customWidth="1"/>
    <col min="4361" max="4366" width="10.125" style="14" customWidth="1"/>
    <col min="4367" max="4371" width="9" style="14"/>
    <col min="4372" max="4372" width="14.25" style="14" customWidth="1"/>
    <col min="4373" max="4374" width="11.25" style="14" customWidth="1"/>
    <col min="4375" max="4608" width="9" style="14"/>
    <col min="4609" max="4609" width="8" style="14" customWidth="1"/>
    <col min="4610" max="4611" width="10.625" style="14" customWidth="1"/>
    <col min="4612" max="4613" width="7.625" style="14" customWidth="1"/>
    <col min="4614" max="4614" width="11.625" style="14" customWidth="1"/>
    <col min="4615" max="4615" width="9" style="14"/>
    <col min="4616" max="4616" width="6.625" style="14" customWidth="1"/>
    <col min="4617" max="4622" width="10.125" style="14" customWidth="1"/>
    <col min="4623" max="4627" width="9" style="14"/>
    <col min="4628" max="4628" width="14.25" style="14" customWidth="1"/>
    <col min="4629" max="4630" width="11.25" style="14" customWidth="1"/>
    <col min="4631" max="4864" width="9" style="14"/>
    <col min="4865" max="4865" width="8" style="14" customWidth="1"/>
    <col min="4866" max="4867" width="10.625" style="14" customWidth="1"/>
    <col min="4868" max="4869" width="7.625" style="14" customWidth="1"/>
    <col min="4870" max="4870" width="11.625" style="14" customWidth="1"/>
    <col min="4871" max="4871" width="9" style="14"/>
    <col min="4872" max="4872" width="6.625" style="14" customWidth="1"/>
    <col min="4873" max="4878" width="10.125" style="14" customWidth="1"/>
    <col min="4879" max="4883" width="9" style="14"/>
    <col min="4884" max="4884" width="14.25" style="14" customWidth="1"/>
    <col min="4885" max="4886" width="11.25" style="14" customWidth="1"/>
    <col min="4887" max="5120" width="9" style="14"/>
    <col min="5121" max="5121" width="8" style="14" customWidth="1"/>
    <col min="5122" max="5123" width="10.625" style="14" customWidth="1"/>
    <col min="5124" max="5125" width="7.625" style="14" customWidth="1"/>
    <col min="5126" max="5126" width="11.625" style="14" customWidth="1"/>
    <col min="5127" max="5127" width="9" style="14"/>
    <col min="5128" max="5128" width="6.625" style="14" customWidth="1"/>
    <col min="5129" max="5134" width="10.125" style="14" customWidth="1"/>
    <col min="5135" max="5139" width="9" style="14"/>
    <col min="5140" max="5140" width="14.25" style="14" customWidth="1"/>
    <col min="5141" max="5142" width="11.25" style="14" customWidth="1"/>
    <col min="5143" max="5376" width="9" style="14"/>
    <col min="5377" max="5377" width="8" style="14" customWidth="1"/>
    <col min="5378" max="5379" width="10.625" style="14" customWidth="1"/>
    <col min="5380" max="5381" width="7.625" style="14" customWidth="1"/>
    <col min="5382" max="5382" width="11.625" style="14" customWidth="1"/>
    <col min="5383" max="5383" width="9" style="14"/>
    <col min="5384" max="5384" width="6.625" style="14" customWidth="1"/>
    <col min="5385" max="5390" width="10.125" style="14" customWidth="1"/>
    <col min="5391" max="5395" width="9" style="14"/>
    <col min="5396" max="5396" width="14.25" style="14" customWidth="1"/>
    <col min="5397" max="5398" width="11.25" style="14" customWidth="1"/>
    <col min="5399" max="5632" width="9" style="14"/>
    <col min="5633" max="5633" width="8" style="14" customWidth="1"/>
    <col min="5634" max="5635" width="10.625" style="14" customWidth="1"/>
    <col min="5636" max="5637" width="7.625" style="14" customWidth="1"/>
    <col min="5638" max="5638" width="11.625" style="14" customWidth="1"/>
    <col min="5639" max="5639" width="9" style="14"/>
    <col min="5640" max="5640" width="6.625" style="14" customWidth="1"/>
    <col min="5641" max="5646" width="10.125" style="14" customWidth="1"/>
    <col min="5647" max="5651" width="9" style="14"/>
    <col min="5652" max="5652" width="14.25" style="14" customWidth="1"/>
    <col min="5653" max="5654" width="11.25" style="14" customWidth="1"/>
    <col min="5655" max="5888" width="9" style="14"/>
    <col min="5889" max="5889" width="8" style="14" customWidth="1"/>
    <col min="5890" max="5891" width="10.625" style="14" customWidth="1"/>
    <col min="5892" max="5893" width="7.625" style="14" customWidth="1"/>
    <col min="5894" max="5894" width="11.625" style="14" customWidth="1"/>
    <col min="5895" max="5895" width="9" style="14"/>
    <col min="5896" max="5896" width="6.625" style="14" customWidth="1"/>
    <col min="5897" max="5902" width="10.125" style="14" customWidth="1"/>
    <col min="5903" max="5907" width="9" style="14"/>
    <col min="5908" max="5908" width="14.25" style="14" customWidth="1"/>
    <col min="5909" max="5910" width="11.25" style="14" customWidth="1"/>
    <col min="5911" max="6144" width="9" style="14"/>
    <col min="6145" max="6145" width="8" style="14" customWidth="1"/>
    <col min="6146" max="6147" width="10.625" style="14" customWidth="1"/>
    <col min="6148" max="6149" width="7.625" style="14" customWidth="1"/>
    <col min="6150" max="6150" width="11.625" style="14" customWidth="1"/>
    <col min="6151" max="6151" width="9" style="14"/>
    <col min="6152" max="6152" width="6.625" style="14" customWidth="1"/>
    <col min="6153" max="6158" width="10.125" style="14" customWidth="1"/>
    <col min="6159" max="6163" width="9" style="14"/>
    <col min="6164" max="6164" width="14.25" style="14" customWidth="1"/>
    <col min="6165" max="6166" width="11.25" style="14" customWidth="1"/>
    <col min="6167" max="6400" width="9" style="14"/>
    <col min="6401" max="6401" width="8" style="14" customWidth="1"/>
    <col min="6402" max="6403" width="10.625" style="14" customWidth="1"/>
    <col min="6404" max="6405" width="7.625" style="14" customWidth="1"/>
    <col min="6406" max="6406" width="11.625" style="14" customWidth="1"/>
    <col min="6407" max="6407" width="9" style="14"/>
    <col min="6408" max="6408" width="6.625" style="14" customWidth="1"/>
    <col min="6409" max="6414" width="10.125" style="14" customWidth="1"/>
    <col min="6415" max="6419" width="9" style="14"/>
    <col min="6420" max="6420" width="14.25" style="14" customWidth="1"/>
    <col min="6421" max="6422" width="11.25" style="14" customWidth="1"/>
    <col min="6423" max="6656" width="9" style="14"/>
    <col min="6657" max="6657" width="8" style="14" customWidth="1"/>
    <col min="6658" max="6659" width="10.625" style="14" customWidth="1"/>
    <col min="6660" max="6661" width="7.625" style="14" customWidth="1"/>
    <col min="6662" max="6662" width="11.625" style="14" customWidth="1"/>
    <col min="6663" max="6663" width="9" style="14"/>
    <col min="6664" max="6664" width="6.625" style="14" customWidth="1"/>
    <col min="6665" max="6670" width="10.125" style="14" customWidth="1"/>
    <col min="6671" max="6675" width="9" style="14"/>
    <col min="6676" max="6676" width="14.25" style="14" customWidth="1"/>
    <col min="6677" max="6678" width="11.25" style="14" customWidth="1"/>
    <col min="6679" max="6912" width="9" style="14"/>
    <col min="6913" max="6913" width="8" style="14" customWidth="1"/>
    <col min="6914" max="6915" width="10.625" style="14" customWidth="1"/>
    <col min="6916" max="6917" width="7.625" style="14" customWidth="1"/>
    <col min="6918" max="6918" width="11.625" style="14" customWidth="1"/>
    <col min="6919" max="6919" width="9" style="14"/>
    <col min="6920" max="6920" width="6.625" style="14" customWidth="1"/>
    <col min="6921" max="6926" width="10.125" style="14" customWidth="1"/>
    <col min="6927" max="6931" width="9" style="14"/>
    <col min="6932" max="6932" width="14.25" style="14" customWidth="1"/>
    <col min="6933" max="6934" width="11.25" style="14" customWidth="1"/>
    <col min="6935" max="7168" width="9" style="14"/>
    <col min="7169" max="7169" width="8" style="14" customWidth="1"/>
    <col min="7170" max="7171" width="10.625" style="14" customWidth="1"/>
    <col min="7172" max="7173" width="7.625" style="14" customWidth="1"/>
    <col min="7174" max="7174" width="11.625" style="14" customWidth="1"/>
    <col min="7175" max="7175" width="9" style="14"/>
    <col min="7176" max="7176" width="6.625" style="14" customWidth="1"/>
    <col min="7177" max="7182" width="10.125" style="14" customWidth="1"/>
    <col min="7183" max="7187" width="9" style="14"/>
    <col min="7188" max="7188" width="14.25" style="14" customWidth="1"/>
    <col min="7189" max="7190" width="11.25" style="14" customWidth="1"/>
    <col min="7191" max="7424" width="9" style="14"/>
    <col min="7425" max="7425" width="8" style="14" customWidth="1"/>
    <col min="7426" max="7427" width="10.625" style="14" customWidth="1"/>
    <col min="7428" max="7429" width="7.625" style="14" customWidth="1"/>
    <col min="7430" max="7430" width="11.625" style="14" customWidth="1"/>
    <col min="7431" max="7431" width="9" style="14"/>
    <col min="7432" max="7432" width="6.625" style="14" customWidth="1"/>
    <col min="7433" max="7438" width="10.125" style="14" customWidth="1"/>
    <col min="7439" max="7443" width="9" style="14"/>
    <col min="7444" max="7444" width="14.25" style="14" customWidth="1"/>
    <col min="7445" max="7446" width="11.25" style="14" customWidth="1"/>
    <col min="7447" max="7680" width="9" style="14"/>
    <col min="7681" max="7681" width="8" style="14" customWidth="1"/>
    <col min="7682" max="7683" width="10.625" style="14" customWidth="1"/>
    <col min="7684" max="7685" width="7.625" style="14" customWidth="1"/>
    <col min="7686" max="7686" width="11.625" style="14" customWidth="1"/>
    <col min="7687" max="7687" width="9" style="14"/>
    <col min="7688" max="7688" width="6.625" style="14" customWidth="1"/>
    <col min="7689" max="7694" width="10.125" style="14" customWidth="1"/>
    <col min="7695" max="7699" width="9" style="14"/>
    <col min="7700" max="7700" width="14.25" style="14" customWidth="1"/>
    <col min="7701" max="7702" width="11.25" style="14" customWidth="1"/>
    <col min="7703" max="7936" width="9" style="14"/>
    <col min="7937" max="7937" width="8" style="14" customWidth="1"/>
    <col min="7938" max="7939" width="10.625" style="14" customWidth="1"/>
    <col min="7940" max="7941" width="7.625" style="14" customWidth="1"/>
    <col min="7942" max="7942" width="11.625" style="14" customWidth="1"/>
    <col min="7943" max="7943" width="9" style="14"/>
    <col min="7944" max="7944" width="6.625" style="14" customWidth="1"/>
    <col min="7945" max="7950" width="10.125" style="14" customWidth="1"/>
    <col min="7951" max="7955" width="9" style="14"/>
    <col min="7956" max="7956" width="14.25" style="14" customWidth="1"/>
    <col min="7957" max="7958" width="11.25" style="14" customWidth="1"/>
    <col min="7959" max="8192" width="9" style="14"/>
    <col min="8193" max="8193" width="8" style="14" customWidth="1"/>
    <col min="8194" max="8195" width="10.625" style="14" customWidth="1"/>
    <col min="8196" max="8197" width="7.625" style="14" customWidth="1"/>
    <col min="8198" max="8198" width="11.625" style="14" customWidth="1"/>
    <col min="8199" max="8199" width="9" style="14"/>
    <col min="8200" max="8200" width="6.625" style="14" customWidth="1"/>
    <col min="8201" max="8206" width="10.125" style="14" customWidth="1"/>
    <col min="8207" max="8211" width="9" style="14"/>
    <col min="8212" max="8212" width="14.25" style="14" customWidth="1"/>
    <col min="8213" max="8214" width="11.25" style="14" customWidth="1"/>
    <col min="8215" max="8448" width="9" style="14"/>
    <col min="8449" max="8449" width="8" style="14" customWidth="1"/>
    <col min="8450" max="8451" width="10.625" style="14" customWidth="1"/>
    <col min="8452" max="8453" width="7.625" style="14" customWidth="1"/>
    <col min="8454" max="8454" width="11.625" style="14" customWidth="1"/>
    <col min="8455" max="8455" width="9" style="14"/>
    <col min="8456" max="8456" width="6.625" style="14" customWidth="1"/>
    <col min="8457" max="8462" width="10.125" style="14" customWidth="1"/>
    <col min="8463" max="8467" width="9" style="14"/>
    <col min="8468" max="8468" width="14.25" style="14" customWidth="1"/>
    <col min="8469" max="8470" width="11.25" style="14" customWidth="1"/>
    <col min="8471" max="8704" width="9" style="14"/>
    <col min="8705" max="8705" width="8" style="14" customWidth="1"/>
    <col min="8706" max="8707" width="10.625" style="14" customWidth="1"/>
    <col min="8708" max="8709" width="7.625" style="14" customWidth="1"/>
    <col min="8710" max="8710" width="11.625" style="14" customWidth="1"/>
    <col min="8711" max="8711" width="9" style="14"/>
    <col min="8712" max="8712" width="6.625" style="14" customWidth="1"/>
    <col min="8713" max="8718" width="10.125" style="14" customWidth="1"/>
    <col min="8719" max="8723" width="9" style="14"/>
    <col min="8724" max="8724" width="14.25" style="14" customWidth="1"/>
    <col min="8725" max="8726" width="11.25" style="14" customWidth="1"/>
    <col min="8727" max="8960" width="9" style="14"/>
    <col min="8961" max="8961" width="8" style="14" customWidth="1"/>
    <col min="8962" max="8963" width="10.625" style="14" customWidth="1"/>
    <col min="8964" max="8965" width="7.625" style="14" customWidth="1"/>
    <col min="8966" max="8966" width="11.625" style="14" customWidth="1"/>
    <col min="8967" max="8967" width="9" style="14"/>
    <col min="8968" max="8968" width="6.625" style="14" customWidth="1"/>
    <col min="8969" max="8974" width="10.125" style="14" customWidth="1"/>
    <col min="8975" max="8979" width="9" style="14"/>
    <col min="8980" max="8980" width="14.25" style="14" customWidth="1"/>
    <col min="8981" max="8982" width="11.25" style="14" customWidth="1"/>
    <col min="8983" max="9216" width="9" style="14"/>
    <col min="9217" max="9217" width="8" style="14" customWidth="1"/>
    <col min="9218" max="9219" width="10.625" style="14" customWidth="1"/>
    <col min="9220" max="9221" width="7.625" style="14" customWidth="1"/>
    <col min="9222" max="9222" width="11.625" style="14" customWidth="1"/>
    <col min="9223" max="9223" width="9" style="14"/>
    <col min="9224" max="9224" width="6.625" style="14" customWidth="1"/>
    <col min="9225" max="9230" width="10.125" style="14" customWidth="1"/>
    <col min="9231" max="9235" width="9" style="14"/>
    <col min="9236" max="9236" width="14.25" style="14" customWidth="1"/>
    <col min="9237" max="9238" width="11.25" style="14" customWidth="1"/>
    <col min="9239" max="9472" width="9" style="14"/>
    <col min="9473" max="9473" width="8" style="14" customWidth="1"/>
    <col min="9474" max="9475" width="10.625" style="14" customWidth="1"/>
    <col min="9476" max="9477" width="7.625" style="14" customWidth="1"/>
    <col min="9478" max="9478" width="11.625" style="14" customWidth="1"/>
    <col min="9479" max="9479" width="9" style="14"/>
    <col min="9480" max="9480" width="6.625" style="14" customWidth="1"/>
    <col min="9481" max="9486" width="10.125" style="14" customWidth="1"/>
    <col min="9487" max="9491" width="9" style="14"/>
    <col min="9492" max="9492" width="14.25" style="14" customWidth="1"/>
    <col min="9493" max="9494" width="11.25" style="14" customWidth="1"/>
    <col min="9495" max="9728" width="9" style="14"/>
    <col min="9729" max="9729" width="8" style="14" customWidth="1"/>
    <col min="9730" max="9731" width="10.625" style="14" customWidth="1"/>
    <col min="9732" max="9733" width="7.625" style="14" customWidth="1"/>
    <col min="9734" max="9734" width="11.625" style="14" customWidth="1"/>
    <col min="9735" max="9735" width="9" style="14"/>
    <col min="9736" max="9736" width="6.625" style="14" customWidth="1"/>
    <col min="9737" max="9742" width="10.125" style="14" customWidth="1"/>
    <col min="9743" max="9747" width="9" style="14"/>
    <col min="9748" max="9748" width="14.25" style="14" customWidth="1"/>
    <col min="9749" max="9750" width="11.25" style="14" customWidth="1"/>
    <col min="9751" max="9984" width="9" style="14"/>
    <col min="9985" max="9985" width="8" style="14" customWidth="1"/>
    <col min="9986" max="9987" width="10.625" style="14" customWidth="1"/>
    <col min="9988" max="9989" width="7.625" style="14" customWidth="1"/>
    <col min="9990" max="9990" width="11.625" style="14" customWidth="1"/>
    <col min="9991" max="9991" width="9" style="14"/>
    <col min="9992" max="9992" width="6.625" style="14" customWidth="1"/>
    <col min="9993" max="9998" width="10.125" style="14" customWidth="1"/>
    <col min="9999" max="10003" width="9" style="14"/>
    <col min="10004" max="10004" width="14.25" style="14" customWidth="1"/>
    <col min="10005" max="10006" width="11.25" style="14" customWidth="1"/>
    <col min="10007" max="10240" width="9" style="14"/>
    <col min="10241" max="10241" width="8" style="14" customWidth="1"/>
    <col min="10242" max="10243" width="10.625" style="14" customWidth="1"/>
    <col min="10244" max="10245" width="7.625" style="14" customWidth="1"/>
    <col min="10246" max="10246" width="11.625" style="14" customWidth="1"/>
    <col min="10247" max="10247" width="9" style="14"/>
    <col min="10248" max="10248" width="6.625" style="14" customWidth="1"/>
    <col min="10249" max="10254" width="10.125" style="14" customWidth="1"/>
    <col min="10255" max="10259" width="9" style="14"/>
    <col min="10260" max="10260" width="14.25" style="14" customWidth="1"/>
    <col min="10261" max="10262" width="11.25" style="14" customWidth="1"/>
    <col min="10263" max="10496" width="9" style="14"/>
    <col min="10497" max="10497" width="8" style="14" customWidth="1"/>
    <col min="10498" max="10499" width="10.625" style="14" customWidth="1"/>
    <col min="10500" max="10501" width="7.625" style="14" customWidth="1"/>
    <col min="10502" max="10502" width="11.625" style="14" customWidth="1"/>
    <col min="10503" max="10503" width="9" style="14"/>
    <col min="10504" max="10504" width="6.625" style="14" customWidth="1"/>
    <col min="10505" max="10510" width="10.125" style="14" customWidth="1"/>
    <col min="10511" max="10515" width="9" style="14"/>
    <col min="10516" max="10516" width="14.25" style="14" customWidth="1"/>
    <col min="10517" max="10518" width="11.25" style="14" customWidth="1"/>
    <col min="10519" max="10752" width="9" style="14"/>
    <col min="10753" max="10753" width="8" style="14" customWidth="1"/>
    <col min="10754" max="10755" width="10.625" style="14" customWidth="1"/>
    <col min="10756" max="10757" width="7.625" style="14" customWidth="1"/>
    <col min="10758" max="10758" width="11.625" style="14" customWidth="1"/>
    <col min="10759" max="10759" width="9" style="14"/>
    <col min="10760" max="10760" width="6.625" style="14" customWidth="1"/>
    <col min="10761" max="10766" width="10.125" style="14" customWidth="1"/>
    <col min="10767" max="10771" width="9" style="14"/>
    <col min="10772" max="10772" width="14.25" style="14" customWidth="1"/>
    <col min="10773" max="10774" width="11.25" style="14" customWidth="1"/>
    <col min="10775" max="11008" width="9" style="14"/>
    <col min="11009" max="11009" width="8" style="14" customWidth="1"/>
    <col min="11010" max="11011" width="10.625" style="14" customWidth="1"/>
    <col min="11012" max="11013" width="7.625" style="14" customWidth="1"/>
    <col min="11014" max="11014" width="11.625" style="14" customWidth="1"/>
    <col min="11015" max="11015" width="9" style="14"/>
    <col min="11016" max="11016" width="6.625" style="14" customWidth="1"/>
    <col min="11017" max="11022" width="10.125" style="14" customWidth="1"/>
    <col min="11023" max="11027" width="9" style="14"/>
    <col min="11028" max="11028" width="14.25" style="14" customWidth="1"/>
    <col min="11029" max="11030" width="11.25" style="14" customWidth="1"/>
    <col min="11031" max="11264" width="9" style="14"/>
    <col min="11265" max="11265" width="8" style="14" customWidth="1"/>
    <col min="11266" max="11267" width="10.625" style="14" customWidth="1"/>
    <col min="11268" max="11269" width="7.625" style="14" customWidth="1"/>
    <col min="11270" max="11270" width="11.625" style="14" customWidth="1"/>
    <col min="11271" max="11271" width="9" style="14"/>
    <col min="11272" max="11272" width="6.625" style="14" customWidth="1"/>
    <col min="11273" max="11278" width="10.125" style="14" customWidth="1"/>
    <col min="11279" max="11283" width="9" style="14"/>
    <col min="11284" max="11284" width="14.25" style="14" customWidth="1"/>
    <col min="11285" max="11286" width="11.25" style="14" customWidth="1"/>
    <col min="11287" max="11520" width="9" style="14"/>
    <col min="11521" max="11521" width="8" style="14" customWidth="1"/>
    <col min="11522" max="11523" width="10.625" style="14" customWidth="1"/>
    <col min="11524" max="11525" width="7.625" style="14" customWidth="1"/>
    <col min="11526" max="11526" width="11.625" style="14" customWidth="1"/>
    <col min="11527" max="11527" width="9" style="14"/>
    <col min="11528" max="11528" width="6.625" style="14" customWidth="1"/>
    <col min="11529" max="11534" width="10.125" style="14" customWidth="1"/>
    <col min="11535" max="11539" width="9" style="14"/>
    <col min="11540" max="11540" width="14.25" style="14" customWidth="1"/>
    <col min="11541" max="11542" width="11.25" style="14" customWidth="1"/>
    <col min="11543" max="11776" width="9" style="14"/>
    <col min="11777" max="11777" width="8" style="14" customWidth="1"/>
    <col min="11778" max="11779" width="10.625" style="14" customWidth="1"/>
    <col min="11780" max="11781" width="7.625" style="14" customWidth="1"/>
    <col min="11782" max="11782" width="11.625" style="14" customWidth="1"/>
    <col min="11783" max="11783" width="9" style="14"/>
    <col min="11784" max="11784" width="6.625" style="14" customWidth="1"/>
    <col min="11785" max="11790" width="10.125" style="14" customWidth="1"/>
    <col min="11791" max="11795" width="9" style="14"/>
    <col min="11796" max="11796" width="14.25" style="14" customWidth="1"/>
    <col min="11797" max="11798" width="11.25" style="14" customWidth="1"/>
    <col min="11799" max="12032" width="9" style="14"/>
    <col min="12033" max="12033" width="8" style="14" customWidth="1"/>
    <col min="12034" max="12035" width="10.625" style="14" customWidth="1"/>
    <col min="12036" max="12037" width="7.625" style="14" customWidth="1"/>
    <col min="12038" max="12038" width="11.625" style="14" customWidth="1"/>
    <col min="12039" max="12039" width="9" style="14"/>
    <col min="12040" max="12040" width="6.625" style="14" customWidth="1"/>
    <col min="12041" max="12046" width="10.125" style="14" customWidth="1"/>
    <col min="12047" max="12051" width="9" style="14"/>
    <col min="12052" max="12052" width="14.25" style="14" customWidth="1"/>
    <col min="12053" max="12054" width="11.25" style="14" customWidth="1"/>
    <col min="12055" max="12288" width="9" style="14"/>
    <col min="12289" max="12289" width="8" style="14" customWidth="1"/>
    <col min="12290" max="12291" width="10.625" style="14" customWidth="1"/>
    <col min="12292" max="12293" width="7.625" style="14" customWidth="1"/>
    <col min="12294" max="12294" width="11.625" style="14" customWidth="1"/>
    <col min="12295" max="12295" width="9" style="14"/>
    <col min="12296" max="12296" width="6.625" style="14" customWidth="1"/>
    <col min="12297" max="12302" width="10.125" style="14" customWidth="1"/>
    <col min="12303" max="12307" width="9" style="14"/>
    <col min="12308" max="12308" width="14.25" style="14" customWidth="1"/>
    <col min="12309" max="12310" width="11.25" style="14" customWidth="1"/>
    <col min="12311" max="12544" width="9" style="14"/>
    <col min="12545" max="12545" width="8" style="14" customWidth="1"/>
    <col min="12546" max="12547" width="10.625" style="14" customWidth="1"/>
    <col min="12548" max="12549" width="7.625" style="14" customWidth="1"/>
    <col min="12550" max="12550" width="11.625" style="14" customWidth="1"/>
    <col min="12551" max="12551" width="9" style="14"/>
    <col min="12552" max="12552" width="6.625" style="14" customWidth="1"/>
    <col min="12553" max="12558" width="10.125" style="14" customWidth="1"/>
    <col min="12559" max="12563" width="9" style="14"/>
    <col min="12564" max="12564" width="14.25" style="14" customWidth="1"/>
    <col min="12565" max="12566" width="11.25" style="14" customWidth="1"/>
    <col min="12567" max="12800" width="9" style="14"/>
    <col min="12801" max="12801" width="8" style="14" customWidth="1"/>
    <col min="12802" max="12803" width="10.625" style="14" customWidth="1"/>
    <col min="12804" max="12805" width="7.625" style="14" customWidth="1"/>
    <col min="12806" max="12806" width="11.625" style="14" customWidth="1"/>
    <col min="12807" max="12807" width="9" style="14"/>
    <col min="12808" max="12808" width="6.625" style="14" customWidth="1"/>
    <col min="12809" max="12814" width="10.125" style="14" customWidth="1"/>
    <col min="12815" max="12819" width="9" style="14"/>
    <col min="12820" max="12820" width="14.25" style="14" customWidth="1"/>
    <col min="12821" max="12822" width="11.25" style="14" customWidth="1"/>
    <col min="12823" max="13056" width="9" style="14"/>
    <col min="13057" max="13057" width="8" style="14" customWidth="1"/>
    <col min="13058" max="13059" width="10.625" style="14" customWidth="1"/>
    <col min="13060" max="13061" width="7.625" style="14" customWidth="1"/>
    <col min="13062" max="13062" width="11.625" style="14" customWidth="1"/>
    <col min="13063" max="13063" width="9" style="14"/>
    <col min="13064" max="13064" width="6.625" style="14" customWidth="1"/>
    <col min="13065" max="13070" width="10.125" style="14" customWidth="1"/>
    <col min="13071" max="13075" width="9" style="14"/>
    <col min="13076" max="13076" width="14.25" style="14" customWidth="1"/>
    <col min="13077" max="13078" width="11.25" style="14" customWidth="1"/>
    <col min="13079" max="13312" width="9" style="14"/>
    <col min="13313" max="13313" width="8" style="14" customWidth="1"/>
    <col min="13314" max="13315" width="10.625" style="14" customWidth="1"/>
    <col min="13316" max="13317" width="7.625" style="14" customWidth="1"/>
    <col min="13318" max="13318" width="11.625" style="14" customWidth="1"/>
    <col min="13319" max="13319" width="9" style="14"/>
    <col min="13320" max="13320" width="6.625" style="14" customWidth="1"/>
    <col min="13321" max="13326" width="10.125" style="14" customWidth="1"/>
    <col min="13327" max="13331" width="9" style="14"/>
    <col min="13332" max="13332" width="14.25" style="14" customWidth="1"/>
    <col min="13333" max="13334" width="11.25" style="14" customWidth="1"/>
    <col min="13335" max="13568" width="9" style="14"/>
    <col min="13569" max="13569" width="8" style="14" customWidth="1"/>
    <col min="13570" max="13571" width="10.625" style="14" customWidth="1"/>
    <col min="13572" max="13573" width="7.625" style="14" customWidth="1"/>
    <col min="13574" max="13574" width="11.625" style="14" customWidth="1"/>
    <col min="13575" max="13575" width="9" style="14"/>
    <col min="13576" max="13576" width="6.625" style="14" customWidth="1"/>
    <col min="13577" max="13582" width="10.125" style="14" customWidth="1"/>
    <col min="13583" max="13587" width="9" style="14"/>
    <col min="13588" max="13588" width="14.25" style="14" customWidth="1"/>
    <col min="13589" max="13590" width="11.25" style="14" customWidth="1"/>
    <col min="13591" max="13824" width="9" style="14"/>
    <col min="13825" max="13825" width="8" style="14" customWidth="1"/>
    <col min="13826" max="13827" width="10.625" style="14" customWidth="1"/>
    <col min="13828" max="13829" width="7.625" style="14" customWidth="1"/>
    <col min="13830" max="13830" width="11.625" style="14" customWidth="1"/>
    <col min="13831" max="13831" width="9" style="14"/>
    <col min="13832" max="13832" width="6.625" style="14" customWidth="1"/>
    <col min="13833" max="13838" width="10.125" style="14" customWidth="1"/>
    <col min="13839" max="13843" width="9" style="14"/>
    <col min="13844" max="13844" width="14.25" style="14" customWidth="1"/>
    <col min="13845" max="13846" width="11.25" style="14" customWidth="1"/>
    <col min="13847" max="14080" width="9" style="14"/>
    <col min="14081" max="14081" width="8" style="14" customWidth="1"/>
    <col min="14082" max="14083" width="10.625" style="14" customWidth="1"/>
    <col min="14084" max="14085" width="7.625" style="14" customWidth="1"/>
    <col min="14086" max="14086" width="11.625" style="14" customWidth="1"/>
    <col min="14087" max="14087" width="9" style="14"/>
    <col min="14088" max="14088" width="6.625" style="14" customWidth="1"/>
    <col min="14089" max="14094" width="10.125" style="14" customWidth="1"/>
    <col min="14095" max="14099" width="9" style="14"/>
    <col min="14100" max="14100" width="14.25" style="14" customWidth="1"/>
    <col min="14101" max="14102" width="11.25" style="14" customWidth="1"/>
    <col min="14103" max="14336" width="9" style="14"/>
    <col min="14337" max="14337" width="8" style="14" customWidth="1"/>
    <col min="14338" max="14339" width="10.625" style="14" customWidth="1"/>
    <col min="14340" max="14341" width="7.625" style="14" customWidth="1"/>
    <col min="14342" max="14342" width="11.625" style="14" customWidth="1"/>
    <col min="14343" max="14343" width="9" style="14"/>
    <col min="14344" max="14344" width="6.625" style="14" customWidth="1"/>
    <col min="14345" max="14350" width="10.125" style="14" customWidth="1"/>
    <col min="14351" max="14355" width="9" style="14"/>
    <col min="14356" max="14356" width="14.25" style="14" customWidth="1"/>
    <col min="14357" max="14358" width="11.25" style="14" customWidth="1"/>
    <col min="14359" max="14592" width="9" style="14"/>
    <col min="14593" max="14593" width="8" style="14" customWidth="1"/>
    <col min="14594" max="14595" width="10.625" style="14" customWidth="1"/>
    <col min="14596" max="14597" width="7.625" style="14" customWidth="1"/>
    <col min="14598" max="14598" width="11.625" style="14" customWidth="1"/>
    <col min="14599" max="14599" width="9" style="14"/>
    <col min="14600" max="14600" width="6.625" style="14" customWidth="1"/>
    <col min="14601" max="14606" width="10.125" style="14" customWidth="1"/>
    <col min="14607" max="14611" width="9" style="14"/>
    <col min="14612" max="14612" width="14.25" style="14" customWidth="1"/>
    <col min="14613" max="14614" width="11.25" style="14" customWidth="1"/>
    <col min="14615" max="14848" width="9" style="14"/>
    <col min="14849" max="14849" width="8" style="14" customWidth="1"/>
    <col min="14850" max="14851" width="10.625" style="14" customWidth="1"/>
    <col min="14852" max="14853" width="7.625" style="14" customWidth="1"/>
    <col min="14854" max="14854" width="11.625" style="14" customWidth="1"/>
    <col min="14855" max="14855" width="9" style="14"/>
    <col min="14856" max="14856" width="6.625" style="14" customWidth="1"/>
    <col min="14857" max="14862" width="10.125" style="14" customWidth="1"/>
    <col min="14863" max="14867" width="9" style="14"/>
    <col min="14868" max="14868" width="14.25" style="14" customWidth="1"/>
    <col min="14869" max="14870" width="11.25" style="14" customWidth="1"/>
    <col min="14871" max="15104" width="9" style="14"/>
    <col min="15105" max="15105" width="8" style="14" customWidth="1"/>
    <col min="15106" max="15107" width="10.625" style="14" customWidth="1"/>
    <col min="15108" max="15109" width="7.625" style="14" customWidth="1"/>
    <col min="15110" max="15110" width="11.625" style="14" customWidth="1"/>
    <col min="15111" max="15111" width="9" style="14"/>
    <col min="15112" max="15112" width="6.625" style="14" customWidth="1"/>
    <col min="15113" max="15118" width="10.125" style="14" customWidth="1"/>
    <col min="15119" max="15123" width="9" style="14"/>
    <col min="15124" max="15124" width="14.25" style="14" customWidth="1"/>
    <col min="15125" max="15126" width="11.25" style="14" customWidth="1"/>
    <col min="15127" max="15360" width="9" style="14"/>
    <col min="15361" max="15361" width="8" style="14" customWidth="1"/>
    <col min="15362" max="15363" width="10.625" style="14" customWidth="1"/>
    <col min="15364" max="15365" width="7.625" style="14" customWidth="1"/>
    <col min="15366" max="15366" width="11.625" style="14" customWidth="1"/>
    <col min="15367" max="15367" width="9" style="14"/>
    <col min="15368" max="15368" width="6.625" style="14" customWidth="1"/>
    <col min="15369" max="15374" width="10.125" style="14" customWidth="1"/>
    <col min="15375" max="15379" width="9" style="14"/>
    <col min="15380" max="15380" width="14.25" style="14" customWidth="1"/>
    <col min="15381" max="15382" width="11.25" style="14" customWidth="1"/>
    <col min="15383" max="15616" width="9" style="14"/>
    <col min="15617" max="15617" width="8" style="14" customWidth="1"/>
    <col min="15618" max="15619" width="10.625" style="14" customWidth="1"/>
    <col min="15620" max="15621" width="7.625" style="14" customWidth="1"/>
    <col min="15622" max="15622" width="11.625" style="14" customWidth="1"/>
    <col min="15623" max="15623" width="9" style="14"/>
    <col min="15624" max="15624" width="6.625" style="14" customWidth="1"/>
    <col min="15625" max="15630" width="10.125" style="14" customWidth="1"/>
    <col min="15631" max="15635" width="9" style="14"/>
    <col min="15636" max="15636" width="14.25" style="14" customWidth="1"/>
    <col min="15637" max="15638" width="11.25" style="14" customWidth="1"/>
    <col min="15639" max="15872" width="9" style="14"/>
    <col min="15873" max="15873" width="8" style="14" customWidth="1"/>
    <col min="15874" max="15875" width="10.625" style="14" customWidth="1"/>
    <col min="15876" max="15877" width="7.625" style="14" customWidth="1"/>
    <col min="15878" max="15878" width="11.625" style="14" customWidth="1"/>
    <col min="15879" max="15879" width="9" style="14"/>
    <col min="15880" max="15880" width="6.625" style="14" customWidth="1"/>
    <col min="15881" max="15886" width="10.125" style="14" customWidth="1"/>
    <col min="15887" max="15891" width="9" style="14"/>
    <col min="15892" max="15892" width="14.25" style="14" customWidth="1"/>
    <col min="15893" max="15894" width="11.25" style="14" customWidth="1"/>
    <col min="15895" max="16128" width="9" style="14"/>
    <col min="16129" max="16129" width="8" style="14" customWidth="1"/>
    <col min="16130" max="16131" width="10.625" style="14" customWidth="1"/>
    <col min="16132" max="16133" width="7.625" style="14" customWidth="1"/>
    <col min="16134" max="16134" width="11.625" style="14" customWidth="1"/>
    <col min="16135" max="16135" width="9" style="14"/>
    <col min="16136" max="16136" width="6.625" style="14" customWidth="1"/>
    <col min="16137" max="16142" width="10.125" style="14" customWidth="1"/>
    <col min="16143" max="16147" width="9" style="14"/>
    <col min="16148" max="16148" width="14.25" style="14" customWidth="1"/>
    <col min="16149" max="16150" width="11.25" style="14" customWidth="1"/>
    <col min="16151" max="16384" width="9" style="14"/>
  </cols>
  <sheetData>
    <row r="1" spans="1:66" ht="31.5" thickBot="1" x14ac:dyDescent="0.5">
      <c r="A1" s="10" t="s">
        <v>19</v>
      </c>
      <c r="I1" s="13"/>
      <c r="J1" s="13"/>
      <c r="K1" s="13"/>
      <c r="L1" s="13"/>
      <c r="M1" s="13"/>
      <c r="N1" s="13"/>
      <c r="O1" s="13"/>
      <c r="Q1" s="13"/>
      <c r="AH1" s="16"/>
      <c r="AI1" s="16"/>
      <c r="AJ1" s="16"/>
      <c r="AK1" s="16"/>
      <c r="AL1" s="58" t="s">
        <v>38</v>
      </c>
      <c r="AM1" s="58" t="s">
        <v>39</v>
      </c>
      <c r="AN1" s="16"/>
      <c r="BC1" s="13"/>
      <c r="BD1" s="13"/>
      <c r="BE1" s="13"/>
      <c r="BF1" s="13"/>
      <c r="BG1" s="13"/>
      <c r="BH1" s="13"/>
      <c r="BI1" s="13"/>
      <c r="BJ1" s="13"/>
      <c r="BK1" s="13"/>
      <c r="BL1" s="13"/>
      <c r="BM1" s="13"/>
      <c r="BN1" s="13"/>
    </row>
    <row r="2" spans="1:66" s="20" customFormat="1" ht="39.75" customHeight="1" thickBot="1" x14ac:dyDescent="0.35">
      <c r="A2" s="17" t="s">
        <v>20</v>
      </c>
      <c r="B2" s="56" t="s">
        <v>38</v>
      </c>
      <c r="C2" s="57" t="s">
        <v>39</v>
      </c>
      <c r="D2" s="13"/>
      <c r="E2" s="19"/>
      <c r="F2" s="59" t="s">
        <v>21</v>
      </c>
      <c r="G2" s="60"/>
      <c r="I2" s="21"/>
      <c r="J2" s="21"/>
      <c r="K2" s="21"/>
      <c r="L2" s="21"/>
      <c r="M2" s="21"/>
      <c r="N2" s="21"/>
      <c r="O2" s="21"/>
      <c r="Q2" s="21"/>
      <c r="R2" s="13"/>
      <c r="S2" s="13"/>
      <c r="T2" s="13"/>
      <c r="U2" s="13"/>
      <c r="V2" s="13"/>
      <c r="W2" s="21"/>
      <c r="X2" s="21"/>
      <c r="Y2" s="13"/>
      <c r="Z2" s="13"/>
      <c r="AA2" s="13"/>
      <c r="AB2" s="13"/>
      <c r="AC2" s="13"/>
      <c r="AD2" s="13"/>
      <c r="AE2" s="13"/>
      <c r="AF2" s="13"/>
      <c r="AG2" s="13"/>
      <c r="AH2" s="16">
        <v>225</v>
      </c>
      <c r="AI2" s="16"/>
      <c r="AJ2" s="16"/>
      <c r="AK2" s="16">
        <v>225</v>
      </c>
      <c r="AL2" s="16">
        <v>0</v>
      </c>
      <c r="AM2" s="16">
        <v>0</v>
      </c>
      <c r="AN2" s="16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21"/>
      <c r="BD2" s="21"/>
      <c r="BE2" s="21"/>
      <c r="BF2" s="21"/>
      <c r="BG2" s="21"/>
      <c r="BH2" s="21"/>
      <c r="BI2" s="21"/>
      <c r="BJ2" s="21"/>
      <c r="BK2" s="21"/>
      <c r="BL2" s="21"/>
      <c r="BM2" s="21"/>
      <c r="BN2" s="21"/>
    </row>
    <row r="3" spans="1:66" ht="16.5" thickBot="1" x14ac:dyDescent="0.3">
      <c r="A3" s="22">
        <v>1</v>
      </c>
      <c r="B3" s="23">
        <v>903.15219239184603</v>
      </c>
      <c r="C3" s="24">
        <v>577.54481568466781</v>
      </c>
      <c r="E3" s="25"/>
      <c r="F3" s="26">
        <v>10000</v>
      </c>
      <c r="G3" s="27" t="s">
        <v>22</v>
      </c>
      <c r="AH3" s="16">
        <v>250</v>
      </c>
      <c r="AI3" s="16"/>
      <c r="AJ3" s="16"/>
      <c r="AK3" s="16">
        <v>225</v>
      </c>
      <c r="AL3" s="16">
        <v>0</v>
      </c>
      <c r="AM3" s="16">
        <v>0</v>
      </c>
      <c r="AN3" s="16"/>
      <c r="BC3" s="13"/>
      <c r="BD3" s="13"/>
      <c r="BE3" s="13"/>
      <c r="BF3" s="13"/>
      <c r="BG3" s="13"/>
      <c r="BH3" s="13"/>
      <c r="BI3" s="13"/>
      <c r="BJ3" s="13"/>
      <c r="BK3" s="13"/>
      <c r="BL3" s="13"/>
      <c r="BM3" s="13"/>
      <c r="BN3" s="13"/>
    </row>
    <row r="4" spans="1:66" ht="16.5" thickBot="1" x14ac:dyDescent="0.3">
      <c r="A4" s="22">
        <v>2</v>
      </c>
      <c r="B4" s="23">
        <v>1200.5127902509648</v>
      </c>
      <c r="C4" s="24">
        <v>449.11245641393185</v>
      </c>
      <c r="E4" s="25"/>
      <c r="F4" s="28">
        <v>57.00000012293458</v>
      </c>
      <c r="G4" s="29" t="s">
        <v>23</v>
      </c>
      <c r="I4" s="61" t="s">
        <v>36</v>
      </c>
      <c r="J4" s="62"/>
      <c r="K4" s="63" t="s">
        <v>37</v>
      </c>
      <c r="L4" s="64"/>
      <c r="M4" s="65" t="s">
        <v>24</v>
      </c>
      <c r="N4" s="66"/>
      <c r="P4" s="30"/>
      <c r="AH4" s="16">
        <v>275</v>
      </c>
      <c r="AI4" s="16"/>
      <c r="AJ4" s="16"/>
      <c r="AK4" s="16">
        <v>250</v>
      </c>
      <c r="AL4" s="16">
        <v>0</v>
      </c>
      <c r="AM4" s="16">
        <v>0</v>
      </c>
      <c r="AN4" s="16"/>
      <c r="BC4" s="13"/>
      <c r="BD4" s="13"/>
      <c r="BE4" s="13"/>
      <c r="BF4" s="13"/>
      <c r="BG4" s="13"/>
      <c r="BH4" s="13"/>
      <c r="BI4" s="13"/>
      <c r="BJ4" s="13"/>
      <c r="BK4" s="13"/>
      <c r="BL4" s="13"/>
      <c r="BM4" s="13"/>
      <c r="BN4" s="13"/>
    </row>
    <row r="5" spans="1:66" x14ac:dyDescent="0.25">
      <c r="A5" s="22">
        <v>3</v>
      </c>
      <c r="B5" s="23">
        <v>1158.8927633919695</v>
      </c>
      <c r="C5" s="24">
        <v>616.32325588252388</v>
      </c>
      <c r="E5" s="31"/>
      <c r="F5" s="32"/>
      <c r="G5" s="31"/>
      <c r="I5" s="33" t="s">
        <v>25</v>
      </c>
      <c r="J5" s="34">
        <v>1159.0844393372618</v>
      </c>
      <c r="K5" s="35" t="s">
        <v>25</v>
      </c>
      <c r="L5" s="36">
        <v>510.36147893498287</v>
      </c>
      <c r="M5" s="37"/>
      <c r="N5" s="38"/>
      <c r="P5" s="30"/>
      <c r="AH5" s="16">
        <v>300</v>
      </c>
      <c r="AI5" s="16"/>
      <c r="AJ5" s="16"/>
      <c r="AK5" s="16">
        <v>250</v>
      </c>
      <c r="AL5" s="16">
        <v>0</v>
      </c>
      <c r="AM5" s="16">
        <v>3</v>
      </c>
      <c r="AN5" s="16"/>
      <c r="BC5" s="13"/>
      <c r="BD5" s="13"/>
      <c r="BE5" s="13"/>
      <c r="BF5" s="13"/>
      <c r="BG5" s="13"/>
      <c r="BH5" s="13"/>
      <c r="BI5" s="13"/>
      <c r="BJ5" s="13"/>
      <c r="BK5" s="13"/>
      <c r="BL5" s="13"/>
      <c r="BM5" s="13"/>
      <c r="BN5" s="13"/>
    </row>
    <row r="6" spans="1:66" x14ac:dyDescent="0.25">
      <c r="A6" s="22">
        <v>4</v>
      </c>
      <c r="B6" s="23">
        <v>1137.3010669832627</v>
      </c>
      <c r="C6" s="24">
        <v>633.48217696608287</v>
      </c>
      <c r="I6" s="33" t="s">
        <v>26</v>
      </c>
      <c r="J6" s="39">
        <v>153.45148567007823</v>
      </c>
      <c r="K6" s="35" t="s">
        <v>26</v>
      </c>
      <c r="L6" s="40">
        <v>85.953542792401578</v>
      </c>
      <c r="M6" s="41"/>
      <c r="N6" s="42"/>
      <c r="AH6" s="16">
        <v>325</v>
      </c>
      <c r="AI6" s="16"/>
      <c r="AJ6" s="16"/>
      <c r="AK6" s="16">
        <v>275</v>
      </c>
      <c r="AL6" s="16">
        <v>0</v>
      </c>
      <c r="AM6" s="16">
        <v>3</v>
      </c>
      <c r="AN6" s="16"/>
      <c r="BC6" s="13"/>
      <c r="BD6" s="13"/>
      <c r="BE6" s="13"/>
      <c r="BF6" s="13"/>
      <c r="BG6" s="13"/>
      <c r="BH6" s="13"/>
      <c r="BI6" s="13"/>
      <c r="BJ6" s="13"/>
      <c r="BK6" s="13"/>
      <c r="BL6" s="13"/>
      <c r="BM6" s="13"/>
      <c r="BN6" s="13"/>
    </row>
    <row r="7" spans="1:66" x14ac:dyDescent="0.25">
      <c r="A7" s="22">
        <v>5</v>
      </c>
      <c r="B7" s="23">
        <v>1169.0236914938544</v>
      </c>
      <c r="C7" s="24">
        <v>638.64331411087323</v>
      </c>
      <c r="F7" s="43"/>
      <c r="I7" s="33" t="s">
        <v>27</v>
      </c>
      <c r="J7" s="34">
        <v>1820.4209494826648</v>
      </c>
      <c r="K7" s="35" t="s">
        <v>27</v>
      </c>
      <c r="L7" s="36">
        <v>977.95155246616457</v>
      </c>
      <c r="M7" s="25"/>
      <c r="N7" s="44"/>
      <c r="AH7" s="16">
        <v>350</v>
      </c>
      <c r="AI7" s="16"/>
      <c r="AJ7" s="16"/>
      <c r="AK7" s="16">
        <v>275</v>
      </c>
      <c r="AL7" s="16">
        <v>0</v>
      </c>
      <c r="AM7" s="16">
        <v>6</v>
      </c>
      <c r="AN7" s="16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</row>
    <row r="8" spans="1:66" ht="16.5" thickBot="1" x14ac:dyDescent="0.3">
      <c r="A8" s="22">
        <v>6</v>
      </c>
      <c r="B8" s="23">
        <v>972.6614084400145</v>
      </c>
      <c r="C8" s="24">
        <v>660.39791032895164</v>
      </c>
      <c r="F8" s="43"/>
      <c r="I8" s="45" t="s">
        <v>28</v>
      </c>
      <c r="J8" s="46">
        <v>643.6905793422535</v>
      </c>
      <c r="K8" s="47" t="s">
        <v>28</v>
      </c>
      <c r="L8" s="48">
        <v>255.38979225026691</v>
      </c>
      <c r="M8" s="49"/>
      <c r="N8" s="50"/>
      <c r="AH8" s="16">
        <v>375</v>
      </c>
      <c r="AI8" s="16"/>
      <c r="AJ8" s="16"/>
      <c r="AK8" s="16">
        <v>300</v>
      </c>
      <c r="AL8" s="16">
        <v>0</v>
      </c>
      <c r="AM8" s="16">
        <v>6</v>
      </c>
      <c r="AN8" s="16"/>
      <c r="BC8" s="13"/>
      <c r="BD8" s="13"/>
      <c r="BE8" s="13"/>
      <c r="BF8" s="13"/>
      <c r="BG8" s="13"/>
      <c r="BH8" s="13"/>
      <c r="BI8" s="13"/>
      <c r="BJ8" s="13"/>
      <c r="BK8" s="13"/>
      <c r="BL8" s="13"/>
      <c r="BM8" s="13"/>
      <c r="BN8" s="13"/>
    </row>
    <row r="9" spans="1:66" x14ac:dyDescent="0.25">
      <c r="A9" s="22">
        <v>7</v>
      </c>
      <c r="B9" s="23">
        <v>1287.5110659651739</v>
      </c>
      <c r="C9" s="24">
        <v>469.34199452892466</v>
      </c>
      <c r="F9" s="43"/>
      <c r="I9" s="31"/>
      <c r="J9" s="51"/>
      <c r="K9" s="31"/>
      <c r="L9" s="31"/>
      <c r="M9" s="31"/>
      <c r="N9" s="31"/>
      <c r="AH9" s="16">
        <v>400</v>
      </c>
      <c r="AI9" s="16"/>
      <c r="AJ9" s="16"/>
      <c r="AK9" s="16">
        <v>300</v>
      </c>
      <c r="AL9" s="16">
        <v>0</v>
      </c>
      <c r="AM9" s="16">
        <v>37</v>
      </c>
      <c r="AN9" s="16"/>
      <c r="BC9" s="13"/>
      <c r="BD9" s="13"/>
      <c r="BE9" s="13"/>
      <c r="BF9" s="13"/>
      <c r="BG9" s="13"/>
      <c r="BH9" s="13"/>
      <c r="BI9" s="13"/>
      <c r="BJ9" s="13"/>
      <c r="BK9" s="13"/>
      <c r="BL9" s="13"/>
      <c r="BM9" s="13"/>
      <c r="BN9" s="13"/>
    </row>
    <row r="10" spans="1:66" x14ac:dyDescent="0.25">
      <c r="A10" s="22">
        <v>8</v>
      </c>
      <c r="B10" s="23">
        <v>1088.2734059791212</v>
      </c>
      <c r="C10" s="24">
        <v>433.45824428924698</v>
      </c>
      <c r="F10" s="43"/>
      <c r="I10" s="25"/>
      <c r="J10" s="51"/>
      <c r="K10" s="31"/>
      <c r="L10" s="31"/>
      <c r="M10" s="31"/>
      <c r="N10" s="31"/>
      <c r="P10" s="30"/>
      <c r="AH10" s="16">
        <v>425</v>
      </c>
      <c r="AI10" s="16"/>
      <c r="AJ10" s="16"/>
      <c r="AK10" s="16">
        <v>325</v>
      </c>
      <c r="AL10" s="16">
        <v>0</v>
      </c>
      <c r="AM10" s="16">
        <v>37</v>
      </c>
      <c r="AN10" s="16"/>
      <c r="BC10" s="13"/>
      <c r="BD10" s="13"/>
      <c r="BE10" s="13"/>
      <c r="BF10" s="13"/>
      <c r="BG10" s="13"/>
      <c r="BH10" s="13"/>
      <c r="BI10" s="13"/>
      <c r="BJ10" s="13"/>
      <c r="BK10" s="13"/>
      <c r="BL10" s="13"/>
      <c r="BM10" s="13"/>
      <c r="BN10" s="13"/>
    </row>
    <row r="11" spans="1:66" x14ac:dyDescent="0.25">
      <c r="A11" s="22">
        <v>9</v>
      </c>
      <c r="B11" s="23">
        <v>1019.0146927052531</v>
      </c>
      <c r="C11" s="24">
        <v>479.0077338274578</v>
      </c>
      <c r="I11" s="31"/>
      <c r="J11" s="51"/>
      <c r="K11" s="31"/>
      <c r="L11" s="31"/>
      <c r="M11" s="31"/>
      <c r="N11" s="31"/>
      <c r="P11" s="30"/>
      <c r="AH11" s="16">
        <v>450</v>
      </c>
      <c r="AI11" s="16"/>
      <c r="AJ11" s="16"/>
      <c r="AK11" s="16">
        <v>325</v>
      </c>
      <c r="AL11" s="16">
        <v>0</v>
      </c>
      <c r="AM11" s="16">
        <v>123</v>
      </c>
      <c r="AN11" s="16"/>
      <c r="BC11" s="13"/>
      <c r="BD11" s="13"/>
      <c r="BE11" s="13"/>
      <c r="BF11" s="13"/>
      <c r="BG11" s="13"/>
      <c r="BH11" s="13"/>
      <c r="BI11" s="13"/>
      <c r="BJ11" s="13"/>
      <c r="BK11" s="13"/>
      <c r="BL11" s="13"/>
      <c r="BM11" s="13"/>
      <c r="BN11" s="13"/>
    </row>
    <row r="12" spans="1:66" x14ac:dyDescent="0.25">
      <c r="A12" s="22">
        <v>10</v>
      </c>
      <c r="B12" s="23">
        <v>1085.3043101520711</v>
      </c>
      <c r="C12" s="24">
        <v>520.34329140100874</v>
      </c>
      <c r="I12" s="31"/>
      <c r="J12" s="31"/>
      <c r="K12" s="31"/>
      <c r="L12" s="31"/>
      <c r="M12" s="31"/>
      <c r="N12" s="31"/>
      <c r="P12" s="30"/>
      <c r="AH12" s="16">
        <v>475</v>
      </c>
      <c r="AI12" s="16"/>
      <c r="AJ12" s="16"/>
      <c r="AK12" s="16">
        <v>350</v>
      </c>
      <c r="AL12" s="16">
        <v>0</v>
      </c>
      <c r="AM12" s="16">
        <v>123</v>
      </c>
      <c r="AN12" s="16"/>
      <c r="BC12" s="13"/>
      <c r="BD12" s="13"/>
      <c r="BE12" s="13"/>
      <c r="BF12" s="13"/>
      <c r="BG12" s="13"/>
      <c r="BH12" s="13"/>
      <c r="BI12" s="13"/>
      <c r="BJ12" s="13"/>
      <c r="BK12" s="13"/>
      <c r="BL12" s="13"/>
      <c r="BM12" s="13"/>
      <c r="BN12" s="13"/>
    </row>
    <row r="13" spans="1:66" x14ac:dyDescent="0.25">
      <c r="A13" s="22">
        <v>11</v>
      </c>
      <c r="B13" s="23">
        <v>1446.84611732906</v>
      </c>
      <c r="C13" s="24">
        <v>562.21224394397643</v>
      </c>
      <c r="I13" s="31"/>
      <c r="J13" s="31"/>
      <c r="K13" s="31"/>
      <c r="L13" s="31"/>
      <c r="M13" s="31"/>
      <c r="N13" s="31"/>
      <c r="AH13" s="16">
        <v>500</v>
      </c>
      <c r="AI13" s="16"/>
      <c r="AJ13" s="16"/>
      <c r="AK13" s="16">
        <v>350</v>
      </c>
      <c r="AL13" s="16">
        <v>0</v>
      </c>
      <c r="AM13" s="16">
        <v>226</v>
      </c>
      <c r="AN13" s="16"/>
      <c r="BC13" s="13"/>
      <c r="BD13" s="13"/>
      <c r="BE13" s="13"/>
      <c r="BF13" s="13"/>
      <c r="BG13" s="13"/>
      <c r="BH13" s="13"/>
      <c r="BI13" s="13"/>
      <c r="BJ13" s="13"/>
      <c r="BK13" s="13"/>
      <c r="BL13" s="13"/>
      <c r="BM13" s="13"/>
      <c r="BN13" s="13"/>
    </row>
    <row r="14" spans="1:66" x14ac:dyDescent="0.25">
      <c r="A14" s="22">
        <v>12</v>
      </c>
      <c r="B14" s="23">
        <v>1102.2016843467397</v>
      </c>
      <c r="C14" s="24">
        <v>484.80721668571908</v>
      </c>
      <c r="E14" s="52"/>
      <c r="I14" s="31"/>
      <c r="J14" s="31"/>
      <c r="K14" s="31"/>
      <c r="L14" s="31"/>
      <c r="M14" s="31"/>
      <c r="N14" s="31"/>
      <c r="AH14" s="16">
        <v>525</v>
      </c>
      <c r="AI14" s="16"/>
      <c r="AJ14" s="16"/>
      <c r="AK14" s="16">
        <v>375</v>
      </c>
      <c r="AL14" s="16">
        <v>0</v>
      </c>
      <c r="AM14" s="16">
        <v>226</v>
      </c>
      <c r="AN14" s="16"/>
      <c r="BC14" s="13"/>
      <c r="BD14" s="13"/>
      <c r="BE14" s="13"/>
      <c r="BF14" s="13"/>
      <c r="BG14" s="13"/>
      <c r="BH14" s="13"/>
      <c r="BI14" s="13"/>
      <c r="BJ14" s="13"/>
      <c r="BK14" s="13"/>
      <c r="BL14" s="13"/>
      <c r="BM14" s="13"/>
      <c r="BN14" s="13"/>
    </row>
    <row r="15" spans="1:66" x14ac:dyDescent="0.25">
      <c r="A15" s="22">
        <v>13</v>
      </c>
      <c r="B15" s="23">
        <v>1468.5055941752801</v>
      </c>
      <c r="C15" s="24">
        <v>597.26028255167557</v>
      </c>
      <c r="E15" s="52"/>
      <c r="I15" s="31"/>
      <c r="J15" s="31"/>
      <c r="K15" s="31"/>
      <c r="L15" s="31"/>
      <c r="M15" s="31"/>
      <c r="N15" s="31"/>
      <c r="AH15" s="16">
        <v>550</v>
      </c>
      <c r="AI15" s="16"/>
      <c r="AJ15" s="16"/>
      <c r="AK15" s="16">
        <v>375</v>
      </c>
      <c r="AL15" s="16">
        <v>0</v>
      </c>
      <c r="AM15" s="16">
        <v>457</v>
      </c>
      <c r="AN15" s="16"/>
      <c r="BC15" s="13"/>
      <c r="BD15" s="13"/>
      <c r="BE15" s="13"/>
      <c r="BF15" s="13"/>
      <c r="BG15" s="13"/>
      <c r="BH15" s="13"/>
      <c r="BI15" s="13"/>
      <c r="BJ15" s="13"/>
      <c r="BK15" s="13"/>
      <c r="BL15" s="13"/>
      <c r="BM15" s="13"/>
      <c r="BN15" s="13"/>
    </row>
    <row r="16" spans="1:66" x14ac:dyDescent="0.25">
      <c r="A16" s="22">
        <v>14</v>
      </c>
      <c r="B16" s="23">
        <v>1237.8763901033929</v>
      </c>
      <c r="C16" s="24">
        <v>488.45354966758248</v>
      </c>
      <c r="E16" s="52"/>
      <c r="I16" s="31"/>
      <c r="J16" s="31"/>
      <c r="K16" s="31"/>
      <c r="L16" s="31"/>
      <c r="M16" s="31"/>
      <c r="N16" s="31"/>
      <c r="AH16" s="16">
        <v>575</v>
      </c>
      <c r="AI16" s="16"/>
      <c r="AJ16" s="16"/>
      <c r="AK16" s="16">
        <v>400</v>
      </c>
      <c r="AL16" s="16">
        <v>0</v>
      </c>
      <c r="AM16" s="16">
        <v>457</v>
      </c>
      <c r="AN16" s="16"/>
      <c r="BC16" s="13"/>
      <c r="BD16" s="13"/>
      <c r="BE16" s="13"/>
      <c r="BF16" s="13"/>
      <c r="BG16" s="13"/>
      <c r="BH16" s="13"/>
      <c r="BI16" s="13"/>
      <c r="BJ16" s="13"/>
      <c r="BK16" s="13"/>
      <c r="BL16" s="13"/>
      <c r="BM16" s="13"/>
      <c r="BN16" s="13"/>
    </row>
    <row r="17" spans="1:66" x14ac:dyDescent="0.25">
      <c r="A17" s="22">
        <v>15</v>
      </c>
      <c r="B17" s="23">
        <v>953.54125676037347</v>
      </c>
      <c r="C17" s="24">
        <v>642.37130221062534</v>
      </c>
      <c r="I17" s="31"/>
      <c r="J17" s="31"/>
      <c r="K17" s="31"/>
      <c r="L17" s="31"/>
      <c r="M17" s="31"/>
      <c r="N17" s="31"/>
      <c r="AH17" s="16">
        <v>600</v>
      </c>
      <c r="AI17" s="16"/>
      <c r="AJ17" s="16"/>
      <c r="AK17" s="16">
        <v>400</v>
      </c>
      <c r="AL17" s="16">
        <v>0</v>
      </c>
      <c r="AM17" s="16">
        <v>737</v>
      </c>
      <c r="AN17" s="16"/>
      <c r="BC17" s="13"/>
      <c r="BD17" s="13"/>
      <c r="BE17" s="13"/>
      <c r="BF17" s="13"/>
      <c r="BG17" s="13"/>
      <c r="BH17" s="13"/>
      <c r="BI17" s="13"/>
      <c r="BJ17" s="13"/>
      <c r="BK17" s="13"/>
      <c r="BL17" s="13"/>
      <c r="BM17" s="13"/>
      <c r="BN17" s="13"/>
    </row>
    <row r="18" spans="1:66" x14ac:dyDescent="0.25">
      <c r="A18" s="22">
        <v>16</v>
      </c>
      <c r="B18" s="23">
        <v>1246.9304883928505</v>
      </c>
      <c r="C18" s="24">
        <v>458.3438833636672</v>
      </c>
      <c r="I18" s="31"/>
      <c r="J18" s="31"/>
      <c r="K18" s="31"/>
      <c r="L18" s="31"/>
      <c r="M18" s="31"/>
      <c r="N18" s="31"/>
      <c r="AH18" s="16">
        <v>625</v>
      </c>
      <c r="AI18" s="16"/>
      <c r="AJ18" s="16"/>
      <c r="AK18" s="16">
        <v>425</v>
      </c>
      <c r="AL18" s="16">
        <v>0</v>
      </c>
      <c r="AM18" s="16">
        <v>737</v>
      </c>
      <c r="AN18" s="16"/>
      <c r="BC18" s="13"/>
      <c r="BD18" s="13"/>
      <c r="BE18" s="13"/>
      <c r="BF18" s="13"/>
      <c r="BG18" s="13"/>
      <c r="BH18" s="13"/>
      <c r="BI18" s="13"/>
      <c r="BJ18" s="13"/>
      <c r="BK18" s="13"/>
      <c r="BL18" s="13"/>
      <c r="BM18" s="13"/>
      <c r="BN18" s="13"/>
    </row>
    <row r="19" spans="1:66" x14ac:dyDescent="0.25">
      <c r="A19" s="22">
        <v>17</v>
      </c>
      <c r="B19" s="23">
        <v>1485.544179204446</v>
      </c>
      <c r="C19" s="24">
        <v>508.35675706891442</v>
      </c>
      <c r="F19" s="53">
        <v>1</v>
      </c>
      <c r="I19" s="31"/>
      <c r="J19" s="31"/>
      <c r="K19" s="31"/>
      <c r="L19" s="31"/>
      <c r="M19" s="31"/>
      <c r="N19" s="31"/>
      <c r="AH19" s="16">
        <v>650</v>
      </c>
      <c r="AI19" s="16"/>
      <c r="AJ19" s="16"/>
      <c r="AK19" s="16">
        <v>425</v>
      </c>
      <c r="AL19" s="16">
        <v>0</v>
      </c>
      <c r="AM19" s="16">
        <v>932</v>
      </c>
      <c r="AN19" s="16"/>
      <c r="BC19" s="13"/>
      <c r="BD19" s="13"/>
      <c r="BE19" s="13"/>
      <c r="BF19" s="13"/>
      <c r="BG19" s="13"/>
      <c r="BH19" s="13"/>
      <c r="BI19" s="13"/>
      <c r="BJ19" s="13"/>
      <c r="BK19" s="13"/>
      <c r="BL19" s="13"/>
      <c r="BM19" s="13"/>
      <c r="BN19" s="13"/>
    </row>
    <row r="20" spans="1:66" x14ac:dyDescent="0.25">
      <c r="A20" s="22">
        <v>18</v>
      </c>
      <c r="B20" s="23">
        <v>1132.3110798458736</v>
      </c>
      <c r="C20" s="24">
        <v>630.11265709150075</v>
      </c>
      <c r="I20" s="31"/>
      <c r="J20" s="31"/>
      <c r="K20" s="31"/>
      <c r="L20" s="31"/>
      <c r="M20" s="31"/>
      <c r="N20" s="31"/>
      <c r="AH20" s="16">
        <v>675</v>
      </c>
      <c r="AI20" s="16"/>
      <c r="AJ20" s="16"/>
      <c r="AK20" s="16">
        <v>450</v>
      </c>
      <c r="AL20" s="16">
        <v>0</v>
      </c>
      <c r="AM20" s="16">
        <v>932</v>
      </c>
      <c r="AN20" s="16"/>
      <c r="BC20" s="13"/>
      <c r="BD20" s="13"/>
      <c r="BE20" s="13"/>
      <c r="BF20" s="13"/>
      <c r="BG20" s="13"/>
      <c r="BH20" s="13"/>
      <c r="BI20" s="13"/>
      <c r="BJ20" s="13"/>
      <c r="BK20" s="13"/>
      <c r="BL20" s="13"/>
      <c r="BM20" s="13"/>
      <c r="BN20" s="13"/>
    </row>
    <row r="21" spans="1:66" x14ac:dyDescent="0.25">
      <c r="A21" s="22">
        <v>19</v>
      </c>
      <c r="B21" s="23">
        <v>1105.737837209949</v>
      </c>
      <c r="C21" s="24">
        <v>508.01074905021437</v>
      </c>
      <c r="I21" s="31"/>
      <c r="J21" s="31"/>
      <c r="K21" s="31"/>
      <c r="L21" s="31"/>
      <c r="M21" s="31"/>
      <c r="N21" s="31"/>
      <c r="AH21" s="16">
        <v>700</v>
      </c>
      <c r="AI21" s="16"/>
      <c r="AJ21" s="16"/>
      <c r="AK21" s="16">
        <v>450</v>
      </c>
      <c r="AL21" s="16">
        <v>0</v>
      </c>
      <c r="AM21" s="16">
        <v>1121</v>
      </c>
      <c r="AN21" s="16"/>
      <c r="BC21" s="13"/>
      <c r="BD21" s="13"/>
      <c r="BE21" s="13"/>
      <c r="BF21" s="13"/>
      <c r="BG21" s="13"/>
      <c r="BH21" s="13"/>
      <c r="BI21" s="13"/>
      <c r="BJ21" s="13"/>
      <c r="BK21" s="13"/>
      <c r="BL21" s="13"/>
      <c r="BM21" s="13"/>
      <c r="BN21" s="13"/>
    </row>
    <row r="22" spans="1:66" x14ac:dyDescent="0.25">
      <c r="A22" s="22">
        <v>20</v>
      </c>
      <c r="B22" s="23">
        <v>1249.1032833029865</v>
      </c>
      <c r="C22" s="24">
        <v>671.42343099517757</v>
      </c>
      <c r="I22" s="31"/>
      <c r="J22" s="31"/>
      <c r="K22" s="31"/>
      <c r="L22" s="31"/>
      <c r="M22" s="31"/>
      <c r="N22" s="31"/>
      <c r="AH22" s="16">
        <v>725</v>
      </c>
      <c r="AI22" s="16"/>
      <c r="AJ22" s="16"/>
      <c r="AK22" s="16">
        <v>475</v>
      </c>
      <c r="AL22" s="16">
        <v>0</v>
      </c>
      <c r="AM22" s="16">
        <v>1121</v>
      </c>
      <c r="AN22" s="16"/>
      <c r="BC22" s="13"/>
      <c r="BD22" s="13"/>
      <c r="BE22" s="13"/>
      <c r="BF22" s="13"/>
      <c r="BG22" s="13"/>
      <c r="BH22" s="13"/>
      <c r="BI22" s="13"/>
      <c r="BJ22" s="13"/>
      <c r="BK22" s="13"/>
      <c r="BL22" s="13"/>
      <c r="BM22" s="13"/>
      <c r="BN22" s="13"/>
    </row>
    <row r="23" spans="1:66" x14ac:dyDescent="0.25">
      <c r="A23" s="22">
        <v>21</v>
      </c>
      <c r="B23" s="23">
        <v>1246.7893331034008</v>
      </c>
      <c r="C23" s="24">
        <v>520.05943281553868</v>
      </c>
      <c r="AH23" s="16">
        <v>750</v>
      </c>
      <c r="AI23" s="16"/>
      <c r="AJ23" s="16"/>
      <c r="AK23" s="16">
        <v>475</v>
      </c>
      <c r="AL23" s="16">
        <v>0</v>
      </c>
      <c r="AM23" s="16">
        <v>1176</v>
      </c>
      <c r="AN23" s="16"/>
      <c r="BC23" s="13"/>
      <c r="BD23" s="13"/>
      <c r="BE23" s="13"/>
      <c r="BF23" s="13"/>
      <c r="BG23" s="13"/>
      <c r="BH23" s="13"/>
      <c r="BI23" s="13"/>
      <c r="BJ23" s="13"/>
      <c r="BK23" s="13"/>
      <c r="BL23" s="13"/>
      <c r="BM23" s="13"/>
      <c r="BN23" s="13"/>
    </row>
    <row r="24" spans="1:66" x14ac:dyDescent="0.25">
      <c r="A24" s="22">
        <v>22</v>
      </c>
      <c r="B24" s="23">
        <v>1162.7229341585548</v>
      </c>
      <c r="C24" s="24">
        <v>615.78650340853528</v>
      </c>
      <c r="I24" s="54"/>
      <c r="AH24" s="16">
        <v>775</v>
      </c>
      <c r="AI24" s="16"/>
      <c r="AJ24" s="16"/>
      <c r="AK24" s="16">
        <v>500</v>
      </c>
      <c r="AL24" s="16">
        <v>0</v>
      </c>
      <c r="AM24" s="16">
        <v>1176</v>
      </c>
      <c r="AN24" s="16"/>
      <c r="BC24" s="13"/>
      <c r="BD24" s="13"/>
      <c r="BE24" s="13"/>
      <c r="BF24" s="13"/>
      <c r="BG24" s="13"/>
      <c r="BH24" s="13"/>
      <c r="BI24" s="13"/>
      <c r="BJ24" s="13"/>
      <c r="BK24" s="13"/>
      <c r="BL24" s="13"/>
      <c r="BM24" s="13"/>
      <c r="BN24" s="13"/>
    </row>
    <row r="25" spans="1:66" x14ac:dyDescent="0.25">
      <c r="A25" s="22">
        <v>23</v>
      </c>
      <c r="B25" s="23">
        <v>1338.211643426132</v>
      </c>
      <c r="C25" s="24">
        <v>396.26198007340741</v>
      </c>
      <c r="AH25" s="16">
        <v>800</v>
      </c>
      <c r="AI25" s="16"/>
      <c r="AJ25" s="16"/>
      <c r="AK25" s="16">
        <v>500</v>
      </c>
      <c r="AL25" s="16">
        <v>0</v>
      </c>
      <c r="AM25" s="16">
        <v>1163</v>
      </c>
      <c r="AN25" s="16"/>
      <c r="BC25" s="13"/>
      <c r="BD25" s="13"/>
      <c r="BE25" s="13"/>
      <c r="BF25" s="13"/>
      <c r="BG25" s="13"/>
      <c r="BH25" s="13"/>
      <c r="BI25" s="13"/>
      <c r="BJ25" s="13"/>
      <c r="BK25" s="13"/>
      <c r="BL25" s="13"/>
      <c r="BM25" s="13"/>
      <c r="BN25" s="13"/>
    </row>
    <row r="26" spans="1:66" x14ac:dyDescent="0.25">
      <c r="A26" s="22">
        <v>24</v>
      </c>
      <c r="B26" s="23">
        <v>1297.9770981883303</v>
      </c>
      <c r="C26" s="24">
        <v>645.11867309874231</v>
      </c>
      <c r="AH26" s="16">
        <v>825</v>
      </c>
      <c r="AI26" s="16"/>
      <c r="AJ26" s="16"/>
      <c r="AK26" s="16">
        <v>525</v>
      </c>
      <c r="AL26" s="16">
        <v>0</v>
      </c>
      <c r="AM26" s="16">
        <v>1163</v>
      </c>
      <c r="AN26" s="16"/>
      <c r="BC26" s="13"/>
      <c r="BD26" s="13"/>
      <c r="BE26" s="13"/>
      <c r="BF26" s="13"/>
      <c r="BG26" s="13"/>
      <c r="BH26" s="13"/>
      <c r="BI26" s="13"/>
      <c r="BJ26" s="13"/>
      <c r="BK26" s="13"/>
      <c r="BL26" s="13"/>
      <c r="BM26" s="13"/>
      <c r="BN26" s="13"/>
    </row>
    <row r="27" spans="1:66" x14ac:dyDescent="0.25">
      <c r="A27" s="22">
        <v>25</v>
      </c>
      <c r="B27" s="23">
        <v>1202.1232542314547</v>
      </c>
      <c r="C27" s="24">
        <v>466.88669041745374</v>
      </c>
      <c r="AH27" s="16">
        <v>850</v>
      </c>
      <c r="AI27" s="16"/>
      <c r="AJ27" s="16"/>
      <c r="AK27" s="16">
        <v>525</v>
      </c>
      <c r="AL27" s="16">
        <v>0</v>
      </c>
      <c r="AM27" s="16">
        <v>1009</v>
      </c>
      <c r="AN27" s="16"/>
      <c r="BC27" s="13"/>
      <c r="BD27" s="13"/>
      <c r="BE27" s="13"/>
      <c r="BF27" s="13"/>
      <c r="BG27" s="13"/>
      <c r="BH27" s="13"/>
      <c r="BI27" s="13"/>
      <c r="BJ27" s="13"/>
      <c r="BK27" s="13"/>
      <c r="BL27" s="13"/>
      <c r="BM27" s="13"/>
      <c r="BN27" s="13"/>
    </row>
    <row r="28" spans="1:66" x14ac:dyDescent="0.25">
      <c r="A28" s="22">
        <v>26</v>
      </c>
      <c r="B28" s="23">
        <v>1476.5031357018174</v>
      </c>
      <c r="C28" s="24">
        <v>529.23930904356416</v>
      </c>
      <c r="AH28" s="16">
        <v>875</v>
      </c>
      <c r="AI28" s="16"/>
      <c r="AJ28" s="16"/>
      <c r="AK28" s="16">
        <v>550</v>
      </c>
      <c r="AL28" s="16">
        <v>0</v>
      </c>
      <c r="AM28" s="16">
        <v>1009</v>
      </c>
      <c r="AN28" s="16"/>
      <c r="BC28" s="13"/>
      <c r="BD28" s="13"/>
      <c r="BE28" s="13"/>
      <c r="BF28" s="13"/>
      <c r="BG28" s="13"/>
      <c r="BH28" s="13"/>
      <c r="BI28" s="13"/>
      <c r="BJ28" s="13"/>
      <c r="BK28" s="13"/>
      <c r="BL28" s="13"/>
      <c r="BM28" s="13"/>
      <c r="BN28" s="13"/>
    </row>
    <row r="29" spans="1:66" x14ac:dyDescent="0.25">
      <c r="A29" s="22">
        <v>27</v>
      </c>
      <c r="B29" s="23">
        <v>1089.4656951006027</v>
      </c>
      <c r="C29" s="24">
        <v>407.66132749343865</v>
      </c>
      <c r="AH29" s="16">
        <v>900</v>
      </c>
      <c r="AI29" s="16"/>
      <c r="AJ29" s="16"/>
      <c r="AK29" s="16">
        <v>550</v>
      </c>
      <c r="AL29" s="16">
        <v>0</v>
      </c>
      <c r="AM29" s="16">
        <v>872</v>
      </c>
      <c r="AN29" s="16"/>
      <c r="BC29" s="13"/>
      <c r="BD29" s="13"/>
      <c r="BE29" s="13"/>
      <c r="BF29" s="13"/>
      <c r="BG29" s="13"/>
      <c r="BH29" s="13"/>
      <c r="BI29" s="13"/>
      <c r="BJ29" s="13"/>
      <c r="BK29" s="13"/>
      <c r="BL29" s="13"/>
      <c r="BM29" s="13"/>
      <c r="BN29" s="13"/>
    </row>
    <row r="30" spans="1:66" x14ac:dyDescent="0.25">
      <c r="A30" s="22">
        <v>28</v>
      </c>
      <c r="B30" s="23">
        <v>1029.4388675032442</v>
      </c>
      <c r="C30" s="24">
        <v>676.06686803075399</v>
      </c>
      <c r="AH30" s="16">
        <v>925</v>
      </c>
      <c r="AI30" s="16"/>
      <c r="AJ30" s="16"/>
      <c r="AK30" s="16">
        <v>575</v>
      </c>
      <c r="AL30" s="16">
        <v>0</v>
      </c>
      <c r="AM30" s="16">
        <v>872</v>
      </c>
      <c r="AN30" s="16"/>
      <c r="BC30" s="13"/>
      <c r="BD30" s="13"/>
      <c r="BE30" s="13"/>
      <c r="BF30" s="13"/>
      <c r="BG30" s="13"/>
      <c r="BH30" s="13"/>
      <c r="BI30" s="13"/>
      <c r="BJ30" s="13"/>
      <c r="BK30" s="13"/>
      <c r="BL30" s="13"/>
      <c r="BM30" s="13"/>
      <c r="BN30" s="13"/>
    </row>
    <row r="31" spans="1:66" x14ac:dyDescent="0.25">
      <c r="A31" s="22">
        <v>29</v>
      </c>
      <c r="B31" s="23">
        <v>1209.4051700831105</v>
      </c>
      <c r="C31" s="24">
        <v>635.04782993110996</v>
      </c>
      <c r="AH31" s="16">
        <v>950</v>
      </c>
      <c r="AI31" s="16"/>
      <c r="AJ31" s="16"/>
      <c r="AK31" s="16">
        <v>575</v>
      </c>
      <c r="AL31" s="16">
        <v>0</v>
      </c>
      <c r="AM31" s="16">
        <v>668</v>
      </c>
      <c r="AN31" s="16"/>
      <c r="BC31" s="13"/>
      <c r="BD31" s="13"/>
      <c r="BE31" s="13"/>
      <c r="BF31" s="13"/>
      <c r="BG31" s="13"/>
      <c r="BH31" s="13"/>
      <c r="BI31" s="13"/>
      <c r="BJ31" s="13"/>
      <c r="BK31" s="13"/>
      <c r="BL31" s="13"/>
      <c r="BM31" s="13"/>
      <c r="BN31" s="13"/>
    </row>
    <row r="32" spans="1:66" x14ac:dyDescent="0.25">
      <c r="A32" s="22">
        <v>30</v>
      </c>
      <c r="B32" s="23">
        <v>1038.5430997663366</v>
      </c>
      <c r="C32" s="24">
        <v>432.4136896131144</v>
      </c>
      <c r="AH32" s="16">
        <v>975</v>
      </c>
      <c r="AI32" s="16"/>
      <c r="AJ32" s="16"/>
      <c r="AK32" s="16">
        <v>600</v>
      </c>
      <c r="AL32" s="16">
        <v>0</v>
      </c>
      <c r="AM32" s="16">
        <v>668</v>
      </c>
      <c r="AN32" s="16"/>
      <c r="BC32" s="13"/>
      <c r="BD32" s="13"/>
      <c r="BE32" s="13"/>
      <c r="BF32" s="13"/>
      <c r="BG32" s="13"/>
      <c r="BH32" s="13"/>
      <c r="BI32" s="13"/>
      <c r="BJ32" s="13"/>
      <c r="BK32" s="13"/>
      <c r="BL32" s="13"/>
      <c r="BM32" s="13"/>
      <c r="BN32" s="13"/>
    </row>
    <row r="33" spans="1:66" x14ac:dyDescent="0.25">
      <c r="A33" s="22">
        <v>31</v>
      </c>
      <c r="B33" s="23">
        <v>1220.1191769852039</v>
      </c>
      <c r="C33" s="24">
        <v>455.1532423042064</v>
      </c>
      <c r="AH33" s="16">
        <v>1000</v>
      </c>
      <c r="AI33" s="16"/>
      <c r="AJ33" s="16"/>
      <c r="AK33" s="16">
        <v>600</v>
      </c>
      <c r="AL33" s="16">
        <v>0</v>
      </c>
      <c r="AM33" s="16">
        <v>485</v>
      </c>
      <c r="AN33" s="16"/>
      <c r="BC33" s="13"/>
      <c r="BD33" s="13"/>
      <c r="BE33" s="13"/>
      <c r="BF33" s="13"/>
      <c r="BG33" s="13"/>
      <c r="BH33" s="13"/>
      <c r="BI33" s="13"/>
      <c r="BJ33" s="13"/>
      <c r="BK33" s="13"/>
      <c r="BL33" s="13"/>
      <c r="BM33" s="13"/>
      <c r="BN33" s="13"/>
    </row>
    <row r="34" spans="1:66" x14ac:dyDescent="0.25">
      <c r="A34" s="22">
        <v>32</v>
      </c>
      <c r="B34" s="23">
        <v>1081.1698617118045</v>
      </c>
      <c r="C34" s="24">
        <v>562.52378323660355</v>
      </c>
      <c r="AH34" s="16">
        <v>1025</v>
      </c>
      <c r="AI34" s="16"/>
      <c r="AJ34" s="16"/>
      <c r="AK34" s="16">
        <v>625</v>
      </c>
      <c r="AL34" s="16">
        <v>0</v>
      </c>
      <c r="AM34" s="16">
        <v>485</v>
      </c>
      <c r="AN34" s="16"/>
      <c r="BC34" s="13"/>
      <c r="BD34" s="13"/>
      <c r="BE34" s="13"/>
      <c r="BF34" s="13"/>
      <c r="BG34" s="13"/>
      <c r="BH34" s="13"/>
      <c r="BI34" s="13"/>
      <c r="BJ34" s="13"/>
      <c r="BK34" s="13"/>
      <c r="BL34" s="13"/>
      <c r="BM34" s="13"/>
      <c r="BN34" s="13"/>
    </row>
    <row r="35" spans="1:66" x14ac:dyDescent="0.25">
      <c r="A35" s="22">
        <v>33</v>
      </c>
      <c r="B35" s="23">
        <v>1693.258626861229</v>
      </c>
      <c r="C35" s="24">
        <v>521.61764687488358</v>
      </c>
      <c r="AH35" s="16">
        <v>1050</v>
      </c>
      <c r="AI35" s="16"/>
      <c r="AJ35" s="16"/>
      <c r="AK35" s="16">
        <v>625</v>
      </c>
      <c r="AL35" s="16">
        <v>2</v>
      </c>
      <c r="AM35" s="16">
        <v>357</v>
      </c>
      <c r="AN35" s="16"/>
      <c r="BC35" s="13"/>
      <c r="BD35" s="13"/>
      <c r="BE35" s="13"/>
      <c r="BF35" s="13"/>
      <c r="BG35" s="13"/>
      <c r="BH35" s="13"/>
      <c r="BI35" s="13"/>
      <c r="BJ35" s="13"/>
      <c r="BK35" s="13"/>
      <c r="BL35" s="13"/>
      <c r="BM35" s="13"/>
      <c r="BN35" s="13"/>
    </row>
    <row r="36" spans="1:66" x14ac:dyDescent="0.25">
      <c r="A36" s="22">
        <v>34</v>
      </c>
      <c r="B36" s="23">
        <v>1257.7060525072272</v>
      </c>
      <c r="C36" s="24">
        <v>431.05564266842782</v>
      </c>
      <c r="AH36" s="16">
        <v>1075</v>
      </c>
      <c r="AI36" s="16"/>
      <c r="AJ36" s="16"/>
      <c r="AK36" s="16">
        <v>650</v>
      </c>
      <c r="AL36" s="16">
        <v>2</v>
      </c>
      <c r="AM36" s="16">
        <v>357</v>
      </c>
      <c r="AN36" s="16"/>
      <c r="BC36" s="13"/>
      <c r="BD36" s="13"/>
      <c r="BE36" s="13"/>
      <c r="BF36" s="13"/>
      <c r="BG36" s="13"/>
      <c r="BH36" s="13"/>
      <c r="BI36" s="13"/>
      <c r="BJ36" s="13"/>
      <c r="BK36" s="13"/>
      <c r="BL36" s="13"/>
      <c r="BM36" s="13"/>
      <c r="BN36" s="13"/>
    </row>
    <row r="37" spans="1:66" x14ac:dyDescent="0.25">
      <c r="A37" s="22">
        <v>35</v>
      </c>
      <c r="B37" s="23">
        <v>1179.2010985192815</v>
      </c>
      <c r="C37" s="24">
        <v>400.46481896425024</v>
      </c>
      <c r="AH37" s="16">
        <v>1100</v>
      </c>
      <c r="AI37" s="16"/>
      <c r="AJ37" s="16"/>
      <c r="AK37" s="16">
        <v>650</v>
      </c>
      <c r="AL37" s="16">
        <v>1</v>
      </c>
      <c r="AM37" s="16">
        <v>238</v>
      </c>
      <c r="AN37" s="16"/>
      <c r="BC37" s="13"/>
      <c r="BD37" s="13"/>
      <c r="BE37" s="13"/>
      <c r="BF37" s="13"/>
      <c r="BG37" s="13"/>
      <c r="BH37" s="13"/>
      <c r="BI37" s="13"/>
      <c r="BJ37" s="13"/>
      <c r="BK37" s="13"/>
      <c r="BL37" s="13"/>
      <c r="BM37" s="13"/>
      <c r="BN37" s="13"/>
    </row>
    <row r="38" spans="1:66" x14ac:dyDescent="0.25">
      <c r="A38" s="22">
        <v>36</v>
      </c>
      <c r="B38" s="23">
        <v>1154.4559275112397</v>
      </c>
      <c r="C38" s="24">
        <v>456.43277076334084</v>
      </c>
      <c r="AH38" s="16">
        <v>1125</v>
      </c>
      <c r="AI38" s="16"/>
      <c r="AJ38" s="16"/>
      <c r="AK38" s="16">
        <v>675</v>
      </c>
      <c r="AL38" s="16">
        <v>1</v>
      </c>
      <c r="AM38" s="16">
        <v>238</v>
      </c>
      <c r="AN38" s="16"/>
      <c r="BC38" s="13"/>
      <c r="BD38" s="13"/>
      <c r="BE38" s="13"/>
      <c r="BF38" s="13"/>
      <c r="BG38" s="13"/>
      <c r="BH38" s="13"/>
      <c r="BI38" s="13"/>
      <c r="BJ38" s="13"/>
      <c r="BK38" s="13"/>
      <c r="BL38" s="13"/>
      <c r="BM38" s="13"/>
      <c r="BN38" s="13"/>
    </row>
    <row r="39" spans="1:66" x14ac:dyDescent="0.25">
      <c r="A39" s="22">
        <v>37</v>
      </c>
      <c r="B39" s="23">
        <v>1069.2177399687073</v>
      </c>
      <c r="C39" s="24">
        <v>575.63824991128433</v>
      </c>
      <c r="AH39" s="16">
        <v>1150</v>
      </c>
      <c r="AI39" s="16"/>
      <c r="AJ39" s="16"/>
      <c r="AK39" s="16">
        <v>675</v>
      </c>
      <c r="AL39" s="16">
        <v>2</v>
      </c>
      <c r="AM39" s="16">
        <v>160</v>
      </c>
      <c r="AN39" s="16"/>
      <c r="BC39" s="13"/>
      <c r="BD39" s="13"/>
      <c r="BE39" s="13"/>
      <c r="BF39" s="13"/>
      <c r="BG39" s="13"/>
      <c r="BH39" s="13"/>
      <c r="BI39" s="13"/>
      <c r="BJ39" s="13"/>
      <c r="BK39" s="13"/>
      <c r="BL39" s="13"/>
      <c r="BM39" s="13"/>
      <c r="BN39" s="13"/>
    </row>
    <row r="40" spans="1:66" x14ac:dyDescent="0.25">
      <c r="A40" s="22">
        <v>38</v>
      </c>
      <c r="B40" s="23">
        <v>1182.3713972443995</v>
      </c>
      <c r="C40" s="24">
        <v>542.29881076257925</v>
      </c>
      <c r="AH40" s="16">
        <v>1175</v>
      </c>
      <c r="AI40" s="16"/>
      <c r="AJ40" s="16"/>
      <c r="AK40" s="16">
        <v>700</v>
      </c>
      <c r="AL40" s="16">
        <v>2</v>
      </c>
      <c r="AM40" s="16">
        <v>160</v>
      </c>
      <c r="AN40" s="16"/>
      <c r="BC40" s="13"/>
      <c r="BD40" s="13"/>
      <c r="BE40" s="13"/>
      <c r="BF40" s="13"/>
      <c r="BG40" s="13"/>
      <c r="BH40" s="13"/>
      <c r="BI40" s="13"/>
      <c r="BJ40" s="13"/>
      <c r="BK40" s="13"/>
      <c r="BL40" s="13"/>
      <c r="BM40" s="13"/>
      <c r="BN40" s="13"/>
    </row>
    <row r="41" spans="1:66" x14ac:dyDescent="0.25">
      <c r="A41" s="22">
        <v>39</v>
      </c>
      <c r="B41" s="23">
        <v>1087.8188811152277</v>
      </c>
      <c r="C41" s="24">
        <v>505.20141838096794</v>
      </c>
      <c r="AH41" s="16">
        <v>1200</v>
      </c>
      <c r="AI41" s="16"/>
      <c r="AJ41" s="16"/>
      <c r="AK41" s="16">
        <v>700</v>
      </c>
      <c r="AL41" s="16">
        <v>3</v>
      </c>
      <c r="AM41" s="16">
        <v>96</v>
      </c>
      <c r="AN41" s="16"/>
      <c r="BC41" s="13"/>
      <c r="BD41" s="13"/>
      <c r="BE41" s="13"/>
      <c r="BF41" s="13"/>
      <c r="BG41" s="13"/>
      <c r="BH41" s="13"/>
      <c r="BI41" s="13"/>
      <c r="BJ41" s="13"/>
      <c r="BK41" s="13"/>
      <c r="BL41" s="13"/>
      <c r="BM41" s="13"/>
      <c r="BN41" s="13"/>
    </row>
    <row r="42" spans="1:66" x14ac:dyDescent="0.25">
      <c r="A42" s="22">
        <v>40</v>
      </c>
      <c r="B42" s="23">
        <v>1108.1640618753981</v>
      </c>
      <c r="C42" s="24">
        <v>503.26490345880609</v>
      </c>
      <c r="AH42" s="16">
        <v>1225</v>
      </c>
      <c r="AI42" s="16"/>
      <c r="AJ42" s="16"/>
      <c r="AK42" s="16">
        <v>725</v>
      </c>
      <c r="AL42" s="16">
        <v>3</v>
      </c>
      <c r="AM42" s="16">
        <v>96</v>
      </c>
      <c r="AN42" s="16"/>
      <c r="BC42" s="13"/>
      <c r="BD42" s="13"/>
      <c r="BE42" s="13"/>
      <c r="BF42" s="13"/>
      <c r="BG42" s="13"/>
      <c r="BH42" s="13"/>
      <c r="BI42" s="13"/>
      <c r="BJ42" s="13"/>
      <c r="BK42" s="13"/>
      <c r="BL42" s="13"/>
      <c r="BM42" s="13"/>
      <c r="BN42" s="13"/>
    </row>
    <row r="43" spans="1:66" x14ac:dyDescent="0.25">
      <c r="A43" s="22">
        <v>41</v>
      </c>
      <c r="B43" s="23">
        <v>1147.9366583747981</v>
      </c>
      <c r="C43" s="24">
        <v>464.54795327992798</v>
      </c>
      <c r="AH43" s="16">
        <v>1250</v>
      </c>
      <c r="AI43" s="16"/>
      <c r="AJ43" s="16"/>
      <c r="AK43" s="16">
        <v>725</v>
      </c>
      <c r="AL43" s="16">
        <v>5</v>
      </c>
      <c r="AM43" s="16">
        <v>56</v>
      </c>
      <c r="AN43" s="16"/>
      <c r="BC43" s="13"/>
      <c r="BD43" s="13"/>
      <c r="BE43" s="13"/>
      <c r="BF43" s="13"/>
      <c r="BG43" s="13"/>
      <c r="BH43" s="13"/>
      <c r="BI43" s="13"/>
      <c r="BJ43" s="13"/>
      <c r="BK43" s="13"/>
      <c r="BL43" s="13"/>
      <c r="BM43" s="13"/>
      <c r="BN43" s="13"/>
    </row>
    <row r="44" spans="1:66" x14ac:dyDescent="0.25">
      <c r="A44" s="22">
        <v>42</v>
      </c>
      <c r="B44" s="23">
        <v>1282.6850135150905</v>
      </c>
      <c r="C44" s="24">
        <v>552.45771150635642</v>
      </c>
      <c r="AH44" s="16">
        <v>1275</v>
      </c>
      <c r="AI44" s="16"/>
      <c r="AJ44" s="16"/>
      <c r="AK44" s="16">
        <v>750</v>
      </c>
      <c r="AL44" s="16">
        <v>5</v>
      </c>
      <c r="AM44" s="16">
        <v>56</v>
      </c>
      <c r="AN44" s="16"/>
      <c r="BC44" s="13"/>
      <c r="BD44" s="13"/>
      <c r="BE44" s="13"/>
      <c r="BF44" s="13"/>
      <c r="BG44" s="13"/>
      <c r="BH44" s="13"/>
      <c r="BI44" s="13"/>
      <c r="BJ44" s="13"/>
      <c r="BK44" s="13"/>
      <c r="BL44" s="13"/>
      <c r="BM44" s="13"/>
      <c r="BN44" s="13"/>
    </row>
    <row r="45" spans="1:66" x14ac:dyDescent="0.25">
      <c r="A45" s="22">
        <v>43</v>
      </c>
      <c r="B45" s="23">
        <v>1144.3857833478971</v>
      </c>
      <c r="C45" s="24">
        <v>566.4519015846306</v>
      </c>
      <c r="AH45" s="16">
        <v>1300</v>
      </c>
      <c r="AI45" s="16"/>
      <c r="AJ45" s="16"/>
      <c r="AK45" s="16">
        <v>750</v>
      </c>
      <c r="AL45" s="16">
        <v>8</v>
      </c>
      <c r="AM45" s="16">
        <v>28</v>
      </c>
      <c r="AN45" s="16"/>
      <c r="BC45" s="13"/>
      <c r="BD45" s="13"/>
      <c r="BE45" s="13"/>
      <c r="BF45" s="13"/>
      <c r="BG45" s="13"/>
      <c r="BH45" s="13"/>
      <c r="BI45" s="13"/>
      <c r="BJ45" s="13"/>
      <c r="BK45" s="13"/>
      <c r="BL45" s="13"/>
      <c r="BM45" s="13"/>
      <c r="BN45" s="13"/>
    </row>
    <row r="46" spans="1:66" x14ac:dyDescent="0.25">
      <c r="A46" s="22">
        <v>44</v>
      </c>
      <c r="B46" s="23">
        <v>966.99677120588126</v>
      </c>
      <c r="C46" s="24">
        <v>595.72287855457296</v>
      </c>
      <c r="I46" s="54"/>
      <c r="AH46" s="16">
        <v>1325</v>
      </c>
      <c r="AI46" s="16"/>
      <c r="AJ46" s="16"/>
      <c r="AK46" s="16">
        <v>775</v>
      </c>
      <c r="AL46" s="16">
        <v>8</v>
      </c>
      <c r="AM46" s="16">
        <v>28</v>
      </c>
      <c r="AN46" s="16"/>
      <c r="BC46" s="13"/>
      <c r="BD46" s="13"/>
      <c r="BE46" s="13"/>
      <c r="BF46" s="13"/>
      <c r="BG46" s="13"/>
      <c r="BH46" s="13"/>
      <c r="BI46" s="13"/>
      <c r="BJ46" s="13"/>
      <c r="BK46" s="13"/>
      <c r="BL46" s="13"/>
      <c r="BM46" s="13"/>
      <c r="BN46" s="13"/>
    </row>
    <row r="47" spans="1:66" x14ac:dyDescent="0.25">
      <c r="A47" s="22">
        <v>45</v>
      </c>
      <c r="B47" s="23">
        <v>1079.1251367873981</v>
      </c>
      <c r="C47" s="24">
        <v>624.76285131957866</v>
      </c>
      <c r="AH47" s="16">
        <v>1350</v>
      </c>
      <c r="AI47" s="16"/>
      <c r="AJ47" s="16"/>
      <c r="AK47" s="16">
        <v>775</v>
      </c>
      <c r="AL47" s="16">
        <v>23</v>
      </c>
      <c r="AM47" s="16">
        <v>28</v>
      </c>
      <c r="AN47" s="16"/>
      <c r="BC47" s="13"/>
      <c r="BD47" s="13"/>
      <c r="BE47" s="13"/>
      <c r="BF47" s="13"/>
      <c r="BG47" s="13"/>
      <c r="BH47" s="13"/>
      <c r="BI47" s="13"/>
      <c r="BJ47" s="13"/>
      <c r="BK47" s="13"/>
      <c r="BL47" s="13"/>
      <c r="BM47" s="13"/>
      <c r="BN47" s="13"/>
    </row>
    <row r="48" spans="1:66" x14ac:dyDescent="0.25">
      <c r="A48" s="22">
        <v>46</v>
      </c>
      <c r="B48" s="23">
        <v>1206.388420758323</v>
      </c>
      <c r="C48" s="24">
        <v>698.63561662901805</v>
      </c>
      <c r="AH48" s="16">
        <v>1375</v>
      </c>
      <c r="AI48" s="16"/>
      <c r="AJ48" s="16"/>
      <c r="AK48" s="16">
        <v>800</v>
      </c>
      <c r="AL48" s="16">
        <v>23</v>
      </c>
      <c r="AM48" s="16">
        <v>28</v>
      </c>
      <c r="AN48" s="16"/>
      <c r="BC48" s="13"/>
      <c r="BD48" s="13"/>
      <c r="BE48" s="13"/>
      <c r="BF48" s="13"/>
      <c r="BG48" s="13"/>
      <c r="BH48" s="13"/>
      <c r="BI48" s="13"/>
      <c r="BJ48" s="13"/>
      <c r="BK48" s="13"/>
      <c r="BL48" s="13"/>
      <c r="BM48" s="13"/>
      <c r="BN48" s="13"/>
    </row>
    <row r="49" spans="1:66" x14ac:dyDescent="0.25">
      <c r="A49" s="22">
        <v>47</v>
      </c>
      <c r="B49" s="23">
        <v>1077.9478147648374</v>
      </c>
      <c r="C49" s="24">
        <v>522.68529286915032</v>
      </c>
      <c r="AH49" s="16">
        <v>1400</v>
      </c>
      <c r="AI49" s="16"/>
      <c r="AJ49" s="16"/>
      <c r="AK49" s="16">
        <v>800</v>
      </c>
      <c r="AL49" s="16">
        <v>44</v>
      </c>
      <c r="AM49" s="16">
        <v>9</v>
      </c>
      <c r="AN49" s="16"/>
      <c r="BC49" s="13"/>
      <c r="BD49" s="13"/>
      <c r="BE49" s="13"/>
      <c r="BF49" s="13"/>
      <c r="BG49" s="13"/>
      <c r="BH49" s="13"/>
      <c r="BI49" s="13"/>
      <c r="BJ49" s="13"/>
      <c r="BK49" s="13"/>
      <c r="BL49" s="13"/>
      <c r="BM49" s="13"/>
      <c r="BN49" s="13"/>
    </row>
    <row r="50" spans="1:66" x14ac:dyDescent="0.25">
      <c r="A50" s="22">
        <v>48</v>
      </c>
      <c r="B50" s="23">
        <v>1136.2842941050333</v>
      </c>
      <c r="C50" s="24">
        <v>383.10986803257981</v>
      </c>
      <c r="AH50" s="16">
        <v>1425</v>
      </c>
      <c r="AI50" s="16"/>
      <c r="AJ50" s="16"/>
      <c r="AK50" s="16">
        <v>825</v>
      </c>
      <c r="AL50" s="16">
        <v>44</v>
      </c>
      <c r="AM50" s="16">
        <v>9</v>
      </c>
      <c r="AN50" s="16"/>
      <c r="BC50" s="13"/>
      <c r="BD50" s="13"/>
      <c r="BE50" s="13"/>
      <c r="BF50" s="13"/>
      <c r="BG50" s="13"/>
      <c r="BH50" s="13"/>
      <c r="BI50" s="13"/>
      <c r="BJ50" s="13"/>
      <c r="BK50" s="13"/>
      <c r="BL50" s="13"/>
      <c r="BM50" s="13"/>
      <c r="BN50" s="13"/>
    </row>
    <row r="51" spans="1:66" x14ac:dyDescent="0.25">
      <c r="A51" s="22">
        <v>49</v>
      </c>
      <c r="B51" s="23">
        <v>1238.2711737857128</v>
      </c>
      <c r="C51" s="24">
        <v>386.17324798631637</v>
      </c>
      <c r="AH51" s="16">
        <v>1450</v>
      </c>
      <c r="AI51" s="16"/>
      <c r="AJ51" s="16"/>
      <c r="AK51" s="16">
        <v>825</v>
      </c>
      <c r="AL51" s="16">
        <v>56</v>
      </c>
      <c r="AM51" s="16">
        <v>4</v>
      </c>
      <c r="AN51" s="16"/>
      <c r="BC51" s="13"/>
      <c r="BD51" s="13"/>
      <c r="BE51" s="13"/>
      <c r="BF51" s="13"/>
      <c r="BG51" s="13"/>
      <c r="BH51" s="13"/>
      <c r="BI51" s="13"/>
      <c r="BJ51" s="13"/>
      <c r="BK51" s="13"/>
      <c r="BL51" s="13"/>
      <c r="BM51" s="13"/>
      <c r="BN51" s="13"/>
    </row>
    <row r="52" spans="1:66" x14ac:dyDescent="0.25">
      <c r="A52" s="22">
        <v>50</v>
      </c>
      <c r="B52" s="23">
        <v>1293.2494095095269</v>
      </c>
      <c r="C52" s="24">
        <v>477.0737017250953</v>
      </c>
      <c r="AH52" s="16">
        <v>1475</v>
      </c>
      <c r="AI52" s="16"/>
      <c r="AJ52" s="16"/>
      <c r="AK52" s="16">
        <v>850</v>
      </c>
      <c r="AL52" s="16">
        <v>56</v>
      </c>
      <c r="AM52" s="16">
        <v>4</v>
      </c>
      <c r="AN52" s="16"/>
      <c r="BC52" s="13"/>
      <c r="BD52" s="13"/>
      <c r="BE52" s="13"/>
      <c r="BF52" s="13"/>
      <c r="BG52" s="13"/>
      <c r="BH52" s="13"/>
      <c r="BI52" s="13"/>
      <c r="BJ52" s="13"/>
      <c r="BK52" s="13"/>
      <c r="BL52" s="13"/>
      <c r="BM52" s="13"/>
      <c r="BN52" s="13"/>
    </row>
    <row r="53" spans="1:66" x14ac:dyDescent="0.25">
      <c r="A53" s="22">
        <v>51</v>
      </c>
      <c r="B53" s="23">
        <v>1155.7040127871917</v>
      </c>
      <c r="C53" s="24">
        <v>551.43200499874069</v>
      </c>
      <c r="AH53" s="16">
        <v>1500</v>
      </c>
      <c r="AI53" s="16"/>
      <c r="AJ53" s="16"/>
      <c r="AK53" s="16">
        <v>850</v>
      </c>
      <c r="AL53" s="16">
        <v>84</v>
      </c>
      <c r="AM53" s="16">
        <v>4</v>
      </c>
      <c r="AN53" s="16"/>
      <c r="BC53" s="13"/>
      <c r="BD53" s="13"/>
      <c r="BE53" s="13"/>
      <c r="BF53" s="13"/>
      <c r="BG53" s="13"/>
      <c r="BH53" s="13"/>
      <c r="BI53" s="13"/>
      <c r="BJ53" s="13"/>
      <c r="BK53" s="13"/>
      <c r="BL53" s="13"/>
      <c r="BM53" s="13"/>
      <c r="BN53" s="13"/>
    </row>
    <row r="54" spans="1:66" x14ac:dyDescent="0.25">
      <c r="A54" s="22">
        <v>52</v>
      </c>
      <c r="B54" s="23">
        <v>1373.0971579860998</v>
      </c>
      <c r="C54" s="24">
        <v>499.82081183556289</v>
      </c>
      <c r="AH54" s="16">
        <v>1525</v>
      </c>
      <c r="AI54" s="16"/>
      <c r="AJ54" s="16"/>
      <c r="AK54" s="16">
        <v>875</v>
      </c>
      <c r="AL54" s="16">
        <v>84</v>
      </c>
      <c r="AM54" s="16">
        <v>4</v>
      </c>
      <c r="AN54" s="16"/>
      <c r="BC54" s="13"/>
      <c r="BD54" s="13"/>
      <c r="BE54" s="13"/>
      <c r="BF54" s="13"/>
      <c r="BG54" s="13"/>
      <c r="BH54" s="13"/>
      <c r="BI54" s="13"/>
      <c r="BJ54" s="13"/>
      <c r="BK54" s="13"/>
      <c r="BL54" s="13"/>
      <c r="BM54" s="13"/>
      <c r="BN54" s="13"/>
    </row>
    <row r="55" spans="1:66" x14ac:dyDescent="0.25">
      <c r="A55" s="22">
        <v>53</v>
      </c>
      <c r="B55" s="23">
        <v>1122.695793487519</v>
      </c>
      <c r="C55" s="24">
        <v>657.33681747374658</v>
      </c>
      <c r="AH55" s="16">
        <v>1550</v>
      </c>
      <c r="AI55" s="16"/>
      <c r="AJ55" s="16"/>
      <c r="AK55" s="16">
        <v>875</v>
      </c>
      <c r="AL55" s="16">
        <v>135</v>
      </c>
      <c r="AM55" s="16">
        <v>3</v>
      </c>
      <c r="AN55" s="16"/>
      <c r="BC55" s="13"/>
      <c r="BD55" s="13"/>
      <c r="BE55" s="13"/>
      <c r="BF55" s="13"/>
      <c r="BG55" s="13"/>
      <c r="BH55" s="13"/>
      <c r="BI55" s="13"/>
      <c r="BJ55" s="13"/>
      <c r="BK55" s="13"/>
      <c r="BL55" s="13"/>
      <c r="BM55" s="13"/>
      <c r="BN55" s="13"/>
    </row>
    <row r="56" spans="1:66" x14ac:dyDescent="0.25">
      <c r="A56" s="22">
        <v>54</v>
      </c>
      <c r="B56" s="23">
        <v>1236.7922877386072</v>
      </c>
      <c r="C56" s="24">
        <v>389.20576121709007</v>
      </c>
      <c r="AH56" s="16">
        <v>1575</v>
      </c>
      <c r="AI56" s="16"/>
      <c r="AJ56" s="16"/>
      <c r="AK56" s="16">
        <v>900</v>
      </c>
      <c r="AL56" s="16">
        <v>135</v>
      </c>
      <c r="AM56" s="16">
        <v>3</v>
      </c>
      <c r="AN56" s="16"/>
      <c r="BC56" s="13"/>
      <c r="BD56" s="13"/>
      <c r="BE56" s="13"/>
      <c r="BF56" s="13"/>
      <c r="BG56" s="13"/>
      <c r="BH56" s="13"/>
      <c r="BI56" s="13"/>
      <c r="BJ56" s="13"/>
      <c r="BK56" s="13"/>
      <c r="BL56" s="13"/>
      <c r="BM56" s="13"/>
      <c r="BN56" s="13"/>
    </row>
    <row r="57" spans="1:66" x14ac:dyDescent="0.25">
      <c r="A57" s="22">
        <v>55</v>
      </c>
      <c r="B57" s="23">
        <v>1026.198427269527</v>
      </c>
      <c r="C57" s="24">
        <v>487.2476998045039</v>
      </c>
      <c r="AH57" s="16">
        <v>1600</v>
      </c>
      <c r="AI57" s="16"/>
      <c r="AJ57" s="16"/>
      <c r="AK57" s="16">
        <v>900</v>
      </c>
      <c r="AL57" s="16">
        <v>189</v>
      </c>
      <c r="AM57" s="16">
        <v>1</v>
      </c>
      <c r="AN57" s="16"/>
      <c r="BC57" s="13"/>
      <c r="BD57" s="13"/>
      <c r="BE57" s="13"/>
      <c r="BF57" s="13"/>
      <c r="BG57" s="13"/>
      <c r="BH57" s="13"/>
      <c r="BI57" s="13"/>
      <c r="BJ57" s="13"/>
      <c r="BK57" s="13"/>
      <c r="BL57" s="13"/>
      <c r="BM57" s="13"/>
      <c r="BN57" s="13"/>
    </row>
    <row r="58" spans="1:66" x14ac:dyDescent="0.25">
      <c r="A58" s="22">
        <v>56</v>
      </c>
      <c r="B58" s="23">
        <v>1073.6397809386226</v>
      </c>
      <c r="C58" s="24">
        <v>640.92265638584581</v>
      </c>
      <c r="AH58" s="16">
        <v>1625</v>
      </c>
      <c r="AI58" s="16"/>
      <c r="AJ58" s="16"/>
      <c r="AK58" s="16">
        <v>925</v>
      </c>
      <c r="AL58" s="16">
        <v>189</v>
      </c>
      <c r="AM58" s="16">
        <v>1</v>
      </c>
      <c r="AN58" s="16"/>
      <c r="BC58" s="13"/>
      <c r="BD58" s="13"/>
      <c r="BE58" s="13"/>
      <c r="BF58" s="13"/>
      <c r="BG58" s="13"/>
      <c r="BH58" s="13"/>
      <c r="BI58" s="13"/>
      <c r="BJ58" s="13"/>
      <c r="BK58" s="13"/>
      <c r="BL58" s="13"/>
      <c r="BM58" s="13"/>
      <c r="BN58" s="13"/>
    </row>
    <row r="59" spans="1:66" x14ac:dyDescent="0.25">
      <c r="A59" s="22">
        <v>57</v>
      </c>
      <c r="B59" s="23">
        <v>1204.0297000525677</v>
      </c>
      <c r="C59" s="24">
        <v>579.40636435268505</v>
      </c>
      <c r="AH59" s="16">
        <v>1650</v>
      </c>
      <c r="AI59" s="16"/>
      <c r="AJ59" s="16"/>
      <c r="AK59" s="16">
        <v>925</v>
      </c>
      <c r="AL59" s="16">
        <v>238</v>
      </c>
      <c r="AM59" s="16">
        <v>0</v>
      </c>
      <c r="AN59" s="16"/>
      <c r="BC59" s="13"/>
      <c r="BD59" s="13"/>
      <c r="BE59" s="13"/>
      <c r="BF59" s="13"/>
      <c r="BG59" s="13"/>
      <c r="BH59" s="13"/>
      <c r="BI59" s="13"/>
      <c r="BJ59" s="13"/>
      <c r="BK59" s="13"/>
      <c r="BL59" s="13"/>
      <c r="BM59" s="13"/>
      <c r="BN59" s="13"/>
    </row>
    <row r="60" spans="1:66" x14ac:dyDescent="0.25">
      <c r="A60" s="22">
        <v>58</v>
      </c>
      <c r="B60" s="23">
        <v>1043.9241098937671</v>
      </c>
      <c r="C60" s="24">
        <v>463.68872326986309</v>
      </c>
      <c r="AH60" s="16">
        <v>1675</v>
      </c>
      <c r="AI60" s="16"/>
      <c r="AJ60" s="16"/>
      <c r="AK60" s="16">
        <v>950</v>
      </c>
      <c r="AL60" s="16">
        <v>238</v>
      </c>
      <c r="AM60" s="16">
        <v>0</v>
      </c>
      <c r="AN60" s="16"/>
      <c r="BC60" s="13"/>
      <c r="BD60" s="13"/>
      <c r="BE60" s="13"/>
      <c r="BF60" s="13"/>
      <c r="BG60" s="13"/>
      <c r="BH60" s="13"/>
      <c r="BI60" s="13"/>
      <c r="BJ60" s="13"/>
      <c r="BK60" s="13"/>
      <c r="BL60" s="13"/>
      <c r="BM60" s="13"/>
      <c r="BN60" s="13"/>
    </row>
    <row r="61" spans="1:66" x14ac:dyDescent="0.25">
      <c r="A61" s="22">
        <v>59</v>
      </c>
      <c r="B61" s="23">
        <v>1254.6256747413481</v>
      </c>
      <c r="C61" s="24">
        <v>518.09734352356054</v>
      </c>
      <c r="AH61" s="16">
        <v>1700</v>
      </c>
      <c r="AI61" s="16"/>
      <c r="AJ61" s="16"/>
      <c r="AK61" s="16">
        <v>950</v>
      </c>
      <c r="AL61" s="16">
        <v>300</v>
      </c>
      <c r="AM61" s="16">
        <v>0</v>
      </c>
      <c r="AN61" s="16"/>
      <c r="BC61" s="13"/>
      <c r="BD61" s="13"/>
      <c r="BE61" s="13"/>
      <c r="BF61" s="13"/>
      <c r="BG61" s="13"/>
      <c r="BH61" s="13"/>
      <c r="BI61" s="13"/>
      <c r="BJ61" s="13"/>
      <c r="BK61" s="13"/>
      <c r="BL61" s="13"/>
      <c r="BM61" s="13"/>
      <c r="BN61" s="13"/>
    </row>
    <row r="62" spans="1:66" x14ac:dyDescent="0.25">
      <c r="A62" s="22">
        <v>60</v>
      </c>
      <c r="B62" s="23">
        <v>1080.9046057728033</v>
      </c>
      <c r="C62" s="24">
        <v>553.53829532455904</v>
      </c>
      <c r="AH62" s="16">
        <v>1725</v>
      </c>
      <c r="AI62" s="16"/>
      <c r="AJ62" s="16"/>
      <c r="AK62" s="16">
        <v>975</v>
      </c>
      <c r="AL62" s="16">
        <v>300</v>
      </c>
      <c r="AM62" s="16">
        <v>0</v>
      </c>
      <c r="AN62" s="16"/>
      <c r="BC62" s="13"/>
      <c r="BD62" s="13"/>
      <c r="BE62" s="13"/>
      <c r="BF62" s="13"/>
      <c r="BG62" s="13"/>
      <c r="BH62" s="13"/>
      <c r="BI62" s="13"/>
      <c r="BJ62" s="13"/>
      <c r="BK62" s="13"/>
      <c r="BL62" s="13"/>
      <c r="BM62" s="13"/>
      <c r="BN62" s="13"/>
    </row>
    <row r="63" spans="1:66" x14ac:dyDescent="0.25">
      <c r="A63" s="22">
        <v>61</v>
      </c>
      <c r="B63" s="23">
        <v>1043.5726671407901</v>
      </c>
      <c r="C63" s="24">
        <v>480.98507493959102</v>
      </c>
      <c r="AH63" s="16">
        <v>1750</v>
      </c>
      <c r="AI63" s="16"/>
      <c r="AJ63" s="16"/>
      <c r="AK63" s="16">
        <v>975</v>
      </c>
      <c r="AL63" s="16">
        <v>361</v>
      </c>
      <c r="AM63" s="16">
        <v>1</v>
      </c>
      <c r="AN63" s="16"/>
      <c r="BC63" s="13"/>
      <c r="BD63" s="13"/>
      <c r="BE63" s="13"/>
      <c r="BF63" s="13"/>
      <c r="BG63" s="13"/>
      <c r="BH63" s="13"/>
      <c r="BI63" s="13"/>
      <c r="BJ63" s="13"/>
      <c r="BK63" s="13"/>
      <c r="BL63" s="13"/>
      <c r="BM63" s="13"/>
      <c r="BN63" s="13"/>
    </row>
    <row r="64" spans="1:66" x14ac:dyDescent="0.25">
      <c r="A64" s="22">
        <v>62</v>
      </c>
      <c r="B64" s="23">
        <v>1060.2419449681863</v>
      </c>
      <c r="C64" s="24">
        <v>410.73428707104432</v>
      </c>
      <c r="AH64" s="16">
        <v>1775</v>
      </c>
      <c r="AI64" s="16"/>
      <c r="AJ64" s="16"/>
      <c r="AK64" s="16">
        <v>1000</v>
      </c>
      <c r="AL64" s="16">
        <v>361</v>
      </c>
      <c r="AM64" s="16">
        <v>1</v>
      </c>
      <c r="AN64" s="16"/>
      <c r="BC64" s="13"/>
      <c r="BD64" s="13"/>
      <c r="BE64" s="13"/>
      <c r="BF64" s="13"/>
      <c r="BG64" s="13"/>
      <c r="BH64" s="13"/>
      <c r="BI64" s="13"/>
      <c r="BJ64" s="13"/>
      <c r="BK64" s="13"/>
      <c r="BL64" s="13"/>
      <c r="BM64" s="13"/>
      <c r="BN64" s="13"/>
    </row>
    <row r="65" spans="1:66" x14ac:dyDescent="0.25">
      <c r="A65" s="22">
        <v>63</v>
      </c>
      <c r="B65" s="23">
        <v>1349.8383789004749</v>
      </c>
      <c r="C65" s="24">
        <v>507.28171565114008</v>
      </c>
      <c r="AH65" s="16">
        <v>1800</v>
      </c>
      <c r="AI65" s="16"/>
      <c r="AJ65" s="16"/>
      <c r="AK65" s="16">
        <v>1000</v>
      </c>
      <c r="AL65" s="16">
        <v>472</v>
      </c>
      <c r="AM65" s="16">
        <v>0</v>
      </c>
      <c r="AN65" s="16"/>
      <c r="BC65" s="13"/>
      <c r="BD65" s="13"/>
      <c r="BE65" s="13"/>
      <c r="BF65" s="13"/>
      <c r="BG65" s="13"/>
      <c r="BH65" s="13"/>
      <c r="BI65" s="13"/>
      <c r="BJ65" s="13"/>
      <c r="BK65" s="13"/>
      <c r="BL65" s="13"/>
      <c r="BM65" s="13"/>
      <c r="BN65" s="13"/>
    </row>
    <row r="66" spans="1:66" x14ac:dyDescent="0.25">
      <c r="A66" s="22">
        <v>64</v>
      </c>
      <c r="B66" s="23">
        <v>1143.7519989834948</v>
      </c>
      <c r="C66" s="24">
        <v>446.31967240441622</v>
      </c>
      <c r="AH66" s="16">
        <v>1825</v>
      </c>
      <c r="AI66" s="16"/>
      <c r="AJ66" s="16"/>
      <c r="AK66" s="16">
        <v>1025</v>
      </c>
      <c r="AL66" s="16">
        <v>472</v>
      </c>
      <c r="AM66" s="16"/>
      <c r="AN66" s="16"/>
      <c r="BC66" s="13"/>
      <c r="BD66" s="13"/>
      <c r="BE66" s="13"/>
      <c r="BF66" s="13"/>
      <c r="BG66" s="13"/>
      <c r="BH66" s="13"/>
      <c r="BI66" s="13"/>
      <c r="BJ66" s="13"/>
      <c r="BK66" s="13"/>
      <c r="BL66" s="13"/>
      <c r="BM66" s="13"/>
      <c r="BN66" s="13"/>
    </row>
    <row r="67" spans="1:66" x14ac:dyDescent="0.25">
      <c r="A67" s="22">
        <v>65</v>
      </c>
      <c r="B67" s="23">
        <v>894.39316386333257</v>
      </c>
      <c r="C67" s="24">
        <v>640.32882802643985</v>
      </c>
      <c r="AH67" s="16"/>
      <c r="AI67" s="16"/>
      <c r="AJ67" s="16"/>
      <c r="AK67" s="16">
        <v>1025</v>
      </c>
      <c r="AL67" s="16">
        <v>527</v>
      </c>
      <c r="AM67" s="16"/>
      <c r="AN67" s="16"/>
      <c r="BC67" s="13"/>
      <c r="BD67" s="13"/>
      <c r="BE67" s="13"/>
      <c r="BF67" s="13"/>
      <c r="BG67" s="13"/>
      <c r="BH67" s="13"/>
      <c r="BI67" s="13"/>
      <c r="BJ67" s="13"/>
      <c r="BK67" s="13"/>
      <c r="BL67" s="13"/>
      <c r="BM67" s="13"/>
      <c r="BN67" s="13"/>
    </row>
    <row r="68" spans="1:66" x14ac:dyDescent="0.25">
      <c r="A68" s="22">
        <v>66</v>
      </c>
      <c r="B68" s="23">
        <v>979.30019442401556</v>
      </c>
      <c r="C68" s="24">
        <v>502.68091054275396</v>
      </c>
      <c r="AK68" s="13">
        <v>1050</v>
      </c>
      <c r="AL68" s="13">
        <v>527</v>
      </c>
      <c r="BC68" s="13"/>
      <c r="BD68" s="13"/>
      <c r="BE68" s="13"/>
      <c r="BF68" s="13"/>
      <c r="BG68" s="13"/>
      <c r="BH68" s="13"/>
      <c r="BI68" s="13"/>
      <c r="BJ68" s="13"/>
      <c r="BK68" s="13"/>
      <c r="BL68" s="13"/>
      <c r="BM68" s="13"/>
      <c r="BN68" s="13"/>
    </row>
    <row r="69" spans="1:66" x14ac:dyDescent="0.25">
      <c r="A69" s="22">
        <v>67</v>
      </c>
      <c r="B69" s="23">
        <v>1355.6191150774389</v>
      </c>
      <c r="C69" s="24">
        <v>487.68310868692402</v>
      </c>
      <c r="AK69" s="13">
        <v>1050</v>
      </c>
      <c r="AL69" s="13">
        <v>561</v>
      </c>
      <c r="BC69" s="13"/>
      <c r="BD69" s="13"/>
      <c r="BE69" s="13"/>
      <c r="BF69" s="13"/>
      <c r="BG69" s="13"/>
      <c r="BH69" s="13"/>
      <c r="BI69" s="13"/>
      <c r="BJ69" s="13"/>
      <c r="BK69" s="13"/>
      <c r="BL69" s="13"/>
      <c r="BM69" s="13"/>
      <c r="BN69" s="13"/>
    </row>
    <row r="70" spans="1:66" x14ac:dyDescent="0.25">
      <c r="A70" s="22">
        <v>68</v>
      </c>
      <c r="B70" s="23">
        <v>1460.1059425323742</v>
      </c>
      <c r="C70" s="24">
        <v>528.57059856735668</v>
      </c>
      <c r="AK70" s="13">
        <v>1075</v>
      </c>
      <c r="AL70" s="13">
        <v>561</v>
      </c>
      <c r="BC70" s="13"/>
      <c r="BD70" s="13"/>
      <c r="BE70" s="13"/>
      <c r="BF70" s="13"/>
      <c r="BG70" s="13"/>
      <c r="BH70" s="13"/>
      <c r="BI70" s="13"/>
      <c r="BJ70" s="13"/>
      <c r="BK70" s="13"/>
      <c r="BL70" s="13"/>
      <c r="BM70" s="13"/>
      <c r="BN70" s="13"/>
    </row>
    <row r="71" spans="1:66" x14ac:dyDescent="0.25">
      <c r="A71" s="22">
        <v>69</v>
      </c>
      <c r="B71" s="23">
        <v>1017.5452769467792</v>
      </c>
      <c r="C71" s="24">
        <v>482.42932281718896</v>
      </c>
      <c r="AK71" s="13">
        <v>1075</v>
      </c>
      <c r="AL71" s="13">
        <v>643</v>
      </c>
      <c r="BC71" s="13"/>
      <c r="BD71" s="13"/>
      <c r="BE71" s="13"/>
      <c r="BF71" s="13"/>
      <c r="BG71" s="13"/>
      <c r="BH71" s="13"/>
      <c r="BI71" s="13"/>
      <c r="BJ71" s="13"/>
      <c r="BK71" s="13"/>
      <c r="BL71" s="13"/>
      <c r="BM71" s="13"/>
      <c r="BN71" s="13"/>
    </row>
    <row r="72" spans="1:66" x14ac:dyDescent="0.25">
      <c r="A72" s="22">
        <v>70</v>
      </c>
      <c r="B72" s="23">
        <v>1060.0403701244336</v>
      </c>
      <c r="C72" s="24">
        <v>422.96336050176404</v>
      </c>
      <c r="AK72" s="13">
        <v>1100</v>
      </c>
      <c r="AL72" s="13">
        <v>643</v>
      </c>
      <c r="BC72" s="13"/>
      <c r="BD72" s="13"/>
      <c r="BE72" s="13"/>
      <c r="BF72" s="13"/>
      <c r="BG72" s="13"/>
      <c r="BH72" s="13"/>
      <c r="BI72" s="13"/>
      <c r="BJ72" s="13"/>
      <c r="BK72" s="13"/>
      <c r="BL72" s="13"/>
      <c r="BM72" s="13"/>
      <c r="BN72" s="13"/>
    </row>
    <row r="73" spans="1:66" x14ac:dyDescent="0.25">
      <c r="A73" s="22">
        <v>71</v>
      </c>
      <c r="B73" s="23">
        <v>1360.5881642623192</v>
      </c>
      <c r="C73" s="24">
        <v>651.0246016530881</v>
      </c>
      <c r="AK73" s="13">
        <v>1100</v>
      </c>
      <c r="AL73" s="13">
        <v>644</v>
      </c>
      <c r="BC73" s="13"/>
      <c r="BD73" s="13"/>
      <c r="BE73" s="13"/>
      <c r="BF73" s="13"/>
      <c r="BG73" s="13"/>
      <c r="BH73" s="13"/>
      <c r="BI73" s="13"/>
      <c r="BJ73" s="13"/>
      <c r="BK73" s="13"/>
      <c r="BL73" s="13"/>
      <c r="BM73" s="13"/>
      <c r="BN73" s="13"/>
    </row>
    <row r="74" spans="1:66" x14ac:dyDescent="0.25">
      <c r="A74" s="22">
        <v>72</v>
      </c>
      <c r="B74" s="23">
        <v>1002.5110137880851</v>
      </c>
      <c r="C74" s="24">
        <v>468.11899018822777</v>
      </c>
      <c r="AK74" s="13">
        <v>1125</v>
      </c>
      <c r="AL74" s="13">
        <v>644</v>
      </c>
      <c r="BC74" s="13"/>
      <c r="BD74" s="13"/>
      <c r="BE74" s="13"/>
      <c r="BF74" s="13"/>
      <c r="BG74" s="13"/>
      <c r="BH74" s="13"/>
      <c r="BI74" s="13"/>
      <c r="BJ74" s="13"/>
      <c r="BK74" s="13"/>
      <c r="BL74" s="13"/>
      <c r="BM74" s="13"/>
      <c r="BN74" s="13"/>
    </row>
    <row r="75" spans="1:66" x14ac:dyDescent="0.25">
      <c r="A75" s="22">
        <v>73</v>
      </c>
      <c r="B75" s="23">
        <v>1227.8875048795662</v>
      </c>
      <c r="C75" s="24">
        <v>545.13920001605504</v>
      </c>
      <c r="AK75" s="13">
        <v>1125</v>
      </c>
      <c r="AL75" s="13">
        <v>652</v>
      </c>
      <c r="BC75" s="13"/>
      <c r="BD75" s="13"/>
      <c r="BE75" s="13"/>
      <c r="BF75" s="13"/>
      <c r="BG75" s="13"/>
      <c r="BH75" s="13"/>
      <c r="BI75" s="13"/>
      <c r="BJ75" s="13"/>
      <c r="BK75" s="13"/>
      <c r="BL75" s="13"/>
      <c r="BM75" s="13"/>
      <c r="BN75" s="13"/>
    </row>
    <row r="76" spans="1:66" x14ac:dyDescent="0.25">
      <c r="A76" s="22">
        <v>74</v>
      </c>
      <c r="B76" s="23">
        <v>1076.6536712333664</v>
      </c>
      <c r="C76" s="24">
        <v>405.61113809229579</v>
      </c>
      <c r="AK76" s="13">
        <v>1150</v>
      </c>
      <c r="AL76" s="13">
        <v>652</v>
      </c>
      <c r="BC76" s="13"/>
      <c r="BD76" s="13"/>
      <c r="BE76" s="13"/>
      <c r="BF76" s="13"/>
      <c r="BG76" s="13"/>
      <c r="BH76" s="13"/>
      <c r="BI76" s="13"/>
      <c r="BJ76" s="13"/>
      <c r="BK76" s="13"/>
      <c r="BL76" s="13"/>
      <c r="BM76" s="13"/>
      <c r="BN76" s="13"/>
    </row>
    <row r="77" spans="1:66" x14ac:dyDescent="0.25">
      <c r="A77" s="22">
        <v>75</v>
      </c>
      <c r="B77" s="23">
        <v>1151.3895185803044</v>
      </c>
      <c r="C77" s="24">
        <v>418.13618168139601</v>
      </c>
      <c r="AK77" s="13">
        <v>1150</v>
      </c>
      <c r="AL77" s="13">
        <v>625</v>
      </c>
      <c r="BC77" s="13"/>
      <c r="BD77" s="13"/>
      <c r="BE77" s="13"/>
      <c r="BF77" s="13"/>
      <c r="BG77" s="13"/>
      <c r="BH77" s="13"/>
      <c r="BI77" s="13"/>
      <c r="BJ77" s="13"/>
      <c r="BK77" s="13"/>
      <c r="BL77" s="13"/>
      <c r="BM77" s="13"/>
      <c r="BN77" s="13"/>
    </row>
    <row r="78" spans="1:66" x14ac:dyDescent="0.25">
      <c r="A78" s="22">
        <v>76</v>
      </c>
      <c r="B78" s="23">
        <v>1538.4815932579929</v>
      </c>
      <c r="C78" s="24">
        <v>379.79885811680219</v>
      </c>
      <c r="AK78" s="13">
        <v>1175</v>
      </c>
      <c r="AL78" s="13">
        <v>625</v>
      </c>
      <c r="BC78" s="13"/>
      <c r="BD78" s="13"/>
      <c r="BE78" s="13"/>
      <c r="BF78" s="13"/>
      <c r="BG78" s="13"/>
      <c r="BH78" s="13"/>
      <c r="BI78" s="13"/>
      <c r="BJ78" s="13"/>
      <c r="BK78" s="13"/>
      <c r="BL78" s="13"/>
      <c r="BM78" s="13"/>
      <c r="BN78" s="13"/>
    </row>
    <row r="79" spans="1:66" x14ac:dyDescent="0.25">
      <c r="A79" s="22">
        <v>77</v>
      </c>
      <c r="B79" s="23">
        <v>1305.2300537791161</v>
      </c>
      <c r="C79" s="24">
        <v>472.96440470015045</v>
      </c>
      <c r="AK79" s="13">
        <v>1175</v>
      </c>
      <c r="AL79" s="13">
        <v>603</v>
      </c>
      <c r="BC79" s="13"/>
      <c r="BD79" s="13"/>
      <c r="BE79" s="13"/>
      <c r="BF79" s="13"/>
      <c r="BG79" s="13"/>
      <c r="BH79" s="13"/>
      <c r="BI79" s="13"/>
      <c r="BJ79" s="13"/>
      <c r="BK79" s="13"/>
      <c r="BL79" s="13"/>
      <c r="BM79" s="13"/>
      <c r="BN79" s="13"/>
    </row>
    <row r="80" spans="1:66" x14ac:dyDescent="0.25">
      <c r="A80" s="22">
        <v>78</v>
      </c>
      <c r="B80" s="23">
        <v>1305.5099627404954</v>
      </c>
      <c r="C80" s="24">
        <v>435.29989561605976</v>
      </c>
      <c r="AK80" s="13">
        <v>1200</v>
      </c>
      <c r="AL80" s="13">
        <v>603</v>
      </c>
      <c r="BC80" s="13"/>
      <c r="BD80" s="13"/>
      <c r="BE80" s="13"/>
      <c r="BF80" s="13"/>
      <c r="BG80" s="13"/>
      <c r="BH80" s="13"/>
      <c r="BI80" s="13"/>
      <c r="BJ80" s="13"/>
      <c r="BK80" s="13"/>
      <c r="BL80" s="13"/>
      <c r="BM80" s="13"/>
      <c r="BN80" s="13"/>
    </row>
    <row r="81" spans="1:66" x14ac:dyDescent="0.25">
      <c r="A81" s="22">
        <v>79</v>
      </c>
      <c r="B81" s="23">
        <v>1212.2866695081173</v>
      </c>
      <c r="C81" s="24">
        <v>471.05178457116199</v>
      </c>
      <c r="AK81" s="13">
        <v>1200</v>
      </c>
      <c r="AL81" s="13">
        <v>624</v>
      </c>
      <c r="BC81" s="13"/>
      <c r="BD81" s="13"/>
      <c r="BE81" s="13"/>
      <c r="BF81" s="13"/>
      <c r="BG81" s="13"/>
      <c r="BH81" s="13"/>
      <c r="BI81" s="13"/>
      <c r="BJ81" s="13"/>
      <c r="BK81" s="13"/>
      <c r="BL81" s="13"/>
      <c r="BM81" s="13"/>
      <c r="BN81" s="13"/>
    </row>
    <row r="82" spans="1:66" x14ac:dyDescent="0.25">
      <c r="A82" s="22">
        <v>80</v>
      </c>
      <c r="B82" s="23">
        <v>1024.359707416538</v>
      </c>
      <c r="C82" s="24">
        <v>622.40518459757072</v>
      </c>
      <c r="AK82" s="13">
        <v>1225</v>
      </c>
      <c r="AL82" s="13">
        <v>624</v>
      </c>
      <c r="BC82" s="13"/>
      <c r="BD82" s="13"/>
      <c r="BE82" s="13"/>
      <c r="BF82" s="13"/>
      <c r="BG82" s="13"/>
      <c r="BH82" s="13"/>
      <c r="BI82" s="13"/>
      <c r="BJ82" s="13"/>
      <c r="BK82" s="13"/>
      <c r="BL82" s="13"/>
      <c r="BM82" s="13"/>
      <c r="BN82" s="13"/>
    </row>
    <row r="83" spans="1:66" x14ac:dyDescent="0.25">
      <c r="A83" s="22">
        <v>81</v>
      </c>
      <c r="B83" s="23">
        <v>1120.1379685057177</v>
      </c>
      <c r="C83" s="24">
        <v>673.26162115948057</v>
      </c>
      <c r="AK83" s="13">
        <v>1225</v>
      </c>
      <c r="AL83" s="13">
        <v>566</v>
      </c>
      <c r="BC83" s="13"/>
      <c r="BD83" s="13"/>
      <c r="BE83" s="13"/>
      <c r="BF83" s="13"/>
      <c r="BG83" s="13"/>
      <c r="BH83" s="13"/>
      <c r="BI83" s="13"/>
      <c r="BJ83" s="13"/>
      <c r="BK83" s="13"/>
      <c r="BL83" s="13"/>
      <c r="BM83" s="13"/>
      <c r="BN83" s="13"/>
    </row>
    <row r="84" spans="1:66" x14ac:dyDescent="0.25">
      <c r="A84" s="22">
        <v>82</v>
      </c>
      <c r="B84" s="23">
        <v>1072.559623756913</v>
      </c>
      <c r="C84" s="24">
        <v>520.88404217788843</v>
      </c>
      <c r="AK84" s="13">
        <v>1250</v>
      </c>
      <c r="AL84" s="13">
        <v>566</v>
      </c>
      <c r="BC84" s="13"/>
      <c r="BD84" s="13"/>
      <c r="BE84" s="13"/>
      <c r="BF84" s="13"/>
      <c r="BG84" s="13"/>
      <c r="BH84" s="13"/>
      <c r="BI84" s="13"/>
      <c r="BJ84" s="13"/>
      <c r="BK84" s="13"/>
      <c r="BL84" s="13"/>
      <c r="BM84" s="13"/>
      <c r="BN84" s="13"/>
    </row>
    <row r="85" spans="1:66" x14ac:dyDescent="0.25">
      <c r="A85" s="22">
        <v>83</v>
      </c>
      <c r="B85" s="23">
        <v>1294.6361649225184</v>
      </c>
      <c r="C85" s="24">
        <v>467.71457603823143</v>
      </c>
      <c r="AK85" s="13">
        <v>1250</v>
      </c>
      <c r="AL85" s="13">
        <v>485</v>
      </c>
      <c r="BC85" s="13"/>
      <c r="BD85" s="13"/>
      <c r="BE85" s="13"/>
      <c r="BF85" s="13"/>
      <c r="BG85" s="13"/>
      <c r="BH85" s="13"/>
      <c r="BI85" s="13"/>
      <c r="BJ85" s="13"/>
      <c r="BK85" s="13"/>
      <c r="BL85" s="13"/>
      <c r="BM85" s="13"/>
      <c r="BN85" s="13"/>
    </row>
    <row r="86" spans="1:66" x14ac:dyDescent="0.25">
      <c r="A86" s="22">
        <v>84</v>
      </c>
      <c r="B86" s="23">
        <v>1331.5594145952359</v>
      </c>
      <c r="C86" s="24">
        <v>380.15965295201249</v>
      </c>
      <c r="AK86" s="13">
        <v>1275</v>
      </c>
      <c r="AL86" s="13">
        <v>485</v>
      </c>
      <c r="BC86" s="13"/>
      <c r="BD86" s="13"/>
      <c r="BE86" s="13"/>
      <c r="BF86" s="13"/>
      <c r="BG86" s="13"/>
      <c r="BH86" s="13"/>
      <c r="BI86" s="13"/>
      <c r="BJ86" s="13"/>
      <c r="BK86" s="13"/>
      <c r="BL86" s="13"/>
      <c r="BM86" s="13"/>
      <c r="BN86" s="13"/>
    </row>
    <row r="87" spans="1:66" x14ac:dyDescent="0.25">
      <c r="A87" s="22">
        <v>85</v>
      </c>
      <c r="B87" s="23">
        <v>1138.4243092852728</v>
      </c>
      <c r="C87" s="24">
        <v>530.56993018696789</v>
      </c>
      <c r="AK87" s="13">
        <v>1275</v>
      </c>
      <c r="AL87" s="13">
        <v>425</v>
      </c>
      <c r="BC87" s="13"/>
      <c r="BD87" s="13"/>
      <c r="BE87" s="13"/>
      <c r="BF87" s="13"/>
      <c r="BG87" s="13"/>
      <c r="BH87" s="13"/>
      <c r="BI87" s="13"/>
      <c r="BJ87" s="13"/>
      <c r="BK87" s="13"/>
      <c r="BL87" s="13"/>
      <c r="BM87" s="13"/>
      <c r="BN87" s="13"/>
    </row>
    <row r="88" spans="1:66" x14ac:dyDescent="0.25">
      <c r="A88" s="22">
        <v>86</v>
      </c>
      <c r="B88" s="23">
        <v>1496.7187887175269</v>
      </c>
      <c r="C88" s="24">
        <v>692.80750603499143</v>
      </c>
      <c r="AK88" s="13">
        <v>1300</v>
      </c>
      <c r="AL88" s="13">
        <v>425</v>
      </c>
      <c r="BC88" s="13"/>
      <c r="BD88" s="13"/>
      <c r="BE88" s="13"/>
      <c r="BF88" s="13"/>
      <c r="BG88" s="13"/>
      <c r="BH88" s="13"/>
      <c r="BI88" s="13"/>
      <c r="BJ88" s="13"/>
      <c r="BK88" s="13"/>
      <c r="BL88" s="13"/>
      <c r="BM88" s="13"/>
      <c r="BN88" s="13"/>
    </row>
    <row r="89" spans="1:66" x14ac:dyDescent="0.25">
      <c r="A89" s="22">
        <v>87</v>
      </c>
      <c r="B89" s="23">
        <v>1159.0093623323673</v>
      </c>
      <c r="C89" s="24">
        <v>511.64427395483182</v>
      </c>
      <c r="AK89" s="13">
        <v>1300</v>
      </c>
      <c r="AL89" s="13">
        <v>329</v>
      </c>
      <c r="BC89" s="13"/>
      <c r="BD89" s="13"/>
      <c r="BE89" s="13"/>
      <c r="BF89" s="13"/>
      <c r="BG89" s="13"/>
      <c r="BH89" s="13"/>
      <c r="BI89" s="13"/>
      <c r="BJ89" s="13"/>
      <c r="BK89" s="13"/>
      <c r="BL89" s="13"/>
      <c r="BM89" s="13"/>
      <c r="BN89" s="13"/>
    </row>
    <row r="90" spans="1:66" x14ac:dyDescent="0.25">
      <c r="A90" s="22">
        <v>88</v>
      </c>
      <c r="B90" s="23">
        <v>1277.4661558383909</v>
      </c>
      <c r="C90" s="24">
        <v>506.13105908675033</v>
      </c>
      <c r="AK90" s="13">
        <v>1325</v>
      </c>
      <c r="AL90" s="13">
        <v>329</v>
      </c>
      <c r="BC90" s="13"/>
      <c r="BD90" s="13"/>
      <c r="BE90" s="13"/>
      <c r="BF90" s="13"/>
      <c r="BG90" s="13"/>
      <c r="BH90" s="13"/>
      <c r="BI90" s="13"/>
      <c r="BJ90" s="13"/>
      <c r="BK90" s="13"/>
      <c r="BL90" s="13"/>
      <c r="BM90" s="13"/>
      <c r="BN90" s="13"/>
    </row>
    <row r="91" spans="1:66" x14ac:dyDescent="0.25">
      <c r="A91" s="22">
        <v>89</v>
      </c>
      <c r="B91" s="23">
        <v>1173.0638232793137</v>
      </c>
      <c r="C91" s="24">
        <v>400.62749036482171</v>
      </c>
      <c r="AK91" s="13">
        <v>1325</v>
      </c>
      <c r="AL91" s="13">
        <v>289</v>
      </c>
      <c r="BC91" s="13"/>
      <c r="BD91" s="13"/>
      <c r="BE91" s="13"/>
      <c r="BF91" s="13"/>
      <c r="BG91" s="13"/>
      <c r="BH91" s="13"/>
      <c r="BI91" s="13"/>
      <c r="BJ91" s="13"/>
      <c r="BK91" s="13"/>
      <c r="BL91" s="13"/>
      <c r="BM91" s="13"/>
      <c r="BN91" s="13"/>
    </row>
    <row r="92" spans="1:66" x14ac:dyDescent="0.25">
      <c r="A92" s="22">
        <v>90</v>
      </c>
      <c r="B92" s="23">
        <v>1181.3088925879301</v>
      </c>
      <c r="C92" s="24">
        <v>437.67558242122385</v>
      </c>
      <c r="AK92" s="13">
        <v>1350</v>
      </c>
      <c r="AL92" s="13">
        <v>289</v>
      </c>
      <c r="BC92" s="13"/>
      <c r="BD92" s="13"/>
      <c r="BE92" s="13"/>
      <c r="BF92" s="13"/>
      <c r="BG92" s="13"/>
      <c r="BH92" s="13"/>
      <c r="BI92" s="13"/>
      <c r="BJ92" s="13"/>
      <c r="BK92" s="13"/>
      <c r="BL92" s="13"/>
      <c r="BM92" s="13"/>
      <c r="BN92" s="13"/>
    </row>
    <row r="93" spans="1:66" x14ac:dyDescent="0.25">
      <c r="A93" s="22">
        <v>91</v>
      </c>
      <c r="B93" s="23">
        <v>1060.425857467661</v>
      </c>
      <c r="C93" s="24">
        <v>452.79562982577482</v>
      </c>
      <c r="AK93" s="13">
        <v>1350</v>
      </c>
      <c r="AL93" s="13">
        <v>244</v>
      </c>
      <c r="BC93" s="13"/>
      <c r="BD93" s="13"/>
      <c r="BE93" s="13"/>
      <c r="BF93" s="13"/>
      <c r="BG93" s="13"/>
      <c r="BH93" s="13"/>
      <c r="BI93" s="13"/>
      <c r="BJ93" s="13"/>
      <c r="BK93" s="13"/>
      <c r="BL93" s="13"/>
      <c r="BM93" s="13"/>
      <c r="BN93" s="13"/>
    </row>
    <row r="94" spans="1:66" x14ac:dyDescent="0.25">
      <c r="A94" s="22">
        <v>92</v>
      </c>
      <c r="B94" s="23">
        <v>1384.0242870259631</v>
      </c>
      <c r="C94" s="24">
        <v>605.10062524413661</v>
      </c>
      <c r="AK94" s="13">
        <v>1375</v>
      </c>
      <c r="AL94" s="13">
        <v>244</v>
      </c>
      <c r="BC94" s="13"/>
      <c r="BD94" s="13"/>
      <c r="BE94" s="13"/>
      <c r="BF94" s="13"/>
      <c r="BG94" s="13"/>
      <c r="BH94" s="13"/>
      <c r="BI94" s="13"/>
      <c r="BJ94" s="13"/>
      <c r="BK94" s="13"/>
      <c r="BL94" s="13"/>
      <c r="BM94" s="13"/>
      <c r="BN94" s="13"/>
    </row>
    <row r="95" spans="1:66" x14ac:dyDescent="0.25">
      <c r="A95" s="22">
        <v>93</v>
      </c>
      <c r="B95" s="23">
        <v>990.73431475842301</v>
      </c>
      <c r="C95" s="24">
        <v>502.9231783724378</v>
      </c>
      <c r="AK95" s="13">
        <v>1375</v>
      </c>
      <c r="AL95" s="13">
        <v>212</v>
      </c>
      <c r="BC95" s="13"/>
      <c r="BD95" s="13"/>
      <c r="BE95" s="13"/>
      <c r="BF95" s="13"/>
      <c r="BG95" s="13"/>
      <c r="BH95" s="13"/>
      <c r="BI95" s="13"/>
      <c r="BJ95" s="13"/>
      <c r="BK95" s="13"/>
      <c r="BL95" s="13"/>
      <c r="BM95" s="13"/>
      <c r="BN95" s="13"/>
    </row>
    <row r="96" spans="1:66" x14ac:dyDescent="0.25">
      <c r="A96" s="22">
        <v>94</v>
      </c>
      <c r="B96" s="23">
        <v>1393.0285474782129</v>
      </c>
      <c r="C96" s="24">
        <v>432.47417518022843</v>
      </c>
      <c r="AK96" s="13">
        <v>1400</v>
      </c>
      <c r="AL96" s="13">
        <v>212</v>
      </c>
      <c r="BC96" s="13"/>
      <c r="BD96" s="13"/>
      <c r="BE96" s="13"/>
      <c r="BF96" s="13"/>
      <c r="BG96" s="13"/>
      <c r="BH96" s="13"/>
      <c r="BI96" s="13"/>
      <c r="BJ96" s="13"/>
      <c r="BK96" s="13"/>
      <c r="BL96" s="13"/>
      <c r="BM96" s="13"/>
      <c r="BN96" s="13"/>
    </row>
    <row r="97" spans="1:66" x14ac:dyDescent="0.25">
      <c r="A97" s="22">
        <v>95</v>
      </c>
      <c r="B97" s="23">
        <v>1159.8066994513297</v>
      </c>
      <c r="C97" s="24">
        <v>481.86160421849058</v>
      </c>
      <c r="AK97" s="13">
        <v>1400</v>
      </c>
      <c r="AL97" s="13">
        <v>179</v>
      </c>
      <c r="BC97" s="13"/>
      <c r="BD97" s="13"/>
      <c r="BE97" s="13"/>
      <c r="BF97" s="13"/>
      <c r="BG97" s="13"/>
      <c r="BH97" s="13"/>
      <c r="BI97" s="13"/>
      <c r="BJ97" s="13"/>
      <c r="BK97" s="13"/>
      <c r="BL97" s="13"/>
      <c r="BM97" s="13"/>
      <c r="BN97" s="13"/>
    </row>
    <row r="98" spans="1:66" x14ac:dyDescent="0.25">
      <c r="A98" s="22">
        <v>96</v>
      </c>
      <c r="B98" s="23">
        <v>984.70021692725913</v>
      </c>
      <c r="C98" s="24">
        <v>423.4790701503174</v>
      </c>
      <c r="AK98" s="13">
        <v>1425</v>
      </c>
      <c r="AL98" s="13">
        <v>179</v>
      </c>
      <c r="BC98" s="13"/>
      <c r="BD98" s="13"/>
      <c r="BE98" s="13"/>
      <c r="BF98" s="13"/>
      <c r="BG98" s="13"/>
      <c r="BH98" s="13"/>
      <c r="BI98" s="13"/>
      <c r="BJ98" s="13"/>
      <c r="BK98" s="13"/>
      <c r="BL98" s="13"/>
      <c r="BM98" s="13"/>
      <c r="BN98" s="13"/>
    </row>
    <row r="99" spans="1:66" x14ac:dyDescent="0.25">
      <c r="A99" s="22">
        <v>97</v>
      </c>
      <c r="B99" s="23">
        <v>1206.6342184842283</v>
      </c>
      <c r="C99" s="24">
        <v>531.74156890421477</v>
      </c>
      <c r="AK99" s="13">
        <v>1425</v>
      </c>
      <c r="AL99" s="13">
        <v>125</v>
      </c>
      <c r="BC99" s="13"/>
      <c r="BD99" s="13"/>
      <c r="BE99" s="13"/>
      <c r="BF99" s="13"/>
      <c r="BG99" s="13"/>
      <c r="BH99" s="13"/>
      <c r="BI99" s="13"/>
      <c r="BJ99" s="13"/>
      <c r="BK99" s="13"/>
      <c r="BL99" s="13"/>
      <c r="BM99" s="13"/>
      <c r="BN99" s="13"/>
    </row>
    <row r="100" spans="1:66" x14ac:dyDescent="0.25">
      <c r="A100" s="22">
        <v>98</v>
      </c>
      <c r="B100" s="23">
        <v>1226.3937933734676</v>
      </c>
      <c r="C100" s="24">
        <v>506.0037079908941</v>
      </c>
      <c r="AK100" s="13">
        <v>1450</v>
      </c>
      <c r="AL100" s="13">
        <v>125</v>
      </c>
      <c r="BC100" s="13"/>
      <c r="BD100" s="13"/>
      <c r="BE100" s="13"/>
      <c r="BF100" s="13"/>
      <c r="BG100" s="13"/>
      <c r="BH100" s="13"/>
      <c r="BI100" s="13"/>
      <c r="BJ100" s="13"/>
      <c r="BK100" s="13"/>
      <c r="BL100" s="13"/>
      <c r="BM100" s="13"/>
      <c r="BN100" s="13"/>
    </row>
    <row r="101" spans="1:66" x14ac:dyDescent="0.25">
      <c r="A101" s="22">
        <v>99</v>
      </c>
      <c r="B101" s="23">
        <v>1092.1112571216904</v>
      </c>
      <c r="C101" s="24">
        <v>555.92555292962084</v>
      </c>
      <c r="AK101" s="13">
        <v>1450</v>
      </c>
      <c r="AL101" s="13">
        <v>76</v>
      </c>
      <c r="BC101" s="13"/>
      <c r="BD101" s="13"/>
      <c r="BE101" s="13"/>
      <c r="BF101" s="13"/>
      <c r="BG101" s="13"/>
      <c r="BH101" s="13"/>
      <c r="BI101" s="13"/>
      <c r="BJ101" s="13"/>
      <c r="BK101" s="13"/>
      <c r="BL101" s="13"/>
      <c r="BM101" s="13"/>
      <c r="BN101" s="13"/>
    </row>
    <row r="102" spans="1:66" x14ac:dyDescent="0.25">
      <c r="A102" s="22">
        <v>100</v>
      </c>
      <c r="B102" s="23">
        <v>1077.4074776868133</v>
      </c>
      <c r="C102" s="24">
        <v>426.53941993409461</v>
      </c>
      <c r="AK102" s="13">
        <v>1475</v>
      </c>
      <c r="AL102" s="13">
        <v>76</v>
      </c>
      <c r="BC102" s="13"/>
      <c r="BD102" s="13"/>
      <c r="BE102" s="13"/>
      <c r="BF102" s="13"/>
      <c r="BG102" s="13"/>
      <c r="BH102" s="13"/>
      <c r="BI102" s="13"/>
      <c r="BJ102" s="13"/>
      <c r="BK102" s="13"/>
      <c r="BL102" s="13"/>
      <c r="BM102" s="13"/>
      <c r="BN102" s="13"/>
    </row>
    <row r="103" spans="1:66" x14ac:dyDescent="0.25">
      <c r="A103" s="55" t="s">
        <v>29</v>
      </c>
      <c r="AK103" s="13">
        <v>1475</v>
      </c>
      <c r="AL103" s="13">
        <v>61</v>
      </c>
    </row>
    <row r="104" spans="1:66" x14ac:dyDescent="0.25">
      <c r="AK104" s="13">
        <v>1500</v>
      </c>
      <c r="AL104" s="13">
        <v>61</v>
      </c>
    </row>
    <row r="105" spans="1:66" x14ac:dyDescent="0.25">
      <c r="AK105" s="13">
        <v>1500</v>
      </c>
      <c r="AL105" s="13">
        <v>51</v>
      </c>
    </row>
    <row r="106" spans="1:66" x14ac:dyDescent="0.25">
      <c r="AK106" s="13">
        <v>1525</v>
      </c>
      <c r="AL106" s="13">
        <v>51</v>
      </c>
    </row>
    <row r="107" spans="1:66" x14ac:dyDescent="0.25">
      <c r="AK107" s="13">
        <v>1525</v>
      </c>
      <c r="AL107" s="13">
        <v>47</v>
      </c>
    </row>
    <row r="108" spans="1:66" x14ac:dyDescent="0.25">
      <c r="AK108" s="13">
        <v>1550</v>
      </c>
      <c r="AL108" s="13">
        <v>47</v>
      </c>
    </row>
    <row r="109" spans="1:66" x14ac:dyDescent="0.25">
      <c r="AK109" s="13">
        <v>1550</v>
      </c>
      <c r="AL109" s="13">
        <v>29</v>
      </c>
    </row>
    <row r="110" spans="1:66" x14ac:dyDescent="0.25">
      <c r="AK110" s="13">
        <v>1575</v>
      </c>
      <c r="AL110" s="13">
        <v>29</v>
      </c>
    </row>
    <row r="111" spans="1:66" x14ac:dyDescent="0.25">
      <c r="AK111" s="13">
        <v>1575</v>
      </c>
      <c r="AL111" s="13">
        <v>24</v>
      </c>
    </row>
    <row r="112" spans="1:66" x14ac:dyDescent="0.25">
      <c r="AK112" s="13">
        <v>1600</v>
      </c>
      <c r="AL112" s="13">
        <v>24</v>
      </c>
    </row>
    <row r="113" spans="37:38" x14ac:dyDescent="0.25">
      <c r="AK113" s="13">
        <v>1600</v>
      </c>
      <c r="AL113" s="13">
        <v>20</v>
      </c>
    </row>
    <row r="114" spans="37:38" x14ac:dyDescent="0.25">
      <c r="AK114" s="13">
        <v>1625</v>
      </c>
      <c r="AL114" s="13">
        <v>20</v>
      </c>
    </row>
    <row r="115" spans="37:38" x14ac:dyDescent="0.25">
      <c r="AK115" s="13">
        <v>1625</v>
      </c>
      <c r="AL115" s="13">
        <v>13</v>
      </c>
    </row>
    <row r="116" spans="37:38" x14ac:dyDescent="0.25">
      <c r="AK116" s="13">
        <v>1650</v>
      </c>
      <c r="AL116" s="13">
        <v>13</v>
      </c>
    </row>
    <row r="117" spans="37:38" x14ac:dyDescent="0.25">
      <c r="AK117" s="13">
        <v>1650</v>
      </c>
      <c r="AL117" s="13">
        <v>9</v>
      </c>
    </row>
    <row r="118" spans="37:38" x14ac:dyDescent="0.25">
      <c r="AK118" s="13">
        <v>1675</v>
      </c>
      <c r="AL118" s="13">
        <v>9</v>
      </c>
    </row>
    <row r="119" spans="37:38" x14ac:dyDescent="0.25">
      <c r="AK119" s="13">
        <v>1675</v>
      </c>
      <c r="AL119" s="13">
        <v>5</v>
      </c>
    </row>
    <row r="120" spans="37:38" x14ac:dyDescent="0.25">
      <c r="AK120" s="13">
        <v>1700</v>
      </c>
      <c r="AL120" s="13">
        <v>5</v>
      </c>
    </row>
    <row r="121" spans="37:38" x14ac:dyDescent="0.25">
      <c r="AK121" s="13">
        <v>1700</v>
      </c>
      <c r="AL121" s="13">
        <v>1</v>
      </c>
    </row>
    <row r="122" spans="37:38" x14ac:dyDescent="0.25">
      <c r="AK122" s="13">
        <v>1725</v>
      </c>
      <c r="AL122" s="13">
        <v>1</v>
      </c>
    </row>
    <row r="123" spans="37:38" x14ac:dyDescent="0.25">
      <c r="AK123" s="13">
        <v>1725</v>
      </c>
      <c r="AL123" s="13">
        <v>3</v>
      </c>
    </row>
    <row r="124" spans="37:38" x14ac:dyDescent="0.25">
      <c r="AK124" s="13">
        <v>1750</v>
      </c>
      <c r="AL124" s="13">
        <v>3</v>
      </c>
    </row>
    <row r="125" spans="37:38" x14ac:dyDescent="0.25">
      <c r="AK125" s="13">
        <v>1750</v>
      </c>
      <c r="AL125" s="13">
        <v>3</v>
      </c>
    </row>
    <row r="126" spans="37:38" x14ac:dyDescent="0.25">
      <c r="AK126" s="13">
        <v>1775</v>
      </c>
      <c r="AL126" s="13">
        <v>3</v>
      </c>
    </row>
    <row r="127" spans="37:38" x14ac:dyDescent="0.25">
      <c r="AK127" s="13">
        <v>1775</v>
      </c>
      <c r="AL127" s="13">
        <v>0</v>
      </c>
    </row>
    <row r="128" spans="37:38" x14ac:dyDescent="0.25">
      <c r="AK128" s="13">
        <v>1800</v>
      </c>
      <c r="AL128" s="13">
        <v>0</v>
      </c>
    </row>
    <row r="129" spans="37:38" x14ac:dyDescent="0.25">
      <c r="AK129" s="13">
        <v>1800</v>
      </c>
      <c r="AL129" s="13">
        <v>2</v>
      </c>
    </row>
    <row r="130" spans="37:38" x14ac:dyDescent="0.25">
      <c r="AK130" s="13">
        <v>1825</v>
      </c>
      <c r="AL130" s="13">
        <v>2</v>
      </c>
    </row>
    <row r="131" spans="37:38" x14ac:dyDescent="0.25">
      <c r="AK131" s="13">
        <v>1825</v>
      </c>
      <c r="AL131" s="13">
        <v>0</v>
      </c>
    </row>
  </sheetData>
  <dataConsolidate/>
  <mergeCells count="4">
    <mergeCell ref="F2:G2"/>
    <mergeCell ref="I4:J4"/>
    <mergeCell ref="K4:L4"/>
    <mergeCell ref="M4:N4"/>
  </mergeCells>
  <pageMargins left="0.75" right="0.75" top="1" bottom="1" header="0.5" footer="0.5"/>
  <pageSetup orientation="portrait" horizontalDpi="200" verticalDpi="200"/>
  <headerFooter alignWithMargin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N203"/>
  <sheetViews>
    <sheetView showGridLines="0" topLeftCell="A2" workbookViewId="0">
      <selection activeCell="O22" sqref="O21:O22"/>
    </sheetView>
  </sheetViews>
  <sheetFormatPr defaultRowHeight="15.75" x14ac:dyDescent="0.25"/>
  <cols>
    <col min="1" max="1" width="8" style="22" customWidth="1"/>
    <col min="2" max="2" width="10.625" style="11" customWidth="1"/>
    <col min="3" max="3" width="10.625" style="12" customWidth="1"/>
    <col min="4" max="4" width="7.625" style="13" customWidth="1"/>
    <col min="5" max="5" width="7.625" style="14" customWidth="1"/>
    <col min="6" max="6" width="11.625" style="15" customWidth="1"/>
    <col min="7" max="7" width="9" style="14"/>
    <col min="8" max="8" width="6.625" style="14" customWidth="1"/>
    <col min="9" max="14" width="10.125" style="14" customWidth="1"/>
    <col min="15" max="17" width="9" style="14"/>
    <col min="18" max="19" width="9" style="13"/>
    <col min="20" max="20" width="14.25" style="13" customWidth="1"/>
    <col min="21" max="22" width="11.25" style="13" customWidth="1"/>
    <col min="23" max="54" width="9" style="13"/>
    <col min="55" max="256" width="9" style="14"/>
    <col min="257" max="257" width="8" style="14" customWidth="1"/>
    <col min="258" max="259" width="10.625" style="14" customWidth="1"/>
    <col min="260" max="261" width="7.625" style="14" customWidth="1"/>
    <col min="262" max="262" width="11.625" style="14" customWidth="1"/>
    <col min="263" max="263" width="9" style="14"/>
    <col min="264" max="264" width="6.625" style="14" customWidth="1"/>
    <col min="265" max="270" width="10.125" style="14" customWidth="1"/>
    <col min="271" max="275" width="9" style="14"/>
    <col min="276" max="276" width="14.25" style="14" customWidth="1"/>
    <col min="277" max="278" width="11.25" style="14" customWidth="1"/>
    <col min="279" max="512" width="9" style="14"/>
    <col min="513" max="513" width="8" style="14" customWidth="1"/>
    <col min="514" max="515" width="10.625" style="14" customWidth="1"/>
    <col min="516" max="517" width="7.625" style="14" customWidth="1"/>
    <col min="518" max="518" width="11.625" style="14" customWidth="1"/>
    <col min="519" max="519" width="9" style="14"/>
    <col min="520" max="520" width="6.625" style="14" customWidth="1"/>
    <col min="521" max="526" width="10.125" style="14" customWidth="1"/>
    <col min="527" max="531" width="9" style="14"/>
    <col min="532" max="532" width="14.25" style="14" customWidth="1"/>
    <col min="533" max="534" width="11.25" style="14" customWidth="1"/>
    <col min="535" max="768" width="9" style="14"/>
    <col min="769" max="769" width="8" style="14" customWidth="1"/>
    <col min="770" max="771" width="10.625" style="14" customWidth="1"/>
    <col min="772" max="773" width="7.625" style="14" customWidth="1"/>
    <col min="774" max="774" width="11.625" style="14" customWidth="1"/>
    <col min="775" max="775" width="9" style="14"/>
    <col min="776" max="776" width="6.625" style="14" customWidth="1"/>
    <col min="777" max="782" width="10.125" style="14" customWidth="1"/>
    <col min="783" max="787" width="9" style="14"/>
    <col min="788" max="788" width="14.25" style="14" customWidth="1"/>
    <col min="789" max="790" width="11.25" style="14" customWidth="1"/>
    <col min="791" max="1024" width="9" style="14"/>
    <col min="1025" max="1025" width="8" style="14" customWidth="1"/>
    <col min="1026" max="1027" width="10.625" style="14" customWidth="1"/>
    <col min="1028" max="1029" width="7.625" style="14" customWidth="1"/>
    <col min="1030" max="1030" width="11.625" style="14" customWidth="1"/>
    <col min="1031" max="1031" width="9" style="14"/>
    <col min="1032" max="1032" width="6.625" style="14" customWidth="1"/>
    <col min="1033" max="1038" width="10.125" style="14" customWidth="1"/>
    <col min="1039" max="1043" width="9" style="14"/>
    <col min="1044" max="1044" width="14.25" style="14" customWidth="1"/>
    <col min="1045" max="1046" width="11.25" style="14" customWidth="1"/>
    <col min="1047" max="1280" width="9" style="14"/>
    <col min="1281" max="1281" width="8" style="14" customWidth="1"/>
    <col min="1282" max="1283" width="10.625" style="14" customWidth="1"/>
    <col min="1284" max="1285" width="7.625" style="14" customWidth="1"/>
    <col min="1286" max="1286" width="11.625" style="14" customWidth="1"/>
    <col min="1287" max="1287" width="9" style="14"/>
    <col min="1288" max="1288" width="6.625" style="14" customWidth="1"/>
    <col min="1289" max="1294" width="10.125" style="14" customWidth="1"/>
    <col min="1295" max="1299" width="9" style="14"/>
    <col min="1300" max="1300" width="14.25" style="14" customWidth="1"/>
    <col min="1301" max="1302" width="11.25" style="14" customWidth="1"/>
    <col min="1303" max="1536" width="9" style="14"/>
    <col min="1537" max="1537" width="8" style="14" customWidth="1"/>
    <col min="1538" max="1539" width="10.625" style="14" customWidth="1"/>
    <col min="1540" max="1541" width="7.625" style="14" customWidth="1"/>
    <col min="1542" max="1542" width="11.625" style="14" customWidth="1"/>
    <col min="1543" max="1543" width="9" style="14"/>
    <col min="1544" max="1544" width="6.625" style="14" customWidth="1"/>
    <col min="1545" max="1550" width="10.125" style="14" customWidth="1"/>
    <col min="1551" max="1555" width="9" style="14"/>
    <col min="1556" max="1556" width="14.25" style="14" customWidth="1"/>
    <col min="1557" max="1558" width="11.25" style="14" customWidth="1"/>
    <col min="1559" max="1792" width="9" style="14"/>
    <col min="1793" max="1793" width="8" style="14" customWidth="1"/>
    <col min="1794" max="1795" width="10.625" style="14" customWidth="1"/>
    <col min="1796" max="1797" width="7.625" style="14" customWidth="1"/>
    <col min="1798" max="1798" width="11.625" style="14" customWidth="1"/>
    <col min="1799" max="1799" width="9" style="14"/>
    <col min="1800" max="1800" width="6.625" style="14" customWidth="1"/>
    <col min="1801" max="1806" width="10.125" style="14" customWidth="1"/>
    <col min="1807" max="1811" width="9" style="14"/>
    <col min="1812" max="1812" width="14.25" style="14" customWidth="1"/>
    <col min="1813" max="1814" width="11.25" style="14" customWidth="1"/>
    <col min="1815" max="2048" width="9" style="14"/>
    <col min="2049" max="2049" width="8" style="14" customWidth="1"/>
    <col min="2050" max="2051" width="10.625" style="14" customWidth="1"/>
    <col min="2052" max="2053" width="7.625" style="14" customWidth="1"/>
    <col min="2054" max="2054" width="11.625" style="14" customWidth="1"/>
    <col min="2055" max="2055" width="9" style="14"/>
    <col min="2056" max="2056" width="6.625" style="14" customWidth="1"/>
    <col min="2057" max="2062" width="10.125" style="14" customWidth="1"/>
    <col min="2063" max="2067" width="9" style="14"/>
    <col min="2068" max="2068" width="14.25" style="14" customWidth="1"/>
    <col min="2069" max="2070" width="11.25" style="14" customWidth="1"/>
    <col min="2071" max="2304" width="9" style="14"/>
    <col min="2305" max="2305" width="8" style="14" customWidth="1"/>
    <col min="2306" max="2307" width="10.625" style="14" customWidth="1"/>
    <col min="2308" max="2309" width="7.625" style="14" customWidth="1"/>
    <col min="2310" max="2310" width="11.625" style="14" customWidth="1"/>
    <col min="2311" max="2311" width="9" style="14"/>
    <col min="2312" max="2312" width="6.625" style="14" customWidth="1"/>
    <col min="2313" max="2318" width="10.125" style="14" customWidth="1"/>
    <col min="2319" max="2323" width="9" style="14"/>
    <col min="2324" max="2324" width="14.25" style="14" customWidth="1"/>
    <col min="2325" max="2326" width="11.25" style="14" customWidth="1"/>
    <col min="2327" max="2560" width="9" style="14"/>
    <col min="2561" max="2561" width="8" style="14" customWidth="1"/>
    <col min="2562" max="2563" width="10.625" style="14" customWidth="1"/>
    <col min="2564" max="2565" width="7.625" style="14" customWidth="1"/>
    <col min="2566" max="2566" width="11.625" style="14" customWidth="1"/>
    <col min="2567" max="2567" width="9" style="14"/>
    <col min="2568" max="2568" width="6.625" style="14" customWidth="1"/>
    <col min="2569" max="2574" width="10.125" style="14" customWidth="1"/>
    <col min="2575" max="2579" width="9" style="14"/>
    <col min="2580" max="2580" width="14.25" style="14" customWidth="1"/>
    <col min="2581" max="2582" width="11.25" style="14" customWidth="1"/>
    <col min="2583" max="2816" width="9" style="14"/>
    <col min="2817" max="2817" width="8" style="14" customWidth="1"/>
    <col min="2818" max="2819" width="10.625" style="14" customWidth="1"/>
    <col min="2820" max="2821" width="7.625" style="14" customWidth="1"/>
    <col min="2822" max="2822" width="11.625" style="14" customWidth="1"/>
    <col min="2823" max="2823" width="9" style="14"/>
    <col min="2824" max="2824" width="6.625" style="14" customWidth="1"/>
    <col min="2825" max="2830" width="10.125" style="14" customWidth="1"/>
    <col min="2831" max="2835" width="9" style="14"/>
    <col min="2836" max="2836" width="14.25" style="14" customWidth="1"/>
    <col min="2837" max="2838" width="11.25" style="14" customWidth="1"/>
    <col min="2839" max="3072" width="9" style="14"/>
    <col min="3073" max="3073" width="8" style="14" customWidth="1"/>
    <col min="3074" max="3075" width="10.625" style="14" customWidth="1"/>
    <col min="3076" max="3077" width="7.625" style="14" customWidth="1"/>
    <col min="3078" max="3078" width="11.625" style="14" customWidth="1"/>
    <col min="3079" max="3079" width="9" style="14"/>
    <col min="3080" max="3080" width="6.625" style="14" customWidth="1"/>
    <col min="3081" max="3086" width="10.125" style="14" customWidth="1"/>
    <col min="3087" max="3091" width="9" style="14"/>
    <col min="3092" max="3092" width="14.25" style="14" customWidth="1"/>
    <col min="3093" max="3094" width="11.25" style="14" customWidth="1"/>
    <col min="3095" max="3328" width="9" style="14"/>
    <col min="3329" max="3329" width="8" style="14" customWidth="1"/>
    <col min="3330" max="3331" width="10.625" style="14" customWidth="1"/>
    <col min="3332" max="3333" width="7.625" style="14" customWidth="1"/>
    <col min="3334" max="3334" width="11.625" style="14" customWidth="1"/>
    <col min="3335" max="3335" width="9" style="14"/>
    <col min="3336" max="3336" width="6.625" style="14" customWidth="1"/>
    <col min="3337" max="3342" width="10.125" style="14" customWidth="1"/>
    <col min="3343" max="3347" width="9" style="14"/>
    <col min="3348" max="3348" width="14.25" style="14" customWidth="1"/>
    <col min="3349" max="3350" width="11.25" style="14" customWidth="1"/>
    <col min="3351" max="3584" width="9" style="14"/>
    <col min="3585" max="3585" width="8" style="14" customWidth="1"/>
    <col min="3586" max="3587" width="10.625" style="14" customWidth="1"/>
    <col min="3588" max="3589" width="7.625" style="14" customWidth="1"/>
    <col min="3590" max="3590" width="11.625" style="14" customWidth="1"/>
    <col min="3591" max="3591" width="9" style="14"/>
    <col min="3592" max="3592" width="6.625" style="14" customWidth="1"/>
    <col min="3593" max="3598" width="10.125" style="14" customWidth="1"/>
    <col min="3599" max="3603" width="9" style="14"/>
    <col min="3604" max="3604" width="14.25" style="14" customWidth="1"/>
    <col min="3605" max="3606" width="11.25" style="14" customWidth="1"/>
    <col min="3607" max="3840" width="9" style="14"/>
    <col min="3841" max="3841" width="8" style="14" customWidth="1"/>
    <col min="3842" max="3843" width="10.625" style="14" customWidth="1"/>
    <col min="3844" max="3845" width="7.625" style="14" customWidth="1"/>
    <col min="3846" max="3846" width="11.625" style="14" customWidth="1"/>
    <col min="3847" max="3847" width="9" style="14"/>
    <col min="3848" max="3848" width="6.625" style="14" customWidth="1"/>
    <col min="3849" max="3854" width="10.125" style="14" customWidth="1"/>
    <col min="3855" max="3859" width="9" style="14"/>
    <col min="3860" max="3860" width="14.25" style="14" customWidth="1"/>
    <col min="3861" max="3862" width="11.25" style="14" customWidth="1"/>
    <col min="3863" max="4096" width="9" style="14"/>
    <col min="4097" max="4097" width="8" style="14" customWidth="1"/>
    <col min="4098" max="4099" width="10.625" style="14" customWidth="1"/>
    <col min="4100" max="4101" width="7.625" style="14" customWidth="1"/>
    <col min="4102" max="4102" width="11.625" style="14" customWidth="1"/>
    <col min="4103" max="4103" width="9" style="14"/>
    <col min="4104" max="4104" width="6.625" style="14" customWidth="1"/>
    <col min="4105" max="4110" width="10.125" style="14" customWidth="1"/>
    <col min="4111" max="4115" width="9" style="14"/>
    <col min="4116" max="4116" width="14.25" style="14" customWidth="1"/>
    <col min="4117" max="4118" width="11.25" style="14" customWidth="1"/>
    <col min="4119" max="4352" width="9" style="14"/>
    <col min="4353" max="4353" width="8" style="14" customWidth="1"/>
    <col min="4354" max="4355" width="10.625" style="14" customWidth="1"/>
    <col min="4356" max="4357" width="7.625" style="14" customWidth="1"/>
    <col min="4358" max="4358" width="11.625" style="14" customWidth="1"/>
    <col min="4359" max="4359" width="9" style="14"/>
    <col min="4360" max="4360" width="6.625" style="14" customWidth="1"/>
    <col min="4361" max="4366" width="10.125" style="14" customWidth="1"/>
    <col min="4367" max="4371" width="9" style="14"/>
    <col min="4372" max="4372" width="14.25" style="14" customWidth="1"/>
    <col min="4373" max="4374" width="11.25" style="14" customWidth="1"/>
    <col min="4375" max="4608" width="9" style="14"/>
    <col min="4609" max="4609" width="8" style="14" customWidth="1"/>
    <col min="4610" max="4611" width="10.625" style="14" customWidth="1"/>
    <col min="4612" max="4613" width="7.625" style="14" customWidth="1"/>
    <col min="4614" max="4614" width="11.625" style="14" customWidth="1"/>
    <col min="4615" max="4615" width="9" style="14"/>
    <col min="4616" max="4616" width="6.625" style="14" customWidth="1"/>
    <col min="4617" max="4622" width="10.125" style="14" customWidth="1"/>
    <col min="4623" max="4627" width="9" style="14"/>
    <col min="4628" max="4628" width="14.25" style="14" customWidth="1"/>
    <col min="4629" max="4630" width="11.25" style="14" customWidth="1"/>
    <col min="4631" max="4864" width="9" style="14"/>
    <col min="4865" max="4865" width="8" style="14" customWidth="1"/>
    <col min="4866" max="4867" width="10.625" style="14" customWidth="1"/>
    <col min="4868" max="4869" width="7.625" style="14" customWidth="1"/>
    <col min="4870" max="4870" width="11.625" style="14" customWidth="1"/>
    <col min="4871" max="4871" width="9" style="14"/>
    <col min="4872" max="4872" width="6.625" style="14" customWidth="1"/>
    <col min="4873" max="4878" width="10.125" style="14" customWidth="1"/>
    <col min="4879" max="4883" width="9" style="14"/>
    <col min="4884" max="4884" width="14.25" style="14" customWidth="1"/>
    <col min="4885" max="4886" width="11.25" style="14" customWidth="1"/>
    <col min="4887" max="5120" width="9" style="14"/>
    <col min="5121" max="5121" width="8" style="14" customWidth="1"/>
    <col min="5122" max="5123" width="10.625" style="14" customWidth="1"/>
    <col min="5124" max="5125" width="7.625" style="14" customWidth="1"/>
    <col min="5126" max="5126" width="11.625" style="14" customWidth="1"/>
    <col min="5127" max="5127" width="9" style="14"/>
    <col min="5128" max="5128" width="6.625" style="14" customWidth="1"/>
    <col min="5129" max="5134" width="10.125" style="14" customWidth="1"/>
    <col min="5135" max="5139" width="9" style="14"/>
    <col min="5140" max="5140" width="14.25" style="14" customWidth="1"/>
    <col min="5141" max="5142" width="11.25" style="14" customWidth="1"/>
    <col min="5143" max="5376" width="9" style="14"/>
    <col min="5377" max="5377" width="8" style="14" customWidth="1"/>
    <col min="5378" max="5379" width="10.625" style="14" customWidth="1"/>
    <col min="5380" max="5381" width="7.625" style="14" customWidth="1"/>
    <col min="5382" max="5382" width="11.625" style="14" customWidth="1"/>
    <col min="5383" max="5383" width="9" style="14"/>
    <col min="5384" max="5384" width="6.625" style="14" customWidth="1"/>
    <col min="5385" max="5390" width="10.125" style="14" customWidth="1"/>
    <col min="5391" max="5395" width="9" style="14"/>
    <col min="5396" max="5396" width="14.25" style="14" customWidth="1"/>
    <col min="5397" max="5398" width="11.25" style="14" customWidth="1"/>
    <col min="5399" max="5632" width="9" style="14"/>
    <col min="5633" max="5633" width="8" style="14" customWidth="1"/>
    <col min="5634" max="5635" width="10.625" style="14" customWidth="1"/>
    <col min="5636" max="5637" width="7.625" style="14" customWidth="1"/>
    <col min="5638" max="5638" width="11.625" style="14" customWidth="1"/>
    <col min="5639" max="5639" width="9" style="14"/>
    <col min="5640" max="5640" width="6.625" style="14" customWidth="1"/>
    <col min="5641" max="5646" width="10.125" style="14" customWidth="1"/>
    <col min="5647" max="5651" width="9" style="14"/>
    <col min="5652" max="5652" width="14.25" style="14" customWidth="1"/>
    <col min="5653" max="5654" width="11.25" style="14" customWidth="1"/>
    <col min="5655" max="5888" width="9" style="14"/>
    <col min="5889" max="5889" width="8" style="14" customWidth="1"/>
    <col min="5890" max="5891" width="10.625" style="14" customWidth="1"/>
    <col min="5892" max="5893" width="7.625" style="14" customWidth="1"/>
    <col min="5894" max="5894" width="11.625" style="14" customWidth="1"/>
    <col min="5895" max="5895" width="9" style="14"/>
    <col min="5896" max="5896" width="6.625" style="14" customWidth="1"/>
    <col min="5897" max="5902" width="10.125" style="14" customWidth="1"/>
    <col min="5903" max="5907" width="9" style="14"/>
    <col min="5908" max="5908" width="14.25" style="14" customWidth="1"/>
    <col min="5909" max="5910" width="11.25" style="14" customWidth="1"/>
    <col min="5911" max="6144" width="9" style="14"/>
    <col min="6145" max="6145" width="8" style="14" customWidth="1"/>
    <col min="6146" max="6147" width="10.625" style="14" customWidth="1"/>
    <col min="6148" max="6149" width="7.625" style="14" customWidth="1"/>
    <col min="6150" max="6150" width="11.625" style="14" customWidth="1"/>
    <col min="6151" max="6151" width="9" style="14"/>
    <col min="6152" max="6152" width="6.625" style="14" customWidth="1"/>
    <col min="6153" max="6158" width="10.125" style="14" customWidth="1"/>
    <col min="6159" max="6163" width="9" style="14"/>
    <col min="6164" max="6164" width="14.25" style="14" customWidth="1"/>
    <col min="6165" max="6166" width="11.25" style="14" customWidth="1"/>
    <col min="6167" max="6400" width="9" style="14"/>
    <col min="6401" max="6401" width="8" style="14" customWidth="1"/>
    <col min="6402" max="6403" width="10.625" style="14" customWidth="1"/>
    <col min="6404" max="6405" width="7.625" style="14" customWidth="1"/>
    <col min="6406" max="6406" width="11.625" style="14" customWidth="1"/>
    <col min="6407" max="6407" width="9" style="14"/>
    <col min="6408" max="6408" width="6.625" style="14" customWidth="1"/>
    <col min="6409" max="6414" width="10.125" style="14" customWidth="1"/>
    <col min="6415" max="6419" width="9" style="14"/>
    <col min="6420" max="6420" width="14.25" style="14" customWidth="1"/>
    <col min="6421" max="6422" width="11.25" style="14" customWidth="1"/>
    <col min="6423" max="6656" width="9" style="14"/>
    <col min="6657" max="6657" width="8" style="14" customWidth="1"/>
    <col min="6658" max="6659" width="10.625" style="14" customWidth="1"/>
    <col min="6660" max="6661" width="7.625" style="14" customWidth="1"/>
    <col min="6662" max="6662" width="11.625" style="14" customWidth="1"/>
    <col min="6663" max="6663" width="9" style="14"/>
    <col min="6664" max="6664" width="6.625" style="14" customWidth="1"/>
    <col min="6665" max="6670" width="10.125" style="14" customWidth="1"/>
    <col min="6671" max="6675" width="9" style="14"/>
    <col min="6676" max="6676" width="14.25" style="14" customWidth="1"/>
    <col min="6677" max="6678" width="11.25" style="14" customWidth="1"/>
    <col min="6679" max="6912" width="9" style="14"/>
    <col min="6913" max="6913" width="8" style="14" customWidth="1"/>
    <col min="6914" max="6915" width="10.625" style="14" customWidth="1"/>
    <col min="6916" max="6917" width="7.625" style="14" customWidth="1"/>
    <col min="6918" max="6918" width="11.625" style="14" customWidth="1"/>
    <col min="6919" max="6919" width="9" style="14"/>
    <col min="6920" max="6920" width="6.625" style="14" customWidth="1"/>
    <col min="6921" max="6926" width="10.125" style="14" customWidth="1"/>
    <col min="6927" max="6931" width="9" style="14"/>
    <col min="6932" max="6932" width="14.25" style="14" customWidth="1"/>
    <col min="6933" max="6934" width="11.25" style="14" customWidth="1"/>
    <col min="6935" max="7168" width="9" style="14"/>
    <col min="7169" max="7169" width="8" style="14" customWidth="1"/>
    <col min="7170" max="7171" width="10.625" style="14" customWidth="1"/>
    <col min="7172" max="7173" width="7.625" style="14" customWidth="1"/>
    <col min="7174" max="7174" width="11.625" style="14" customWidth="1"/>
    <col min="7175" max="7175" width="9" style="14"/>
    <col min="7176" max="7176" width="6.625" style="14" customWidth="1"/>
    <col min="7177" max="7182" width="10.125" style="14" customWidth="1"/>
    <col min="7183" max="7187" width="9" style="14"/>
    <col min="7188" max="7188" width="14.25" style="14" customWidth="1"/>
    <col min="7189" max="7190" width="11.25" style="14" customWidth="1"/>
    <col min="7191" max="7424" width="9" style="14"/>
    <col min="7425" max="7425" width="8" style="14" customWidth="1"/>
    <col min="7426" max="7427" width="10.625" style="14" customWidth="1"/>
    <col min="7428" max="7429" width="7.625" style="14" customWidth="1"/>
    <col min="7430" max="7430" width="11.625" style="14" customWidth="1"/>
    <col min="7431" max="7431" width="9" style="14"/>
    <col min="7432" max="7432" width="6.625" style="14" customWidth="1"/>
    <col min="7433" max="7438" width="10.125" style="14" customWidth="1"/>
    <col min="7439" max="7443" width="9" style="14"/>
    <col min="7444" max="7444" width="14.25" style="14" customWidth="1"/>
    <col min="7445" max="7446" width="11.25" style="14" customWidth="1"/>
    <col min="7447" max="7680" width="9" style="14"/>
    <col min="7681" max="7681" width="8" style="14" customWidth="1"/>
    <col min="7682" max="7683" width="10.625" style="14" customWidth="1"/>
    <col min="7684" max="7685" width="7.625" style="14" customWidth="1"/>
    <col min="7686" max="7686" width="11.625" style="14" customWidth="1"/>
    <col min="7687" max="7687" width="9" style="14"/>
    <col min="7688" max="7688" width="6.625" style="14" customWidth="1"/>
    <col min="7689" max="7694" width="10.125" style="14" customWidth="1"/>
    <col min="7695" max="7699" width="9" style="14"/>
    <col min="7700" max="7700" width="14.25" style="14" customWidth="1"/>
    <col min="7701" max="7702" width="11.25" style="14" customWidth="1"/>
    <col min="7703" max="7936" width="9" style="14"/>
    <col min="7937" max="7937" width="8" style="14" customWidth="1"/>
    <col min="7938" max="7939" width="10.625" style="14" customWidth="1"/>
    <col min="7940" max="7941" width="7.625" style="14" customWidth="1"/>
    <col min="7942" max="7942" width="11.625" style="14" customWidth="1"/>
    <col min="7943" max="7943" width="9" style="14"/>
    <col min="7944" max="7944" width="6.625" style="14" customWidth="1"/>
    <col min="7945" max="7950" width="10.125" style="14" customWidth="1"/>
    <col min="7951" max="7955" width="9" style="14"/>
    <col min="7956" max="7956" width="14.25" style="14" customWidth="1"/>
    <col min="7957" max="7958" width="11.25" style="14" customWidth="1"/>
    <col min="7959" max="8192" width="9" style="14"/>
    <col min="8193" max="8193" width="8" style="14" customWidth="1"/>
    <col min="8194" max="8195" width="10.625" style="14" customWidth="1"/>
    <col min="8196" max="8197" width="7.625" style="14" customWidth="1"/>
    <col min="8198" max="8198" width="11.625" style="14" customWidth="1"/>
    <col min="8199" max="8199" width="9" style="14"/>
    <col min="8200" max="8200" width="6.625" style="14" customWidth="1"/>
    <col min="8201" max="8206" width="10.125" style="14" customWidth="1"/>
    <col min="8207" max="8211" width="9" style="14"/>
    <col min="8212" max="8212" width="14.25" style="14" customWidth="1"/>
    <col min="8213" max="8214" width="11.25" style="14" customWidth="1"/>
    <col min="8215" max="8448" width="9" style="14"/>
    <col min="8449" max="8449" width="8" style="14" customWidth="1"/>
    <col min="8450" max="8451" width="10.625" style="14" customWidth="1"/>
    <col min="8452" max="8453" width="7.625" style="14" customWidth="1"/>
    <col min="8454" max="8454" width="11.625" style="14" customWidth="1"/>
    <col min="8455" max="8455" width="9" style="14"/>
    <col min="8456" max="8456" width="6.625" style="14" customWidth="1"/>
    <col min="8457" max="8462" width="10.125" style="14" customWidth="1"/>
    <col min="8463" max="8467" width="9" style="14"/>
    <col min="8468" max="8468" width="14.25" style="14" customWidth="1"/>
    <col min="8469" max="8470" width="11.25" style="14" customWidth="1"/>
    <col min="8471" max="8704" width="9" style="14"/>
    <col min="8705" max="8705" width="8" style="14" customWidth="1"/>
    <col min="8706" max="8707" width="10.625" style="14" customWidth="1"/>
    <col min="8708" max="8709" width="7.625" style="14" customWidth="1"/>
    <col min="8710" max="8710" width="11.625" style="14" customWidth="1"/>
    <col min="8711" max="8711" width="9" style="14"/>
    <col min="8712" max="8712" width="6.625" style="14" customWidth="1"/>
    <col min="8713" max="8718" width="10.125" style="14" customWidth="1"/>
    <col min="8719" max="8723" width="9" style="14"/>
    <col min="8724" max="8724" width="14.25" style="14" customWidth="1"/>
    <col min="8725" max="8726" width="11.25" style="14" customWidth="1"/>
    <col min="8727" max="8960" width="9" style="14"/>
    <col min="8961" max="8961" width="8" style="14" customWidth="1"/>
    <col min="8962" max="8963" width="10.625" style="14" customWidth="1"/>
    <col min="8964" max="8965" width="7.625" style="14" customWidth="1"/>
    <col min="8966" max="8966" width="11.625" style="14" customWidth="1"/>
    <col min="8967" max="8967" width="9" style="14"/>
    <col min="8968" max="8968" width="6.625" style="14" customWidth="1"/>
    <col min="8969" max="8974" width="10.125" style="14" customWidth="1"/>
    <col min="8975" max="8979" width="9" style="14"/>
    <col min="8980" max="8980" width="14.25" style="14" customWidth="1"/>
    <col min="8981" max="8982" width="11.25" style="14" customWidth="1"/>
    <col min="8983" max="9216" width="9" style="14"/>
    <col min="9217" max="9217" width="8" style="14" customWidth="1"/>
    <col min="9218" max="9219" width="10.625" style="14" customWidth="1"/>
    <col min="9220" max="9221" width="7.625" style="14" customWidth="1"/>
    <col min="9222" max="9222" width="11.625" style="14" customWidth="1"/>
    <col min="9223" max="9223" width="9" style="14"/>
    <col min="9224" max="9224" width="6.625" style="14" customWidth="1"/>
    <col min="9225" max="9230" width="10.125" style="14" customWidth="1"/>
    <col min="9231" max="9235" width="9" style="14"/>
    <col min="9236" max="9236" width="14.25" style="14" customWidth="1"/>
    <col min="9237" max="9238" width="11.25" style="14" customWidth="1"/>
    <col min="9239" max="9472" width="9" style="14"/>
    <col min="9473" max="9473" width="8" style="14" customWidth="1"/>
    <col min="9474" max="9475" width="10.625" style="14" customWidth="1"/>
    <col min="9476" max="9477" width="7.625" style="14" customWidth="1"/>
    <col min="9478" max="9478" width="11.625" style="14" customWidth="1"/>
    <col min="9479" max="9479" width="9" style="14"/>
    <col min="9480" max="9480" width="6.625" style="14" customWidth="1"/>
    <col min="9481" max="9486" width="10.125" style="14" customWidth="1"/>
    <col min="9487" max="9491" width="9" style="14"/>
    <col min="9492" max="9492" width="14.25" style="14" customWidth="1"/>
    <col min="9493" max="9494" width="11.25" style="14" customWidth="1"/>
    <col min="9495" max="9728" width="9" style="14"/>
    <col min="9729" max="9729" width="8" style="14" customWidth="1"/>
    <col min="9730" max="9731" width="10.625" style="14" customWidth="1"/>
    <col min="9732" max="9733" width="7.625" style="14" customWidth="1"/>
    <col min="9734" max="9734" width="11.625" style="14" customWidth="1"/>
    <col min="9735" max="9735" width="9" style="14"/>
    <col min="9736" max="9736" width="6.625" style="14" customWidth="1"/>
    <col min="9737" max="9742" width="10.125" style="14" customWidth="1"/>
    <col min="9743" max="9747" width="9" style="14"/>
    <col min="9748" max="9748" width="14.25" style="14" customWidth="1"/>
    <col min="9749" max="9750" width="11.25" style="14" customWidth="1"/>
    <col min="9751" max="9984" width="9" style="14"/>
    <col min="9985" max="9985" width="8" style="14" customWidth="1"/>
    <col min="9986" max="9987" width="10.625" style="14" customWidth="1"/>
    <col min="9988" max="9989" width="7.625" style="14" customWidth="1"/>
    <col min="9990" max="9990" width="11.625" style="14" customWidth="1"/>
    <col min="9991" max="9991" width="9" style="14"/>
    <col min="9992" max="9992" width="6.625" style="14" customWidth="1"/>
    <col min="9993" max="9998" width="10.125" style="14" customWidth="1"/>
    <col min="9999" max="10003" width="9" style="14"/>
    <col min="10004" max="10004" width="14.25" style="14" customWidth="1"/>
    <col min="10005" max="10006" width="11.25" style="14" customWidth="1"/>
    <col min="10007" max="10240" width="9" style="14"/>
    <col min="10241" max="10241" width="8" style="14" customWidth="1"/>
    <col min="10242" max="10243" width="10.625" style="14" customWidth="1"/>
    <col min="10244" max="10245" width="7.625" style="14" customWidth="1"/>
    <col min="10246" max="10246" width="11.625" style="14" customWidth="1"/>
    <col min="10247" max="10247" width="9" style="14"/>
    <col min="10248" max="10248" width="6.625" style="14" customWidth="1"/>
    <col min="10249" max="10254" width="10.125" style="14" customWidth="1"/>
    <col min="10255" max="10259" width="9" style="14"/>
    <col min="10260" max="10260" width="14.25" style="14" customWidth="1"/>
    <col min="10261" max="10262" width="11.25" style="14" customWidth="1"/>
    <col min="10263" max="10496" width="9" style="14"/>
    <col min="10497" max="10497" width="8" style="14" customWidth="1"/>
    <col min="10498" max="10499" width="10.625" style="14" customWidth="1"/>
    <col min="10500" max="10501" width="7.625" style="14" customWidth="1"/>
    <col min="10502" max="10502" width="11.625" style="14" customWidth="1"/>
    <col min="10503" max="10503" width="9" style="14"/>
    <col min="10504" max="10504" width="6.625" style="14" customWidth="1"/>
    <col min="10505" max="10510" width="10.125" style="14" customWidth="1"/>
    <col min="10511" max="10515" width="9" style="14"/>
    <col min="10516" max="10516" width="14.25" style="14" customWidth="1"/>
    <col min="10517" max="10518" width="11.25" style="14" customWidth="1"/>
    <col min="10519" max="10752" width="9" style="14"/>
    <col min="10753" max="10753" width="8" style="14" customWidth="1"/>
    <col min="10754" max="10755" width="10.625" style="14" customWidth="1"/>
    <col min="10756" max="10757" width="7.625" style="14" customWidth="1"/>
    <col min="10758" max="10758" width="11.625" style="14" customWidth="1"/>
    <col min="10759" max="10759" width="9" style="14"/>
    <col min="10760" max="10760" width="6.625" style="14" customWidth="1"/>
    <col min="10761" max="10766" width="10.125" style="14" customWidth="1"/>
    <col min="10767" max="10771" width="9" style="14"/>
    <col min="10772" max="10772" width="14.25" style="14" customWidth="1"/>
    <col min="10773" max="10774" width="11.25" style="14" customWidth="1"/>
    <col min="10775" max="11008" width="9" style="14"/>
    <col min="11009" max="11009" width="8" style="14" customWidth="1"/>
    <col min="11010" max="11011" width="10.625" style="14" customWidth="1"/>
    <col min="11012" max="11013" width="7.625" style="14" customWidth="1"/>
    <col min="11014" max="11014" width="11.625" style="14" customWidth="1"/>
    <col min="11015" max="11015" width="9" style="14"/>
    <col min="11016" max="11016" width="6.625" style="14" customWidth="1"/>
    <col min="11017" max="11022" width="10.125" style="14" customWidth="1"/>
    <col min="11023" max="11027" width="9" style="14"/>
    <col min="11028" max="11028" width="14.25" style="14" customWidth="1"/>
    <col min="11029" max="11030" width="11.25" style="14" customWidth="1"/>
    <col min="11031" max="11264" width="9" style="14"/>
    <col min="11265" max="11265" width="8" style="14" customWidth="1"/>
    <col min="11266" max="11267" width="10.625" style="14" customWidth="1"/>
    <col min="11268" max="11269" width="7.625" style="14" customWidth="1"/>
    <col min="11270" max="11270" width="11.625" style="14" customWidth="1"/>
    <col min="11271" max="11271" width="9" style="14"/>
    <col min="11272" max="11272" width="6.625" style="14" customWidth="1"/>
    <col min="11273" max="11278" width="10.125" style="14" customWidth="1"/>
    <col min="11279" max="11283" width="9" style="14"/>
    <col min="11284" max="11284" width="14.25" style="14" customWidth="1"/>
    <col min="11285" max="11286" width="11.25" style="14" customWidth="1"/>
    <col min="11287" max="11520" width="9" style="14"/>
    <col min="11521" max="11521" width="8" style="14" customWidth="1"/>
    <col min="11522" max="11523" width="10.625" style="14" customWidth="1"/>
    <col min="11524" max="11525" width="7.625" style="14" customWidth="1"/>
    <col min="11526" max="11526" width="11.625" style="14" customWidth="1"/>
    <col min="11527" max="11527" width="9" style="14"/>
    <col min="11528" max="11528" width="6.625" style="14" customWidth="1"/>
    <col min="11529" max="11534" width="10.125" style="14" customWidth="1"/>
    <col min="11535" max="11539" width="9" style="14"/>
    <col min="11540" max="11540" width="14.25" style="14" customWidth="1"/>
    <col min="11541" max="11542" width="11.25" style="14" customWidth="1"/>
    <col min="11543" max="11776" width="9" style="14"/>
    <col min="11777" max="11777" width="8" style="14" customWidth="1"/>
    <col min="11778" max="11779" width="10.625" style="14" customWidth="1"/>
    <col min="11780" max="11781" width="7.625" style="14" customWidth="1"/>
    <col min="11782" max="11782" width="11.625" style="14" customWidth="1"/>
    <col min="11783" max="11783" width="9" style="14"/>
    <col min="11784" max="11784" width="6.625" style="14" customWidth="1"/>
    <col min="11785" max="11790" width="10.125" style="14" customWidth="1"/>
    <col min="11791" max="11795" width="9" style="14"/>
    <col min="11796" max="11796" width="14.25" style="14" customWidth="1"/>
    <col min="11797" max="11798" width="11.25" style="14" customWidth="1"/>
    <col min="11799" max="12032" width="9" style="14"/>
    <col min="12033" max="12033" width="8" style="14" customWidth="1"/>
    <col min="12034" max="12035" width="10.625" style="14" customWidth="1"/>
    <col min="12036" max="12037" width="7.625" style="14" customWidth="1"/>
    <col min="12038" max="12038" width="11.625" style="14" customWidth="1"/>
    <col min="12039" max="12039" width="9" style="14"/>
    <col min="12040" max="12040" width="6.625" style="14" customWidth="1"/>
    <col min="12041" max="12046" width="10.125" style="14" customWidth="1"/>
    <col min="12047" max="12051" width="9" style="14"/>
    <col min="12052" max="12052" width="14.25" style="14" customWidth="1"/>
    <col min="12053" max="12054" width="11.25" style="14" customWidth="1"/>
    <col min="12055" max="12288" width="9" style="14"/>
    <col min="12289" max="12289" width="8" style="14" customWidth="1"/>
    <col min="12290" max="12291" width="10.625" style="14" customWidth="1"/>
    <col min="12292" max="12293" width="7.625" style="14" customWidth="1"/>
    <col min="12294" max="12294" width="11.625" style="14" customWidth="1"/>
    <col min="12295" max="12295" width="9" style="14"/>
    <col min="12296" max="12296" width="6.625" style="14" customWidth="1"/>
    <col min="12297" max="12302" width="10.125" style="14" customWidth="1"/>
    <col min="12303" max="12307" width="9" style="14"/>
    <col min="12308" max="12308" width="14.25" style="14" customWidth="1"/>
    <col min="12309" max="12310" width="11.25" style="14" customWidth="1"/>
    <col min="12311" max="12544" width="9" style="14"/>
    <col min="12545" max="12545" width="8" style="14" customWidth="1"/>
    <col min="12546" max="12547" width="10.625" style="14" customWidth="1"/>
    <col min="12548" max="12549" width="7.625" style="14" customWidth="1"/>
    <col min="12550" max="12550" width="11.625" style="14" customWidth="1"/>
    <col min="12551" max="12551" width="9" style="14"/>
    <col min="12552" max="12552" width="6.625" style="14" customWidth="1"/>
    <col min="12553" max="12558" width="10.125" style="14" customWidth="1"/>
    <col min="12559" max="12563" width="9" style="14"/>
    <col min="12564" max="12564" width="14.25" style="14" customWidth="1"/>
    <col min="12565" max="12566" width="11.25" style="14" customWidth="1"/>
    <col min="12567" max="12800" width="9" style="14"/>
    <col min="12801" max="12801" width="8" style="14" customWidth="1"/>
    <col min="12802" max="12803" width="10.625" style="14" customWidth="1"/>
    <col min="12804" max="12805" width="7.625" style="14" customWidth="1"/>
    <col min="12806" max="12806" width="11.625" style="14" customWidth="1"/>
    <col min="12807" max="12807" width="9" style="14"/>
    <col min="12808" max="12808" width="6.625" style="14" customWidth="1"/>
    <col min="12809" max="12814" width="10.125" style="14" customWidth="1"/>
    <col min="12815" max="12819" width="9" style="14"/>
    <col min="12820" max="12820" width="14.25" style="14" customWidth="1"/>
    <col min="12821" max="12822" width="11.25" style="14" customWidth="1"/>
    <col min="12823" max="13056" width="9" style="14"/>
    <col min="13057" max="13057" width="8" style="14" customWidth="1"/>
    <col min="13058" max="13059" width="10.625" style="14" customWidth="1"/>
    <col min="13060" max="13061" width="7.625" style="14" customWidth="1"/>
    <col min="13062" max="13062" width="11.625" style="14" customWidth="1"/>
    <col min="13063" max="13063" width="9" style="14"/>
    <col min="13064" max="13064" width="6.625" style="14" customWidth="1"/>
    <col min="13065" max="13070" width="10.125" style="14" customWidth="1"/>
    <col min="13071" max="13075" width="9" style="14"/>
    <col min="13076" max="13076" width="14.25" style="14" customWidth="1"/>
    <col min="13077" max="13078" width="11.25" style="14" customWidth="1"/>
    <col min="13079" max="13312" width="9" style="14"/>
    <col min="13313" max="13313" width="8" style="14" customWidth="1"/>
    <col min="13314" max="13315" width="10.625" style="14" customWidth="1"/>
    <col min="13316" max="13317" width="7.625" style="14" customWidth="1"/>
    <col min="13318" max="13318" width="11.625" style="14" customWidth="1"/>
    <col min="13319" max="13319" width="9" style="14"/>
    <col min="13320" max="13320" width="6.625" style="14" customWidth="1"/>
    <col min="13321" max="13326" width="10.125" style="14" customWidth="1"/>
    <col min="13327" max="13331" width="9" style="14"/>
    <col min="13332" max="13332" width="14.25" style="14" customWidth="1"/>
    <col min="13333" max="13334" width="11.25" style="14" customWidth="1"/>
    <col min="13335" max="13568" width="9" style="14"/>
    <col min="13569" max="13569" width="8" style="14" customWidth="1"/>
    <col min="13570" max="13571" width="10.625" style="14" customWidth="1"/>
    <col min="13572" max="13573" width="7.625" style="14" customWidth="1"/>
    <col min="13574" max="13574" width="11.625" style="14" customWidth="1"/>
    <col min="13575" max="13575" width="9" style="14"/>
    <col min="13576" max="13576" width="6.625" style="14" customWidth="1"/>
    <col min="13577" max="13582" width="10.125" style="14" customWidth="1"/>
    <col min="13583" max="13587" width="9" style="14"/>
    <col min="13588" max="13588" width="14.25" style="14" customWidth="1"/>
    <col min="13589" max="13590" width="11.25" style="14" customWidth="1"/>
    <col min="13591" max="13824" width="9" style="14"/>
    <col min="13825" max="13825" width="8" style="14" customWidth="1"/>
    <col min="13826" max="13827" width="10.625" style="14" customWidth="1"/>
    <col min="13828" max="13829" width="7.625" style="14" customWidth="1"/>
    <col min="13830" max="13830" width="11.625" style="14" customWidth="1"/>
    <col min="13831" max="13831" width="9" style="14"/>
    <col min="13832" max="13832" width="6.625" style="14" customWidth="1"/>
    <col min="13833" max="13838" width="10.125" style="14" customWidth="1"/>
    <col min="13839" max="13843" width="9" style="14"/>
    <col min="13844" max="13844" width="14.25" style="14" customWidth="1"/>
    <col min="13845" max="13846" width="11.25" style="14" customWidth="1"/>
    <col min="13847" max="14080" width="9" style="14"/>
    <col min="14081" max="14081" width="8" style="14" customWidth="1"/>
    <col min="14082" max="14083" width="10.625" style="14" customWidth="1"/>
    <col min="14084" max="14085" width="7.625" style="14" customWidth="1"/>
    <col min="14086" max="14086" width="11.625" style="14" customWidth="1"/>
    <col min="14087" max="14087" width="9" style="14"/>
    <col min="14088" max="14088" width="6.625" style="14" customWidth="1"/>
    <col min="14089" max="14094" width="10.125" style="14" customWidth="1"/>
    <col min="14095" max="14099" width="9" style="14"/>
    <col min="14100" max="14100" width="14.25" style="14" customWidth="1"/>
    <col min="14101" max="14102" width="11.25" style="14" customWidth="1"/>
    <col min="14103" max="14336" width="9" style="14"/>
    <col min="14337" max="14337" width="8" style="14" customWidth="1"/>
    <col min="14338" max="14339" width="10.625" style="14" customWidth="1"/>
    <col min="14340" max="14341" width="7.625" style="14" customWidth="1"/>
    <col min="14342" max="14342" width="11.625" style="14" customWidth="1"/>
    <col min="14343" max="14343" width="9" style="14"/>
    <col min="14344" max="14344" width="6.625" style="14" customWidth="1"/>
    <col min="14345" max="14350" width="10.125" style="14" customWidth="1"/>
    <col min="14351" max="14355" width="9" style="14"/>
    <col min="14356" max="14356" width="14.25" style="14" customWidth="1"/>
    <col min="14357" max="14358" width="11.25" style="14" customWidth="1"/>
    <col min="14359" max="14592" width="9" style="14"/>
    <col min="14593" max="14593" width="8" style="14" customWidth="1"/>
    <col min="14594" max="14595" width="10.625" style="14" customWidth="1"/>
    <col min="14596" max="14597" width="7.625" style="14" customWidth="1"/>
    <col min="14598" max="14598" width="11.625" style="14" customWidth="1"/>
    <col min="14599" max="14599" width="9" style="14"/>
    <col min="14600" max="14600" width="6.625" style="14" customWidth="1"/>
    <col min="14601" max="14606" width="10.125" style="14" customWidth="1"/>
    <col min="14607" max="14611" width="9" style="14"/>
    <col min="14612" max="14612" width="14.25" style="14" customWidth="1"/>
    <col min="14613" max="14614" width="11.25" style="14" customWidth="1"/>
    <col min="14615" max="14848" width="9" style="14"/>
    <col min="14849" max="14849" width="8" style="14" customWidth="1"/>
    <col min="14850" max="14851" width="10.625" style="14" customWidth="1"/>
    <col min="14852" max="14853" width="7.625" style="14" customWidth="1"/>
    <col min="14854" max="14854" width="11.625" style="14" customWidth="1"/>
    <col min="14855" max="14855" width="9" style="14"/>
    <col min="14856" max="14856" width="6.625" style="14" customWidth="1"/>
    <col min="14857" max="14862" width="10.125" style="14" customWidth="1"/>
    <col min="14863" max="14867" width="9" style="14"/>
    <col min="14868" max="14868" width="14.25" style="14" customWidth="1"/>
    <col min="14869" max="14870" width="11.25" style="14" customWidth="1"/>
    <col min="14871" max="15104" width="9" style="14"/>
    <col min="15105" max="15105" width="8" style="14" customWidth="1"/>
    <col min="15106" max="15107" width="10.625" style="14" customWidth="1"/>
    <col min="15108" max="15109" width="7.625" style="14" customWidth="1"/>
    <col min="15110" max="15110" width="11.625" style="14" customWidth="1"/>
    <col min="15111" max="15111" width="9" style="14"/>
    <col min="15112" max="15112" width="6.625" style="14" customWidth="1"/>
    <col min="15113" max="15118" width="10.125" style="14" customWidth="1"/>
    <col min="15119" max="15123" width="9" style="14"/>
    <col min="15124" max="15124" width="14.25" style="14" customWidth="1"/>
    <col min="15125" max="15126" width="11.25" style="14" customWidth="1"/>
    <col min="15127" max="15360" width="9" style="14"/>
    <col min="15361" max="15361" width="8" style="14" customWidth="1"/>
    <col min="15362" max="15363" width="10.625" style="14" customWidth="1"/>
    <col min="15364" max="15365" width="7.625" style="14" customWidth="1"/>
    <col min="15366" max="15366" width="11.625" style="14" customWidth="1"/>
    <col min="15367" max="15367" width="9" style="14"/>
    <col min="15368" max="15368" width="6.625" style="14" customWidth="1"/>
    <col min="15369" max="15374" width="10.125" style="14" customWidth="1"/>
    <col min="15375" max="15379" width="9" style="14"/>
    <col min="15380" max="15380" width="14.25" style="14" customWidth="1"/>
    <col min="15381" max="15382" width="11.25" style="14" customWidth="1"/>
    <col min="15383" max="15616" width="9" style="14"/>
    <col min="15617" max="15617" width="8" style="14" customWidth="1"/>
    <col min="15618" max="15619" width="10.625" style="14" customWidth="1"/>
    <col min="15620" max="15621" width="7.625" style="14" customWidth="1"/>
    <col min="15622" max="15622" width="11.625" style="14" customWidth="1"/>
    <col min="15623" max="15623" width="9" style="14"/>
    <col min="15624" max="15624" width="6.625" style="14" customWidth="1"/>
    <col min="15625" max="15630" width="10.125" style="14" customWidth="1"/>
    <col min="15631" max="15635" width="9" style="14"/>
    <col min="15636" max="15636" width="14.25" style="14" customWidth="1"/>
    <col min="15637" max="15638" width="11.25" style="14" customWidth="1"/>
    <col min="15639" max="15872" width="9" style="14"/>
    <col min="15873" max="15873" width="8" style="14" customWidth="1"/>
    <col min="15874" max="15875" width="10.625" style="14" customWidth="1"/>
    <col min="15876" max="15877" width="7.625" style="14" customWidth="1"/>
    <col min="15878" max="15878" width="11.625" style="14" customWidth="1"/>
    <col min="15879" max="15879" width="9" style="14"/>
    <col min="15880" max="15880" width="6.625" style="14" customWidth="1"/>
    <col min="15881" max="15886" width="10.125" style="14" customWidth="1"/>
    <col min="15887" max="15891" width="9" style="14"/>
    <col min="15892" max="15892" width="14.25" style="14" customWidth="1"/>
    <col min="15893" max="15894" width="11.25" style="14" customWidth="1"/>
    <col min="15895" max="16128" width="9" style="14"/>
    <col min="16129" max="16129" width="8" style="14" customWidth="1"/>
    <col min="16130" max="16131" width="10.625" style="14" customWidth="1"/>
    <col min="16132" max="16133" width="7.625" style="14" customWidth="1"/>
    <col min="16134" max="16134" width="11.625" style="14" customWidth="1"/>
    <col min="16135" max="16135" width="9" style="14"/>
    <col min="16136" max="16136" width="6.625" style="14" customWidth="1"/>
    <col min="16137" max="16142" width="10.125" style="14" customWidth="1"/>
    <col min="16143" max="16147" width="9" style="14"/>
    <col min="16148" max="16148" width="14.25" style="14" customWidth="1"/>
    <col min="16149" max="16150" width="11.25" style="14" customWidth="1"/>
    <col min="16151" max="16384" width="9" style="14"/>
  </cols>
  <sheetData>
    <row r="1" spans="1:66" ht="31.5" thickBot="1" x14ac:dyDescent="0.5">
      <c r="A1" s="10" t="s">
        <v>19</v>
      </c>
      <c r="I1" s="13"/>
      <c r="J1" s="13"/>
      <c r="K1" s="13"/>
      <c r="L1" s="13"/>
      <c r="M1" s="13"/>
      <c r="N1" s="13"/>
      <c r="O1" s="13"/>
      <c r="Q1" s="13"/>
      <c r="AH1" s="16"/>
      <c r="AI1" s="16"/>
      <c r="AJ1" s="16"/>
      <c r="AK1" s="16"/>
      <c r="AL1" s="58" t="s">
        <v>40</v>
      </c>
      <c r="AM1" s="58" t="s">
        <v>41</v>
      </c>
      <c r="AN1" s="16"/>
      <c r="BC1" s="13"/>
      <c r="BD1" s="13"/>
      <c r="BE1" s="13"/>
      <c r="BF1" s="13"/>
      <c r="BG1" s="13"/>
      <c r="BH1" s="13"/>
      <c r="BI1" s="13"/>
      <c r="BJ1" s="13"/>
      <c r="BK1" s="13"/>
      <c r="BL1" s="13"/>
      <c r="BM1" s="13"/>
      <c r="BN1" s="13"/>
    </row>
    <row r="2" spans="1:66" s="20" customFormat="1" ht="39.75" customHeight="1" thickBot="1" x14ac:dyDescent="0.35">
      <c r="A2" s="17" t="s">
        <v>20</v>
      </c>
      <c r="B2" s="56" t="s">
        <v>40</v>
      </c>
      <c r="C2" s="57" t="s">
        <v>41</v>
      </c>
      <c r="D2" s="13"/>
      <c r="E2" s="19"/>
      <c r="F2" s="59" t="s">
        <v>21</v>
      </c>
      <c r="G2" s="60"/>
      <c r="I2" s="21"/>
      <c r="J2" s="21"/>
      <c r="K2" s="21"/>
      <c r="L2" s="21"/>
      <c r="M2" s="21"/>
      <c r="N2" s="21"/>
      <c r="O2" s="21"/>
      <c r="Q2" s="21"/>
      <c r="R2" s="13"/>
      <c r="S2" s="13"/>
      <c r="T2" s="13"/>
      <c r="U2" s="13"/>
      <c r="V2" s="13"/>
      <c r="W2" s="21"/>
      <c r="X2" s="21"/>
      <c r="Y2" s="13"/>
      <c r="Z2" s="13"/>
      <c r="AA2" s="13"/>
      <c r="AB2" s="13"/>
      <c r="AC2" s="13"/>
      <c r="AD2" s="13"/>
      <c r="AE2" s="13"/>
      <c r="AF2" s="13"/>
      <c r="AG2" s="13"/>
      <c r="AH2" s="16">
        <v>475</v>
      </c>
      <c r="AI2" s="16"/>
      <c r="AJ2" s="16"/>
      <c r="AK2" s="16">
        <v>475</v>
      </c>
      <c r="AL2" s="16">
        <v>0</v>
      </c>
      <c r="AM2" s="16">
        <v>0</v>
      </c>
      <c r="AN2" s="16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21"/>
      <c r="BD2" s="21"/>
      <c r="BE2" s="21"/>
      <c r="BF2" s="21"/>
      <c r="BG2" s="21"/>
      <c r="BH2" s="21"/>
      <c r="BI2" s="21"/>
      <c r="BJ2" s="21"/>
      <c r="BK2" s="21"/>
      <c r="BL2" s="21"/>
      <c r="BM2" s="21"/>
      <c r="BN2" s="21"/>
    </row>
    <row r="3" spans="1:66" ht="16.5" thickBot="1" x14ac:dyDescent="0.3">
      <c r="A3" s="22">
        <v>1</v>
      </c>
      <c r="B3" s="23">
        <v>738.84117527179046</v>
      </c>
      <c r="C3" s="24">
        <v>2397.1279337350848</v>
      </c>
      <c r="E3" s="25"/>
      <c r="F3" s="26">
        <v>10000</v>
      </c>
      <c r="G3" s="27" t="s">
        <v>22</v>
      </c>
      <c r="AH3" s="16">
        <v>500</v>
      </c>
      <c r="AI3" s="16"/>
      <c r="AJ3" s="16"/>
      <c r="AK3" s="16">
        <v>475</v>
      </c>
      <c r="AL3" s="16">
        <v>2</v>
      </c>
      <c r="AM3" s="16">
        <v>0</v>
      </c>
      <c r="AN3" s="16"/>
      <c r="BC3" s="13"/>
      <c r="BD3" s="13"/>
      <c r="BE3" s="13"/>
      <c r="BF3" s="13"/>
      <c r="BG3" s="13"/>
      <c r="BH3" s="13"/>
      <c r="BI3" s="13"/>
      <c r="BJ3" s="13"/>
      <c r="BK3" s="13"/>
      <c r="BL3" s="13"/>
      <c r="BM3" s="13"/>
      <c r="BN3" s="13"/>
    </row>
    <row r="4" spans="1:66" ht="16.5" thickBot="1" x14ac:dyDescent="0.3">
      <c r="A4" s="22">
        <v>2</v>
      </c>
      <c r="B4" s="23">
        <v>696.57459288570237</v>
      </c>
      <c r="C4" s="24">
        <v>2055.7800384648044</v>
      </c>
      <c r="E4" s="25"/>
      <c r="F4" s="28">
        <v>56.999999494291842</v>
      </c>
      <c r="G4" s="29" t="s">
        <v>23</v>
      </c>
      <c r="I4" s="61" t="s">
        <v>42</v>
      </c>
      <c r="J4" s="62"/>
      <c r="K4" s="63" t="s">
        <v>37</v>
      </c>
      <c r="L4" s="64"/>
      <c r="M4" s="65" t="s">
        <v>24</v>
      </c>
      <c r="N4" s="66"/>
      <c r="P4" s="30"/>
      <c r="AH4" s="16">
        <v>525</v>
      </c>
      <c r="AI4" s="16"/>
      <c r="AJ4" s="16"/>
      <c r="AK4" s="16">
        <v>500</v>
      </c>
      <c r="AL4" s="16">
        <v>2</v>
      </c>
      <c r="AM4" s="16">
        <v>0</v>
      </c>
      <c r="AN4" s="16"/>
      <c r="BC4" s="13"/>
      <c r="BD4" s="13"/>
      <c r="BE4" s="13"/>
      <c r="BF4" s="13"/>
      <c r="BG4" s="13"/>
      <c r="BH4" s="13"/>
      <c r="BI4" s="13"/>
      <c r="BJ4" s="13"/>
      <c r="BK4" s="13"/>
      <c r="BL4" s="13"/>
      <c r="BM4" s="13"/>
      <c r="BN4" s="13"/>
    </row>
    <row r="5" spans="1:66" x14ac:dyDescent="0.25">
      <c r="A5" s="22">
        <v>3</v>
      </c>
      <c r="B5" s="23">
        <v>665.59515727058999</v>
      </c>
      <c r="C5" s="24">
        <v>1878.6559617528765</v>
      </c>
      <c r="E5" s="31"/>
      <c r="F5" s="32"/>
      <c r="G5" s="31"/>
      <c r="I5" s="33" t="s">
        <v>25</v>
      </c>
      <c r="J5" s="34">
        <v>752.17634999690313</v>
      </c>
      <c r="K5" s="35" t="s">
        <v>25</v>
      </c>
      <c r="L5" s="36">
        <v>1984.1383270758029</v>
      </c>
      <c r="M5" s="37"/>
      <c r="N5" s="38"/>
      <c r="P5" s="30"/>
      <c r="AH5" s="16">
        <v>550</v>
      </c>
      <c r="AI5" s="16"/>
      <c r="AJ5" s="16"/>
      <c r="AK5" s="16">
        <v>500</v>
      </c>
      <c r="AL5" s="16">
        <v>14</v>
      </c>
      <c r="AM5" s="16">
        <v>0</v>
      </c>
      <c r="AN5" s="16"/>
      <c r="BC5" s="13"/>
      <c r="BD5" s="13"/>
      <c r="BE5" s="13"/>
      <c r="BF5" s="13"/>
      <c r="BG5" s="13"/>
      <c r="BH5" s="13"/>
      <c r="BI5" s="13"/>
      <c r="BJ5" s="13"/>
      <c r="BK5" s="13"/>
      <c r="BL5" s="13"/>
      <c r="BM5" s="13"/>
      <c r="BN5" s="13"/>
    </row>
    <row r="6" spans="1:66" x14ac:dyDescent="0.25">
      <c r="A6" s="22">
        <v>4</v>
      </c>
      <c r="B6" s="23">
        <v>717.80763721312735</v>
      </c>
      <c r="C6" s="24">
        <v>1944.7824543676875</v>
      </c>
      <c r="I6" s="33" t="s">
        <v>26</v>
      </c>
      <c r="J6" s="39">
        <v>87.251071034982942</v>
      </c>
      <c r="K6" s="35" t="s">
        <v>26</v>
      </c>
      <c r="L6" s="40">
        <v>225.46907013366669</v>
      </c>
      <c r="M6" s="41"/>
      <c r="N6" s="42"/>
      <c r="AH6" s="16">
        <v>575</v>
      </c>
      <c r="AI6" s="16"/>
      <c r="AJ6" s="16"/>
      <c r="AK6" s="16">
        <v>525</v>
      </c>
      <c r="AL6" s="16">
        <v>14</v>
      </c>
      <c r="AM6" s="16">
        <v>0</v>
      </c>
      <c r="AN6" s="16"/>
      <c r="BC6" s="13"/>
      <c r="BD6" s="13"/>
      <c r="BE6" s="13"/>
      <c r="BF6" s="13"/>
      <c r="BG6" s="13"/>
      <c r="BH6" s="13"/>
      <c r="BI6" s="13"/>
      <c r="BJ6" s="13"/>
      <c r="BK6" s="13"/>
      <c r="BL6" s="13"/>
      <c r="BM6" s="13"/>
      <c r="BN6" s="13"/>
    </row>
    <row r="7" spans="1:66" x14ac:dyDescent="0.25">
      <c r="A7" s="22">
        <v>5</v>
      </c>
      <c r="B7" s="23">
        <v>701.68740610684381</v>
      </c>
      <c r="C7" s="24">
        <v>1860.6007118140199</v>
      </c>
      <c r="F7" s="43"/>
      <c r="I7" s="33" t="s">
        <v>27</v>
      </c>
      <c r="J7" s="34">
        <v>1120.2237977336706</v>
      </c>
      <c r="K7" s="35" t="s">
        <v>27</v>
      </c>
      <c r="L7" s="36">
        <v>2966.1847638225818</v>
      </c>
      <c r="M7" s="25"/>
      <c r="N7" s="44"/>
      <c r="AH7" s="16">
        <v>600</v>
      </c>
      <c r="AI7" s="16"/>
      <c r="AJ7" s="16"/>
      <c r="AK7" s="16">
        <v>525</v>
      </c>
      <c r="AL7" s="16">
        <v>38</v>
      </c>
      <c r="AM7" s="16">
        <v>0</v>
      </c>
      <c r="AN7" s="16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</row>
    <row r="8" spans="1:66" ht="16.5" thickBot="1" x14ac:dyDescent="0.3">
      <c r="A8" s="22">
        <v>6</v>
      </c>
      <c r="B8" s="23">
        <v>897.46437880969688</v>
      </c>
      <c r="C8" s="24">
        <v>2235.4285452216909</v>
      </c>
      <c r="F8" s="43"/>
      <c r="I8" s="45" t="s">
        <v>28</v>
      </c>
      <c r="J8" s="46">
        <v>482.78800320368595</v>
      </c>
      <c r="K8" s="47" t="s">
        <v>28</v>
      </c>
      <c r="L8" s="48">
        <v>1312.5858213593585</v>
      </c>
      <c r="M8" s="49"/>
      <c r="N8" s="50"/>
      <c r="AH8" s="16">
        <v>625</v>
      </c>
      <c r="AI8" s="16"/>
      <c r="AJ8" s="16"/>
      <c r="AK8" s="16">
        <v>550</v>
      </c>
      <c r="AL8" s="16">
        <v>38</v>
      </c>
      <c r="AM8" s="16">
        <v>0</v>
      </c>
      <c r="AN8" s="16"/>
      <c r="BC8" s="13"/>
      <c r="BD8" s="13"/>
      <c r="BE8" s="13"/>
      <c r="BF8" s="13"/>
      <c r="BG8" s="13"/>
      <c r="BH8" s="13"/>
      <c r="BI8" s="13"/>
      <c r="BJ8" s="13"/>
      <c r="BK8" s="13"/>
      <c r="BL8" s="13"/>
      <c r="BM8" s="13"/>
      <c r="BN8" s="13"/>
    </row>
    <row r="9" spans="1:66" x14ac:dyDescent="0.25">
      <c r="A9" s="22">
        <v>7</v>
      </c>
      <c r="B9" s="23">
        <v>918.52907505324742</v>
      </c>
      <c r="C9" s="24">
        <v>2163.6064735170826</v>
      </c>
      <c r="F9" s="43"/>
      <c r="I9" s="31"/>
      <c r="J9" s="51"/>
      <c r="K9" s="31"/>
      <c r="L9" s="31"/>
      <c r="M9" s="31"/>
      <c r="N9" s="31"/>
      <c r="AH9" s="16">
        <v>650</v>
      </c>
      <c r="AI9" s="16"/>
      <c r="AJ9" s="16"/>
      <c r="AK9" s="16">
        <v>550</v>
      </c>
      <c r="AL9" s="16">
        <v>75</v>
      </c>
      <c r="AM9" s="16">
        <v>0</v>
      </c>
      <c r="AN9" s="16"/>
      <c r="BC9" s="13"/>
      <c r="BD9" s="13"/>
      <c r="BE9" s="13"/>
      <c r="BF9" s="13"/>
      <c r="BG9" s="13"/>
      <c r="BH9" s="13"/>
      <c r="BI9" s="13"/>
      <c r="BJ9" s="13"/>
      <c r="BK9" s="13"/>
      <c r="BL9" s="13"/>
      <c r="BM9" s="13"/>
      <c r="BN9" s="13"/>
    </row>
    <row r="10" spans="1:66" x14ac:dyDescent="0.25">
      <c r="A10" s="22">
        <v>8</v>
      </c>
      <c r="B10" s="23">
        <v>802.47243019792847</v>
      </c>
      <c r="C10" s="24">
        <v>2411.1327298590636</v>
      </c>
      <c r="F10" s="43"/>
      <c r="I10" s="25"/>
      <c r="J10" s="51"/>
      <c r="K10" s="31"/>
      <c r="L10" s="31"/>
      <c r="M10" s="31"/>
      <c r="N10" s="31"/>
      <c r="P10" s="30"/>
      <c r="AH10" s="16">
        <v>675</v>
      </c>
      <c r="AI10" s="16"/>
      <c r="AJ10" s="16"/>
      <c r="AK10" s="16">
        <v>575</v>
      </c>
      <c r="AL10" s="16">
        <v>75</v>
      </c>
      <c r="AM10" s="16">
        <v>0</v>
      </c>
      <c r="AN10" s="16"/>
      <c r="BC10" s="13"/>
      <c r="BD10" s="13"/>
      <c r="BE10" s="13"/>
      <c r="BF10" s="13"/>
      <c r="BG10" s="13"/>
      <c r="BH10" s="13"/>
      <c r="BI10" s="13"/>
      <c r="BJ10" s="13"/>
      <c r="BK10" s="13"/>
      <c r="BL10" s="13"/>
      <c r="BM10" s="13"/>
      <c r="BN10" s="13"/>
    </row>
    <row r="11" spans="1:66" x14ac:dyDescent="0.25">
      <c r="A11" s="22">
        <v>9</v>
      </c>
      <c r="B11" s="23">
        <v>685.34451394350344</v>
      </c>
      <c r="C11" s="24">
        <v>1855.7609462030209</v>
      </c>
      <c r="I11" s="31"/>
      <c r="J11" s="51"/>
      <c r="K11" s="31"/>
      <c r="L11" s="31"/>
      <c r="M11" s="31"/>
      <c r="N11" s="31"/>
      <c r="P11" s="30"/>
      <c r="AH11" s="16">
        <v>700</v>
      </c>
      <c r="AI11" s="16"/>
      <c r="AJ11" s="16"/>
      <c r="AK11" s="16">
        <v>575</v>
      </c>
      <c r="AL11" s="16">
        <v>179</v>
      </c>
      <c r="AM11" s="16">
        <v>0</v>
      </c>
      <c r="AN11" s="16"/>
      <c r="BC11" s="13"/>
      <c r="BD11" s="13"/>
      <c r="BE11" s="13"/>
      <c r="BF11" s="13"/>
      <c r="BG11" s="13"/>
      <c r="BH11" s="13"/>
      <c r="BI11" s="13"/>
      <c r="BJ11" s="13"/>
      <c r="BK11" s="13"/>
      <c r="BL11" s="13"/>
      <c r="BM11" s="13"/>
      <c r="BN11" s="13"/>
    </row>
    <row r="12" spans="1:66" x14ac:dyDescent="0.25">
      <c r="A12" s="22">
        <v>10</v>
      </c>
      <c r="B12" s="23">
        <v>733.43473106688623</v>
      </c>
      <c r="C12" s="24">
        <v>2063.8848731975854</v>
      </c>
      <c r="I12" s="31"/>
      <c r="J12" s="31"/>
      <c r="K12" s="31"/>
      <c r="L12" s="31"/>
      <c r="M12" s="31"/>
      <c r="N12" s="31"/>
      <c r="P12" s="30"/>
      <c r="AH12" s="16">
        <v>725</v>
      </c>
      <c r="AI12" s="16"/>
      <c r="AJ12" s="16"/>
      <c r="AK12" s="16">
        <v>600</v>
      </c>
      <c r="AL12" s="16">
        <v>179</v>
      </c>
      <c r="AM12" s="16">
        <v>0</v>
      </c>
      <c r="AN12" s="16"/>
      <c r="BC12" s="13"/>
      <c r="BD12" s="13"/>
      <c r="BE12" s="13"/>
      <c r="BF12" s="13"/>
      <c r="BG12" s="13"/>
      <c r="BH12" s="13"/>
      <c r="BI12" s="13"/>
      <c r="BJ12" s="13"/>
      <c r="BK12" s="13"/>
      <c r="BL12" s="13"/>
      <c r="BM12" s="13"/>
      <c r="BN12" s="13"/>
    </row>
    <row r="13" spans="1:66" x14ac:dyDescent="0.25">
      <c r="A13" s="22">
        <v>11</v>
      </c>
      <c r="B13" s="23">
        <v>701.78664820693893</v>
      </c>
      <c r="C13" s="24">
        <v>2351.3369532111456</v>
      </c>
      <c r="I13" s="31"/>
      <c r="J13" s="31"/>
      <c r="K13" s="31"/>
      <c r="L13" s="31"/>
      <c r="M13" s="31"/>
      <c r="N13" s="31"/>
      <c r="AH13" s="16">
        <v>750</v>
      </c>
      <c r="AI13" s="16"/>
      <c r="AJ13" s="16"/>
      <c r="AK13" s="16">
        <v>600</v>
      </c>
      <c r="AL13" s="16">
        <v>324</v>
      </c>
      <c r="AM13" s="16">
        <v>0</v>
      </c>
      <c r="AN13" s="16"/>
      <c r="BC13" s="13"/>
      <c r="BD13" s="13"/>
      <c r="BE13" s="13"/>
      <c r="BF13" s="13"/>
      <c r="BG13" s="13"/>
      <c r="BH13" s="13"/>
      <c r="BI13" s="13"/>
      <c r="BJ13" s="13"/>
      <c r="BK13" s="13"/>
      <c r="BL13" s="13"/>
      <c r="BM13" s="13"/>
      <c r="BN13" s="13"/>
    </row>
    <row r="14" spans="1:66" x14ac:dyDescent="0.25">
      <c r="A14" s="22">
        <v>12</v>
      </c>
      <c r="B14" s="23">
        <v>770.25410898355517</v>
      </c>
      <c r="C14" s="24">
        <v>1827.0497568110202</v>
      </c>
      <c r="E14" s="52"/>
      <c r="I14" s="31"/>
      <c r="J14" s="31"/>
      <c r="K14" s="31"/>
      <c r="L14" s="31"/>
      <c r="M14" s="31"/>
      <c r="N14" s="31"/>
      <c r="AH14" s="16">
        <v>775</v>
      </c>
      <c r="AI14" s="16"/>
      <c r="AJ14" s="16"/>
      <c r="AK14" s="16">
        <v>625</v>
      </c>
      <c r="AL14" s="16">
        <v>324</v>
      </c>
      <c r="AM14" s="16">
        <v>0</v>
      </c>
      <c r="AN14" s="16"/>
      <c r="BC14" s="13"/>
      <c r="BD14" s="13"/>
      <c r="BE14" s="13"/>
      <c r="BF14" s="13"/>
      <c r="BG14" s="13"/>
      <c r="BH14" s="13"/>
      <c r="BI14" s="13"/>
      <c r="BJ14" s="13"/>
      <c r="BK14" s="13"/>
      <c r="BL14" s="13"/>
      <c r="BM14" s="13"/>
      <c r="BN14" s="13"/>
    </row>
    <row r="15" spans="1:66" x14ac:dyDescent="0.25">
      <c r="A15" s="22">
        <v>13</v>
      </c>
      <c r="B15" s="23">
        <v>574.15320056945325</v>
      </c>
      <c r="C15" s="24">
        <v>1881.9508832824672</v>
      </c>
      <c r="E15" s="52"/>
      <c r="I15" s="31"/>
      <c r="J15" s="31"/>
      <c r="K15" s="31"/>
      <c r="L15" s="31"/>
      <c r="M15" s="31"/>
      <c r="N15" s="31"/>
      <c r="AH15" s="16">
        <v>800</v>
      </c>
      <c r="AI15" s="16"/>
      <c r="AJ15" s="16"/>
      <c r="AK15" s="16">
        <v>625</v>
      </c>
      <c r="AL15" s="16">
        <v>508</v>
      </c>
      <c r="AM15" s="16">
        <v>0</v>
      </c>
      <c r="AN15" s="16"/>
      <c r="BC15" s="13"/>
      <c r="BD15" s="13"/>
      <c r="BE15" s="13"/>
      <c r="BF15" s="13"/>
      <c r="BG15" s="13"/>
      <c r="BH15" s="13"/>
      <c r="BI15" s="13"/>
      <c r="BJ15" s="13"/>
      <c r="BK15" s="13"/>
      <c r="BL15" s="13"/>
      <c r="BM15" s="13"/>
      <c r="BN15" s="13"/>
    </row>
    <row r="16" spans="1:66" x14ac:dyDescent="0.25">
      <c r="A16" s="22">
        <v>14</v>
      </c>
      <c r="B16" s="23">
        <v>632.28926264473853</v>
      </c>
      <c r="C16" s="24">
        <v>1765.7731125049536</v>
      </c>
      <c r="E16" s="52"/>
      <c r="I16" s="31"/>
      <c r="J16" s="31"/>
      <c r="K16" s="31"/>
      <c r="L16" s="31"/>
      <c r="M16" s="31"/>
      <c r="N16" s="31"/>
      <c r="AH16" s="16">
        <v>825</v>
      </c>
      <c r="AI16" s="16"/>
      <c r="AJ16" s="16"/>
      <c r="AK16" s="16">
        <v>650</v>
      </c>
      <c r="AL16" s="16">
        <v>508</v>
      </c>
      <c r="AM16" s="16">
        <v>0</v>
      </c>
      <c r="AN16" s="16"/>
      <c r="BC16" s="13"/>
      <c r="BD16" s="13"/>
      <c r="BE16" s="13"/>
      <c r="BF16" s="13"/>
      <c r="BG16" s="13"/>
      <c r="BH16" s="13"/>
      <c r="BI16" s="13"/>
      <c r="BJ16" s="13"/>
      <c r="BK16" s="13"/>
      <c r="BL16" s="13"/>
      <c r="BM16" s="13"/>
      <c r="BN16" s="13"/>
    </row>
    <row r="17" spans="1:66" x14ac:dyDescent="0.25">
      <c r="A17" s="22">
        <v>15</v>
      </c>
      <c r="B17" s="23">
        <v>802.0719491766248</v>
      </c>
      <c r="C17" s="24">
        <v>2280.8859923032724</v>
      </c>
      <c r="I17" s="31"/>
      <c r="J17" s="31"/>
      <c r="K17" s="31"/>
      <c r="L17" s="31"/>
      <c r="M17" s="31"/>
      <c r="N17" s="31"/>
      <c r="AH17" s="16">
        <v>850</v>
      </c>
      <c r="AI17" s="16"/>
      <c r="AJ17" s="16"/>
      <c r="AK17" s="16">
        <v>650</v>
      </c>
      <c r="AL17" s="16">
        <v>720</v>
      </c>
      <c r="AM17" s="16">
        <v>0</v>
      </c>
      <c r="AN17" s="16"/>
      <c r="BC17" s="13"/>
      <c r="BD17" s="13"/>
      <c r="BE17" s="13"/>
      <c r="BF17" s="13"/>
      <c r="BG17" s="13"/>
      <c r="BH17" s="13"/>
      <c r="BI17" s="13"/>
      <c r="BJ17" s="13"/>
      <c r="BK17" s="13"/>
      <c r="BL17" s="13"/>
      <c r="BM17" s="13"/>
      <c r="BN17" s="13"/>
    </row>
    <row r="18" spans="1:66" x14ac:dyDescent="0.25">
      <c r="A18" s="22">
        <v>16</v>
      </c>
      <c r="B18" s="23">
        <v>757.6654977206565</v>
      </c>
      <c r="C18" s="24">
        <v>2247.608818750447</v>
      </c>
      <c r="I18" s="31"/>
      <c r="J18" s="31"/>
      <c r="K18" s="31"/>
      <c r="L18" s="31"/>
      <c r="M18" s="31"/>
      <c r="N18" s="31"/>
      <c r="AH18" s="16">
        <v>875</v>
      </c>
      <c r="AI18" s="16"/>
      <c r="AJ18" s="16"/>
      <c r="AK18" s="16">
        <v>675</v>
      </c>
      <c r="AL18" s="16">
        <v>720</v>
      </c>
      <c r="AM18" s="16">
        <v>0</v>
      </c>
      <c r="AN18" s="16"/>
      <c r="BC18" s="13"/>
      <c r="BD18" s="13"/>
      <c r="BE18" s="13"/>
      <c r="BF18" s="13"/>
      <c r="BG18" s="13"/>
      <c r="BH18" s="13"/>
      <c r="BI18" s="13"/>
      <c r="BJ18" s="13"/>
      <c r="BK18" s="13"/>
      <c r="BL18" s="13"/>
      <c r="BM18" s="13"/>
      <c r="BN18" s="13"/>
    </row>
    <row r="19" spans="1:66" x14ac:dyDescent="0.25">
      <c r="A19" s="22">
        <v>17</v>
      </c>
      <c r="B19" s="23">
        <v>768.10071261555595</v>
      </c>
      <c r="C19" s="24">
        <v>2087.1505138360531</v>
      </c>
      <c r="F19" s="53">
        <v>1</v>
      </c>
      <c r="I19" s="31"/>
      <c r="J19" s="31"/>
      <c r="K19" s="31"/>
      <c r="L19" s="31"/>
      <c r="M19" s="31"/>
      <c r="N19" s="31"/>
      <c r="AH19" s="16">
        <v>900</v>
      </c>
      <c r="AI19" s="16"/>
      <c r="AJ19" s="16"/>
      <c r="AK19" s="16">
        <v>675</v>
      </c>
      <c r="AL19" s="16">
        <v>1026</v>
      </c>
      <c r="AM19" s="16">
        <v>0</v>
      </c>
      <c r="AN19" s="16"/>
      <c r="BC19" s="13"/>
      <c r="BD19" s="13"/>
      <c r="BE19" s="13"/>
      <c r="BF19" s="13"/>
      <c r="BG19" s="13"/>
      <c r="BH19" s="13"/>
      <c r="BI19" s="13"/>
      <c r="BJ19" s="13"/>
      <c r="BK19" s="13"/>
      <c r="BL19" s="13"/>
      <c r="BM19" s="13"/>
      <c r="BN19" s="13"/>
    </row>
    <row r="20" spans="1:66" x14ac:dyDescent="0.25">
      <c r="A20" s="22">
        <v>18</v>
      </c>
      <c r="B20" s="23">
        <v>779.78837469927396</v>
      </c>
      <c r="C20" s="24">
        <v>2191.0087500311006</v>
      </c>
      <c r="I20" s="31"/>
      <c r="J20" s="31"/>
      <c r="K20" s="31"/>
      <c r="L20" s="31"/>
      <c r="M20" s="31"/>
      <c r="N20" s="31"/>
      <c r="AH20" s="16">
        <v>925</v>
      </c>
      <c r="AI20" s="16"/>
      <c r="AJ20" s="16"/>
      <c r="AK20" s="16">
        <v>700</v>
      </c>
      <c r="AL20" s="16">
        <v>1026</v>
      </c>
      <c r="AM20" s="16">
        <v>0</v>
      </c>
      <c r="AN20" s="16"/>
      <c r="BC20" s="13"/>
      <c r="BD20" s="13"/>
      <c r="BE20" s="13"/>
      <c r="BF20" s="13"/>
      <c r="BG20" s="13"/>
      <c r="BH20" s="13"/>
      <c r="BI20" s="13"/>
      <c r="BJ20" s="13"/>
      <c r="BK20" s="13"/>
      <c r="BL20" s="13"/>
      <c r="BM20" s="13"/>
      <c r="BN20" s="13"/>
    </row>
    <row r="21" spans="1:66" x14ac:dyDescent="0.25">
      <c r="A21" s="22">
        <v>19</v>
      </c>
      <c r="B21" s="23">
        <v>619.62376215428071</v>
      </c>
      <c r="C21" s="24">
        <v>1808.2520486470239</v>
      </c>
      <c r="I21" s="31"/>
      <c r="J21" s="31"/>
      <c r="K21" s="31"/>
      <c r="L21" s="31"/>
      <c r="M21" s="31"/>
      <c r="N21" s="31"/>
      <c r="AH21" s="16">
        <v>950</v>
      </c>
      <c r="AI21" s="16"/>
      <c r="AJ21" s="16"/>
      <c r="AK21" s="16">
        <v>700</v>
      </c>
      <c r="AL21" s="16">
        <v>1128</v>
      </c>
      <c r="AM21" s="16">
        <v>0</v>
      </c>
      <c r="AN21" s="16"/>
      <c r="BC21" s="13"/>
      <c r="BD21" s="13"/>
      <c r="BE21" s="13"/>
      <c r="BF21" s="13"/>
      <c r="BG21" s="13"/>
      <c r="BH21" s="13"/>
      <c r="BI21" s="13"/>
      <c r="BJ21" s="13"/>
      <c r="BK21" s="13"/>
      <c r="BL21" s="13"/>
      <c r="BM21" s="13"/>
      <c r="BN21" s="13"/>
    </row>
    <row r="22" spans="1:66" x14ac:dyDescent="0.25">
      <c r="A22" s="22">
        <v>20</v>
      </c>
      <c r="B22" s="23">
        <v>799.07669435653065</v>
      </c>
      <c r="C22" s="24">
        <v>2217.1091567371036</v>
      </c>
      <c r="I22" s="31"/>
      <c r="J22" s="31"/>
      <c r="K22" s="31"/>
      <c r="L22" s="31"/>
      <c r="M22" s="31"/>
      <c r="N22" s="31"/>
      <c r="AH22" s="16">
        <v>975</v>
      </c>
      <c r="AI22" s="16"/>
      <c r="AJ22" s="16"/>
      <c r="AK22" s="16">
        <v>725</v>
      </c>
      <c r="AL22" s="16">
        <v>1128</v>
      </c>
      <c r="AM22" s="16">
        <v>0</v>
      </c>
      <c r="AN22" s="16"/>
      <c r="BC22" s="13"/>
      <c r="BD22" s="13"/>
      <c r="BE22" s="13"/>
      <c r="BF22" s="13"/>
      <c r="BG22" s="13"/>
      <c r="BH22" s="13"/>
      <c r="BI22" s="13"/>
      <c r="BJ22" s="13"/>
      <c r="BK22" s="13"/>
      <c r="BL22" s="13"/>
      <c r="BM22" s="13"/>
      <c r="BN22" s="13"/>
    </row>
    <row r="23" spans="1:66" x14ac:dyDescent="0.25">
      <c r="A23" s="22">
        <v>21</v>
      </c>
      <c r="B23" s="23">
        <v>834.4217684956335</v>
      </c>
      <c r="C23" s="24">
        <v>1529.0512409549319</v>
      </c>
      <c r="AH23" s="16">
        <v>1000</v>
      </c>
      <c r="AI23" s="16"/>
      <c r="AJ23" s="16"/>
      <c r="AK23" s="16">
        <v>725</v>
      </c>
      <c r="AL23" s="16">
        <v>1114</v>
      </c>
      <c r="AM23" s="16">
        <v>0</v>
      </c>
      <c r="AN23" s="16"/>
      <c r="BC23" s="13"/>
      <c r="BD23" s="13"/>
      <c r="BE23" s="13"/>
      <c r="BF23" s="13"/>
      <c r="BG23" s="13"/>
      <c r="BH23" s="13"/>
      <c r="BI23" s="13"/>
      <c r="BJ23" s="13"/>
      <c r="BK23" s="13"/>
      <c r="BL23" s="13"/>
      <c r="BM23" s="13"/>
      <c r="BN23" s="13"/>
    </row>
    <row r="24" spans="1:66" x14ac:dyDescent="0.25">
      <c r="A24" s="22">
        <v>22</v>
      </c>
      <c r="B24" s="23">
        <v>600.63605558531981</v>
      </c>
      <c r="C24" s="24">
        <v>2021.0807347865359</v>
      </c>
      <c r="I24" s="54"/>
      <c r="AH24" s="16">
        <v>1025</v>
      </c>
      <c r="AI24" s="16"/>
      <c r="AJ24" s="16"/>
      <c r="AK24" s="16">
        <v>750</v>
      </c>
      <c r="AL24" s="16">
        <v>1114</v>
      </c>
      <c r="AM24" s="16">
        <v>0</v>
      </c>
      <c r="AN24" s="16"/>
      <c r="BC24" s="13"/>
      <c r="BD24" s="13"/>
      <c r="BE24" s="13"/>
      <c r="BF24" s="13"/>
      <c r="BG24" s="13"/>
      <c r="BH24" s="13"/>
      <c r="BI24" s="13"/>
      <c r="BJ24" s="13"/>
      <c r="BK24" s="13"/>
      <c r="BL24" s="13"/>
      <c r="BM24" s="13"/>
      <c r="BN24" s="13"/>
    </row>
    <row r="25" spans="1:66" x14ac:dyDescent="0.25">
      <c r="A25" s="22">
        <v>23</v>
      </c>
      <c r="B25" s="23">
        <v>672.15904107900678</v>
      </c>
      <c r="C25" s="24">
        <v>2016.1759744810724</v>
      </c>
      <c r="AH25" s="16">
        <v>1050</v>
      </c>
      <c r="AI25" s="16"/>
      <c r="AJ25" s="16"/>
      <c r="AK25" s="16">
        <v>750</v>
      </c>
      <c r="AL25" s="16">
        <v>1049</v>
      </c>
      <c r="AM25" s="16">
        <v>0</v>
      </c>
      <c r="AN25" s="16"/>
      <c r="BC25" s="13"/>
      <c r="BD25" s="13"/>
      <c r="BE25" s="13"/>
      <c r="BF25" s="13"/>
      <c r="BG25" s="13"/>
      <c r="BH25" s="13"/>
      <c r="BI25" s="13"/>
      <c r="BJ25" s="13"/>
      <c r="BK25" s="13"/>
      <c r="BL25" s="13"/>
      <c r="BM25" s="13"/>
      <c r="BN25" s="13"/>
    </row>
    <row r="26" spans="1:66" x14ac:dyDescent="0.25">
      <c r="A26" s="22">
        <v>24</v>
      </c>
      <c r="B26" s="23">
        <v>636.27078207356601</v>
      </c>
      <c r="C26" s="24">
        <v>2058.3749348874844</v>
      </c>
      <c r="AH26" s="16">
        <v>1075</v>
      </c>
      <c r="AI26" s="16"/>
      <c r="AJ26" s="16"/>
      <c r="AK26" s="16">
        <v>775</v>
      </c>
      <c r="AL26" s="16">
        <v>1049</v>
      </c>
      <c r="AM26" s="16">
        <v>0</v>
      </c>
      <c r="AN26" s="16"/>
      <c r="BC26" s="13"/>
      <c r="BD26" s="13"/>
      <c r="BE26" s="13"/>
      <c r="BF26" s="13"/>
      <c r="BG26" s="13"/>
      <c r="BH26" s="13"/>
      <c r="BI26" s="13"/>
      <c r="BJ26" s="13"/>
      <c r="BK26" s="13"/>
      <c r="BL26" s="13"/>
      <c r="BM26" s="13"/>
      <c r="BN26" s="13"/>
    </row>
    <row r="27" spans="1:66" x14ac:dyDescent="0.25">
      <c r="A27" s="22">
        <v>25</v>
      </c>
      <c r="B27" s="23">
        <v>710.45385528685836</v>
      </c>
      <c r="C27" s="24">
        <v>2193.0127165059216</v>
      </c>
      <c r="AH27" s="16">
        <v>1100</v>
      </c>
      <c r="AI27" s="16"/>
      <c r="AJ27" s="16"/>
      <c r="AK27" s="16">
        <v>775</v>
      </c>
      <c r="AL27" s="16">
        <v>1004</v>
      </c>
      <c r="AM27" s="16">
        <v>0</v>
      </c>
      <c r="AN27" s="16"/>
      <c r="BC27" s="13"/>
      <c r="BD27" s="13"/>
      <c r="BE27" s="13"/>
      <c r="BF27" s="13"/>
      <c r="BG27" s="13"/>
      <c r="BH27" s="13"/>
      <c r="BI27" s="13"/>
      <c r="BJ27" s="13"/>
      <c r="BK27" s="13"/>
      <c r="BL27" s="13"/>
      <c r="BM27" s="13"/>
      <c r="BN27" s="13"/>
    </row>
    <row r="28" spans="1:66" x14ac:dyDescent="0.25">
      <c r="A28" s="22">
        <v>26</v>
      </c>
      <c r="B28" s="23">
        <v>834.08111911229707</v>
      </c>
      <c r="C28" s="24">
        <v>2203.784671940386</v>
      </c>
      <c r="AH28" s="16">
        <v>1125</v>
      </c>
      <c r="AI28" s="16"/>
      <c r="AJ28" s="16"/>
      <c r="AK28" s="16">
        <v>800</v>
      </c>
      <c r="AL28" s="16">
        <v>1004</v>
      </c>
      <c r="AM28" s="16">
        <v>0</v>
      </c>
      <c r="AN28" s="16"/>
      <c r="BC28" s="13"/>
      <c r="BD28" s="13"/>
      <c r="BE28" s="13"/>
      <c r="BF28" s="13"/>
      <c r="BG28" s="13"/>
      <c r="BH28" s="13"/>
      <c r="BI28" s="13"/>
      <c r="BJ28" s="13"/>
      <c r="BK28" s="13"/>
      <c r="BL28" s="13"/>
      <c r="BM28" s="13"/>
      <c r="BN28" s="13"/>
    </row>
    <row r="29" spans="1:66" x14ac:dyDescent="0.25">
      <c r="A29" s="22">
        <v>27</v>
      </c>
      <c r="B29" s="23">
        <v>793.44422275649708</v>
      </c>
      <c r="C29" s="24">
        <v>2088.0045600825542</v>
      </c>
      <c r="AH29" s="16"/>
      <c r="AI29" s="16"/>
      <c r="AJ29" s="16"/>
      <c r="AK29" s="16">
        <v>800</v>
      </c>
      <c r="AL29" s="16">
        <v>816</v>
      </c>
      <c r="AM29" s="16">
        <v>0</v>
      </c>
      <c r="AN29" s="16"/>
      <c r="BC29" s="13"/>
      <c r="BD29" s="13"/>
      <c r="BE29" s="13"/>
      <c r="BF29" s="13"/>
      <c r="BG29" s="13"/>
      <c r="BH29" s="13"/>
      <c r="BI29" s="13"/>
      <c r="BJ29" s="13"/>
      <c r="BK29" s="13"/>
      <c r="BL29" s="13"/>
      <c r="BM29" s="13"/>
      <c r="BN29" s="13"/>
    </row>
    <row r="30" spans="1:66" x14ac:dyDescent="0.25">
      <c r="A30" s="22">
        <v>28</v>
      </c>
      <c r="B30" s="23">
        <v>684.12893820655415</v>
      </c>
      <c r="C30" s="24">
        <v>1977.058890500911</v>
      </c>
      <c r="AH30" s="16"/>
      <c r="AI30" s="16"/>
      <c r="AJ30" s="16"/>
      <c r="AK30" s="16">
        <v>825</v>
      </c>
      <c r="AL30" s="16">
        <v>816</v>
      </c>
      <c r="AM30" s="16">
        <v>0</v>
      </c>
      <c r="AN30" s="16"/>
      <c r="BC30" s="13"/>
      <c r="BD30" s="13"/>
      <c r="BE30" s="13"/>
      <c r="BF30" s="13"/>
      <c r="BG30" s="13"/>
      <c r="BH30" s="13"/>
      <c r="BI30" s="13"/>
      <c r="BJ30" s="13"/>
      <c r="BK30" s="13"/>
      <c r="BL30" s="13"/>
      <c r="BM30" s="13"/>
      <c r="BN30" s="13"/>
    </row>
    <row r="31" spans="1:66" x14ac:dyDescent="0.25">
      <c r="A31" s="22">
        <v>29</v>
      </c>
      <c r="B31" s="23">
        <v>760.84964305012329</v>
      </c>
      <c r="C31" s="24">
        <v>2012.2211947704591</v>
      </c>
      <c r="AH31" s="16"/>
      <c r="AI31" s="16"/>
      <c r="AJ31" s="16"/>
      <c r="AK31" s="16">
        <v>825</v>
      </c>
      <c r="AL31" s="16">
        <v>709</v>
      </c>
      <c r="AM31" s="16">
        <v>0</v>
      </c>
      <c r="AN31" s="16"/>
      <c r="BC31" s="13"/>
      <c r="BD31" s="13"/>
      <c r="BE31" s="13"/>
      <c r="BF31" s="13"/>
      <c r="BG31" s="13"/>
      <c r="BH31" s="13"/>
      <c r="BI31" s="13"/>
      <c r="BJ31" s="13"/>
      <c r="BK31" s="13"/>
      <c r="BL31" s="13"/>
      <c r="BM31" s="13"/>
      <c r="BN31" s="13"/>
    </row>
    <row r="32" spans="1:66" x14ac:dyDescent="0.25">
      <c r="A32" s="22">
        <v>30</v>
      </c>
      <c r="B32" s="23">
        <v>801.14384453267417</v>
      </c>
      <c r="C32" s="24">
        <v>1846.1472422931179</v>
      </c>
      <c r="AH32" s="16"/>
      <c r="AI32" s="16"/>
      <c r="AJ32" s="16"/>
      <c r="AK32" s="16">
        <v>850</v>
      </c>
      <c r="AL32" s="16">
        <v>709</v>
      </c>
      <c r="AM32" s="16">
        <v>0</v>
      </c>
      <c r="AN32" s="16"/>
      <c r="BC32" s="13"/>
      <c r="BD32" s="13"/>
      <c r="BE32" s="13"/>
      <c r="BF32" s="13"/>
      <c r="BG32" s="13"/>
      <c r="BH32" s="13"/>
      <c r="BI32" s="13"/>
      <c r="BJ32" s="13"/>
      <c r="BK32" s="13"/>
      <c r="BL32" s="13"/>
      <c r="BM32" s="13"/>
      <c r="BN32" s="13"/>
    </row>
    <row r="33" spans="1:66" x14ac:dyDescent="0.25">
      <c r="A33" s="22">
        <v>31</v>
      </c>
      <c r="B33" s="23">
        <v>777.31663974356275</v>
      </c>
      <c r="C33" s="24">
        <v>1852.3107648405594</v>
      </c>
      <c r="AH33" s="16"/>
      <c r="AI33" s="16"/>
      <c r="AJ33" s="16"/>
      <c r="AK33" s="16">
        <v>850</v>
      </c>
      <c r="AL33" s="16">
        <v>458</v>
      </c>
      <c r="AM33" s="16">
        <v>0</v>
      </c>
      <c r="AN33" s="16"/>
      <c r="BC33" s="13"/>
      <c r="BD33" s="13"/>
      <c r="BE33" s="13"/>
      <c r="BF33" s="13"/>
      <c r="BG33" s="13"/>
      <c r="BH33" s="13"/>
      <c r="BI33" s="13"/>
      <c r="BJ33" s="13"/>
      <c r="BK33" s="13"/>
      <c r="BL33" s="13"/>
      <c r="BM33" s="13"/>
      <c r="BN33" s="13"/>
    </row>
    <row r="34" spans="1:66" x14ac:dyDescent="0.25">
      <c r="A34" s="22">
        <v>32</v>
      </c>
      <c r="B34" s="23">
        <v>673.32542308461757</v>
      </c>
      <c r="C34" s="24">
        <v>1640.6214350793862</v>
      </c>
      <c r="AH34" s="16"/>
      <c r="AI34" s="16"/>
      <c r="AJ34" s="16"/>
      <c r="AK34" s="16">
        <v>875</v>
      </c>
      <c r="AL34" s="16">
        <v>458</v>
      </c>
      <c r="AM34" s="16">
        <v>0</v>
      </c>
      <c r="AN34" s="16"/>
      <c r="BC34" s="13"/>
      <c r="BD34" s="13"/>
      <c r="BE34" s="13"/>
      <c r="BF34" s="13"/>
      <c r="BG34" s="13"/>
      <c r="BH34" s="13"/>
      <c r="BI34" s="13"/>
      <c r="BJ34" s="13"/>
      <c r="BK34" s="13"/>
      <c r="BL34" s="13"/>
      <c r="BM34" s="13"/>
      <c r="BN34" s="13"/>
    </row>
    <row r="35" spans="1:66" x14ac:dyDescent="0.25">
      <c r="A35" s="22">
        <v>33</v>
      </c>
      <c r="B35" s="23">
        <v>585.26185979859474</v>
      </c>
      <c r="C35" s="24">
        <v>1975.8891315250564</v>
      </c>
      <c r="AH35" s="16"/>
      <c r="AI35" s="16"/>
      <c r="AJ35" s="16"/>
      <c r="AK35" s="16">
        <v>875</v>
      </c>
      <c r="AL35" s="16">
        <v>293</v>
      </c>
      <c r="AM35" s="16">
        <v>0</v>
      </c>
      <c r="AN35" s="16"/>
      <c r="BC35" s="13"/>
      <c r="BD35" s="13"/>
      <c r="BE35" s="13"/>
      <c r="BF35" s="13"/>
      <c r="BG35" s="13"/>
      <c r="BH35" s="13"/>
      <c r="BI35" s="13"/>
      <c r="BJ35" s="13"/>
      <c r="BK35" s="13"/>
      <c r="BL35" s="13"/>
      <c r="BM35" s="13"/>
      <c r="BN35" s="13"/>
    </row>
    <row r="36" spans="1:66" x14ac:dyDescent="0.25">
      <c r="A36" s="22">
        <v>34</v>
      </c>
      <c r="B36" s="23">
        <v>689.61821155447603</v>
      </c>
      <c r="C36" s="24">
        <v>1963.2671305220424</v>
      </c>
      <c r="AH36" s="16"/>
      <c r="AI36" s="16"/>
      <c r="AJ36" s="16"/>
      <c r="AK36" s="16">
        <v>900</v>
      </c>
      <c r="AL36" s="16">
        <v>293</v>
      </c>
      <c r="AM36" s="16">
        <v>0</v>
      </c>
      <c r="AN36" s="16"/>
      <c r="BC36" s="13"/>
      <c r="BD36" s="13"/>
      <c r="BE36" s="13"/>
      <c r="BF36" s="13"/>
      <c r="BG36" s="13"/>
      <c r="BH36" s="13"/>
      <c r="BI36" s="13"/>
      <c r="BJ36" s="13"/>
      <c r="BK36" s="13"/>
      <c r="BL36" s="13"/>
      <c r="BM36" s="13"/>
      <c r="BN36" s="13"/>
    </row>
    <row r="37" spans="1:66" x14ac:dyDescent="0.25">
      <c r="A37" s="22">
        <v>35</v>
      </c>
      <c r="B37" s="23">
        <v>761.97059711174018</v>
      </c>
      <c r="C37" s="24">
        <v>1722.1126552578082</v>
      </c>
      <c r="AH37" s="16"/>
      <c r="AI37" s="16"/>
      <c r="AJ37" s="16"/>
      <c r="AK37" s="16">
        <v>900</v>
      </c>
      <c r="AL37" s="16">
        <v>233</v>
      </c>
      <c r="AM37" s="16">
        <v>0</v>
      </c>
      <c r="AN37" s="16"/>
      <c r="BC37" s="13"/>
      <c r="BD37" s="13"/>
      <c r="BE37" s="13"/>
      <c r="BF37" s="13"/>
      <c r="BG37" s="13"/>
      <c r="BH37" s="13"/>
      <c r="BI37" s="13"/>
      <c r="BJ37" s="13"/>
      <c r="BK37" s="13"/>
      <c r="BL37" s="13"/>
      <c r="BM37" s="13"/>
      <c r="BN37" s="13"/>
    </row>
    <row r="38" spans="1:66" x14ac:dyDescent="0.25">
      <c r="A38" s="22">
        <v>36</v>
      </c>
      <c r="B38" s="23">
        <v>658.32410157617642</v>
      </c>
      <c r="C38" s="24">
        <v>2011.4165462076976</v>
      </c>
      <c r="AH38" s="16"/>
      <c r="AI38" s="16"/>
      <c r="AJ38" s="16"/>
      <c r="AK38" s="16">
        <v>925</v>
      </c>
      <c r="AL38" s="16">
        <v>233</v>
      </c>
      <c r="AM38" s="16">
        <v>0</v>
      </c>
      <c r="AN38" s="16"/>
      <c r="BC38" s="13"/>
      <c r="BD38" s="13"/>
      <c r="BE38" s="13"/>
      <c r="BF38" s="13"/>
      <c r="BG38" s="13"/>
      <c r="BH38" s="13"/>
      <c r="BI38" s="13"/>
      <c r="BJ38" s="13"/>
      <c r="BK38" s="13"/>
      <c r="BL38" s="13"/>
      <c r="BM38" s="13"/>
      <c r="BN38" s="13"/>
    </row>
    <row r="39" spans="1:66" x14ac:dyDescent="0.25">
      <c r="A39" s="22">
        <v>37</v>
      </c>
      <c r="B39" s="23">
        <v>823.62779739779717</v>
      </c>
      <c r="C39" s="24">
        <v>1679.0999378193594</v>
      </c>
      <c r="AH39" s="16"/>
      <c r="AI39" s="16"/>
      <c r="AJ39" s="16"/>
      <c r="AK39" s="16">
        <v>925</v>
      </c>
      <c r="AL39" s="16">
        <v>140</v>
      </c>
      <c r="AM39" s="16">
        <v>0</v>
      </c>
      <c r="AN39" s="16"/>
      <c r="BC39" s="13"/>
      <c r="BD39" s="13"/>
      <c r="BE39" s="13"/>
      <c r="BF39" s="13"/>
      <c r="BG39" s="13"/>
      <c r="BH39" s="13"/>
      <c r="BI39" s="13"/>
      <c r="BJ39" s="13"/>
      <c r="BK39" s="13"/>
      <c r="BL39" s="13"/>
      <c r="BM39" s="13"/>
      <c r="BN39" s="13"/>
    </row>
    <row r="40" spans="1:66" x14ac:dyDescent="0.25">
      <c r="A40" s="22">
        <v>38</v>
      </c>
      <c r="B40" s="23">
        <v>617.3659342650252</v>
      </c>
      <c r="C40" s="24">
        <v>1879.2015812004131</v>
      </c>
      <c r="AH40" s="16"/>
      <c r="AI40" s="16"/>
      <c r="AJ40" s="16"/>
      <c r="AK40" s="16">
        <v>950</v>
      </c>
      <c r="AL40" s="16">
        <v>140</v>
      </c>
      <c r="AM40" s="16">
        <v>0</v>
      </c>
      <c r="AN40" s="16"/>
      <c r="BC40" s="13"/>
      <c r="BD40" s="13"/>
      <c r="BE40" s="13"/>
      <c r="BF40" s="13"/>
      <c r="BG40" s="13"/>
      <c r="BH40" s="13"/>
      <c r="BI40" s="13"/>
      <c r="BJ40" s="13"/>
      <c r="BK40" s="13"/>
      <c r="BL40" s="13"/>
      <c r="BM40" s="13"/>
      <c r="BN40" s="13"/>
    </row>
    <row r="41" spans="1:66" x14ac:dyDescent="0.25">
      <c r="A41" s="22">
        <v>39</v>
      </c>
      <c r="B41" s="23">
        <v>811.09258767711503</v>
      </c>
      <c r="C41" s="24">
        <v>1477.5379659738819</v>
      </c>
      <c r="AH41" s="16"/>
      <c r="AI41" s="16"/>
      <c r="AJ41" s="16"/>
      <c r="AK41" s="16">
        <v>950</v>
      </c>
      <c r="AL41" s="16">
        <v>67</v>
      </c>
      <c r="AM41" s="16">
        <v>0</v>
      </c>
      <c r="AN41" s="16"/>
      <c r="BC41" s="13"/>
      <c r="BD41" s="13"/>
      <c r="BE41" s="13"/>
      <c r="BF41" s="13"/>
      <c r="BG41" s="13"/>
      <c r="BH41" s="13"/>
      <c r="BI41" s="13"/>
      <c r="BJ41" s="13"/>
      <c r="BK41" s="13"/>
      <c r="BL41" s="13"/>
      <c r="BM41" s="13"/>
      <c r="BN41" s="13"/>
    </row>
    <row r="42" spans="1:66" x14ac:dyDescent="0.25">
      <c r="A42" s="22">
        <v>40</v>
      </c>
      <c r="B42" s="23">
        <v>817.5474085661333</v>
      </c>
      <c r="C42" s="24">
        <v>2302.6168798855779</v>
      </c>
      <c r="AH42" s="16"/>
      <c r="AI42" s="16"/>
      <c r="AJ42" s="16"/>
      <c r="AK42" s="16">
        <v>975</v>
      </c>
      <c r="AL42" s="16">
        <v>67</v>
      </c>
      <c r="AM42" s="16">
        <v>0</v>
      </c>
      <c r="AN42" s="16"/>
      <c r="BC42" s="13"/>
      <c r="BD42" s="13"/>
      <c r="BE42" s="13"/>
      <c r="BF42" s="13"/>
      <c r="BG42" s="13"/>
      <c r="BH42" s="13"/>
      <c r="BI42" s="13"/>
      <c r="BJ42" s="13"/>
      <c r="BK42" s="13"/>
      <c r="BL42" s="13"/>
      <c r="BM42" s="13"/>
      <c r="BN42" s="13"/>
    </row>
    <row r="43" spans="1:66" x14ac:dyDescent="0.25">
      <c r="A43" s="22">
        <v>41</v>
      </c>
      <c r="B43" s="23">
        <v>763.23077439092617</v>
      </c>
      <c r="C43" s="24">
        <v>1946.5792363179617</v>
      </c>
      <c r="AH43" s="16"/>
      <c r="AI43" s="16"/>
      <c r="AJ43" s="16"/>
      <c r="AK43" s="16">
        <v>975</v>
      </c>
      <c r="AL43" s="16">
        <v>39</v>
      </c>
      <c r="AM43" s="16">
        <v>0</v>
      </c>
      <c r="AN43" s="16"/>
      <c r="BC43" s="13"/>
      <c r="BD43" s="13"/>
      <c r="BE43" s="13"/>
      <c r="BF43" s="13"/>
      <c r="BG43" s="13"/>
      <c r="BH43" s="13"/>
      <c r="BI43" s="13"/>
      <c r="BJ43" s="13"/>
      <c r="BK43" s="13"/>
      <c r="BL43" s="13"/>
      <c r="BM43" s="13"/>
      <c r="BN43" s="13"/>
    </row>
    <row r="44" spans="1:66" x14ac:dyDescent="0.25">
      <c r="A44" s="22">
        <v>42</v>
      </c>
      <c r="B44" s="23">
        <v>615.15222711321428</v>
      </c>
      <c r="C44" s="24">
        <v>1698.4439763036448</v>
      </c>
      <c r="AH44" s="16"/>
      <c r="AI44" s="16"/>
      <c r="AJ44" s="16"/>
      <c r="AK44" s="16">
        <v>1000</v>
      </c>
      <c r="AL44" s="16">
        <v>39</v>
      </c>
      <c r="AM44" s="16">
        <v>0</v>
      </c>
      <c r="AN44" s="16"/>
      <c r="BC44" s="13"/>
      <c r="BD44" s="13"/>
      <c r="BE44" s="13"/>
      <c r="BF44" s="13"/>
      <c r="BG44" s="13"/>
      <c r="BH44" s="13"/>
      <c r="BI44" s="13"/>
      <c r="BJ44" s="13"/>
      <c r="BK44" s="13"/>
      <c r="BL44" s="13"/>
      <c r="BM44" s="13"/>
      <c r="BN44" s="13"/>
    </row>
    <row r="45" spans="1:66" x14ac:dyDescent="0.25">
      <c r="A45" s="22">
        <v>43</v>
      </c>
      <c r="B45" s="23">
        <v>848.57996880550127</v>
      </c>
      <c r="C45" s="24">
        <v>1770.4159889112989</v>
      </c>
      <c r="AH45" s="16"/>
      <c r="AI45" s="16"/>
      <c r="AJ45" s="16"/>
      <c r="AK45" s="16">
        <v>1000</v>
      </c>
      <c r="AL45" s="16">
        <v>37</v>
      </c>
      <c r="AM45" s="16">
        <v>0</v>
      </c>
      <c r="AN45" s="16"/>
      <c r="BC45" s="13"/>
      <c r="BD45" s="13"/>
      <c r="BE45" s="13"/>
      <c r="BF45" s="13"/>
      <c r="BG45" s="13"/>
      <c r="BH45" s="13"/>
      <c r="BI45" s="13"/>
      <c r="BJ45" s="13"/>
      <c r="BK45" s="13"/>
      <c r="BL45" s="13"/>
      <c r="BM45" s="13"/>
      <c r="BN45" s="13"/>
    </row>
    <row r="46" spans="1:66" x14ac:dyDescent="0.25">
      <c r="A46" s="22">
        <v>44</v>
      </c>
      <c r="B46" s="23">
        <v>819.97430090857029</v>
      </c>
      <c r="C46" s="24">
        <v>1733.8350202093811</v>
      </c>
      <c r="I46" s="54"/>
      <c r="AH46" s="16"/>
      <c r="AI46" s="16"/>
      <c r="AJ46" s="16"/>
      <c r="AK46" s="16">
        <v>1025</v>
      </c>
      <c r="AL46" s="16">
        <v>37</v>
      </c>
      <c r="AM46" s="16">
        <v>0</v>
      </c>
      <c r="AN46" s="16"/>
      <c r="BC46" s="13"/>
      <c r="BD46" s="13"/>
      <c r="BE46" s="13"/>
      <c r="BF46" s="13"/>
      <c r="BG46" s="13"/>
      <c r="BH46" s="13"/>
      <c r="BI46" s="13"/>
      <c r="BJ46" s="13"/>
      <c r="BK46" s="13"/>
      <c r="BL46" s="13"/>
      <c r="BM46" s="13"/>
      <c r="BN46" s="13"/>
    </row>
    <row r="47" spans="1:66" x14ac:dyDescent="0.25">
      <c r="A47" s="22">
        <v>45</v>
      </c>
      <c r="B47" s="23">
        <v>779.6331755313762</v>
      </c>
      <c r="C47" s="24">
        <v>1816.9218170839163</v>
      </c>
      <c r="AH47" s="16"/>
      <c r="AI47" s="16"/>
      <c r="AJ47" s="16"/>
      <c r="AK47" s="16">
        <v>1025</v>
      </c>
      <c r="AL47" s="16">
        <v>15</v>
      </c>
      <c r="AM47" s="16">
        <v>0</v>
      </c>
      <c r="AN47" s="16"/>
      <c r="BC47" s="13"/>
      <c r="BD47" s="13"/>
      <c r="BE47" s="13"/>
      <c r="BF47" s="13"/>
      <c r="BG47" s="13"/>
      <c r="BH47" s="13"/>
      <c r="BI47" s="13"/>
      <c r="BJ47" s="13"/>
      <c r="BK47" s="13"/>
      <c r="BL47" s="13"/>
      <c r="BM47" s="13"/>
      <c r="BN47" s="13"/>
    </row>
    <row r="48" spans="1:66" x14ac:dyDescent="0.25">
      <c r="A48" s="22">
        <v>46</v>
      </c>
      <c r="B48" s="23">
        <v>751.30768788858484</v>
      </c>
      <c r="C48" s="24">
        <v>1677.37725984853</v>
      </c>
      <c r="AH48" s="16"/>
      <c r="AI48" s="16"/>
      <c r="AJ48" s="16"/>
      <c r="AK48" s="16">
        <v>1050</v>
      </c>
      <c r="AL48" s="16">
        <v>15</v>
      </c>
      <c r="AM48" s="16">
        <v>0</v>
      </c>
      <c r="AN48" s="16"/>
      <c r="BC48" s="13"/>
      <c r="BD48" s="13"/>
      <c r="BE48" s="13"/>
      <c r="BF48" s="13"/>
      <c r="BG48" s="13"/>
      <c r="BH48" s="13"/>
      <c r="BI48" s="13"/>
      <c r="BJ48" s="13"/>
      <c r="BK48" s="13"/>
      <c r="BL48" s="13"/>
      <c r="BM48" s="13"/>
      <c r="BN48" s="13"/>
    </row>
    <row r="49" spans="1:66" x14ac:dyDescent="0.25">
      <c r="A49" s="22">
        <v>47</v>
      </c>
      <c r="B49" s="23">
        <v>877.75952588303358</v>
      </c>
      <c r="C49" s="24">
        <v>1740.7757940468523</v>
      </c>
      <c r="AH49" s="16"/>
      <c r="AI49" s="16"/>
      <c r="AJ49" s="16"/>
      <c r="AK49" s="16">
        <v>1050</v>
      </c>
      <c r="AL49" s="16">
        <v>6</v>
      </c>
      <c r="AM49" s="16">
        <v>0</v>
      </c>
      <c r="AN49" s="16"/>
      <c r="BC49" s="13"/>
      <c r="BD49" s="13"/>
      <c r="BE49" s="13"/>
      <c r="BF49" s="13"/>
      <c r="BG49" s="13"/>
      <c r="BH49" s="13"/>
      <c r="BI49" s="13"/>
      <c r="BJ49" s="13"/>
      <c r="BK49" s="13"/>
      <c r="BL49" s="13"/>
      <c r="BM49" s="13"/>
      <c r="BN49" s="13"/>
    </row>
    <row r="50" spans="1:66" x14ac:dyDescent="0.25">
      <c r="A50" s="22">
        <v>48</v>
      </c>
      <c r="B50" s="23">
        <v>787.56004582799517</v>
      </c>
      <c r="C50" s="24">
        <v>1763.2146299823071</v>
      </c>
      <c r="AH50" s="16"/>
      <c r="AI50" s="16"/>
      <c r="AJ50" s="16"/>
      <c r="AK50" s="16">
        <v>1075</v>
      </c>
      <c r="AL50" s="16">
        <v>6</v>
      </c>
      <c r="AM50" s="16">
        <v>0</v>
      </c>
      <c r="AN50" s="16"/>
      <c r="BC50" s="13"/>
      <c r="BD50" s="13"/>
      <c r="BE50" s="13"/>
      <c r="BF50" s="13"/>
      <c r="BG50" s="13"/>
      <c r="BH50" s="13"/>
      <c r="BI50" s="13"/>
      <c r="BJ50" s="13"/>
      <c r="BK50" s="13"/>
      <c r="BL50" s="13"/>
      <c r="BM50" s="13"/>
      <c r="BN50" s="13"/>
    </row>
    <row r="51" spans="1:66" x14ac:dyDescent="0.25">
      <c r="A51" s="22">
        <v>49</v>
      </c>
      <c r="B51" s="23">
        <v>792.16044069360714</v>
      </c>
      <c r="C51" s="24">
        <v>2090.2057549492465</v>
      </c>
      <c r="AH51" s="16"/>
      <c r="AI51" s="16"/>
      <c r="AJ51" s="16"/>
      <c r="AK51" s="16">
        <v>1075</v>
      </c>
      <c r="AL51" s="16">
        <v>4</v>
      </c>
      <c r="AM51" s="16">
        <v>0</v>
      </c>
      <c r="AN51" s="16"/>
      <c r="BC51" s="13"/>
      <c r="BD51" s="13"/>
      <c r="BE51" s="13"/>
      <c r="BF51" s="13"/>
      <c r="BG51" s="13"/>
      <c r="BH51" s="13"/>
      <c r="BI51" s="13"/>
      <c r="BJ51" s="13"/>
      <c r="BK51" s="13"/>
      <c r="BL51" s="13"/>
      <c r="BM51" s="13"/>
      <c r="BN51" s="13"/>
    </row>
    <row r="52" spans="1:66" x14ac:dyDescent="0.25">
      <c r="A52" s="22">
        <v>50</v>
      </c>
      <c r="B52" s="23">
        <v>656.52372598261513</v>
      </c>
      <c r="C52" s="24">
        <v>1973.8105282800439</v>
      </c>
      <c r="AH52" s="16"/>
      <c r="AI52" s="16"/>
      <c r="AJ52" s="16"/>
      <c r="AK52" s="16">
        <v>1100</v>
      </c>
      <c r="AL52" s="16">
        <v>4</v>
      </c>
      <c r="AM52" s="16">
        <v>0</v>
      </c>
      <c r="AN52" s="16"/>
      <c r="BC52" s="13"/>
      <c r="BD52" s="13"/>
      <c r="BE52" s="13"/>
      <c r="BF52" s="13"/>
      <c r="BG52" s="13"/>
      <c r="BH52" s="13"/>
      <c r="BI52" s="13"/>
      <c r="BJ52" s="13"/>
      <c r="BK52" s="13"/>
      <c r="BL52" s="13"/>
      <c r="BM52" s="13"/>
      <c r="BN52" s="13"/>
    </row>
    <row r="53" spans="1:66" x14ac:dyDescent="0.25">
      <c r="A53" s="22">
        <v>51</v>
      </c>
      <c r="B53" s="23">
        <v>699.1206423432169</v>
      </c>
      <c r="C53" s="24">
        <v>1846.3372720031944</v>
      </c>
      <c r="AH53" s="16"/>
      <c r="AI53" s="16"/>
      <c r="AJ53" s="16"/>
      <c r="AK53" s="16">
        <v>1100</v>
      </c>
      <c r="AL53" s="16">
        <v>2</v>
      </c>
      <c r="AM53" s="16">
        <v>0</v>
      </c>
      <c r="AN53" s="16"/>
      <c r="BC53" s="13"/>
      <c r="BD53" s="13"/>
      <c r="BE53" s="13"/>
      <c r="BF53" s="13"/>
      <c r="BG53" s="13"/>
      <c r="BH53" s="13"/>
      <c r="BI53" s="13"/>
      <c r="BJ53" s="13"/>
      <c r="BK53" s="13"/>
      <c r="BL53" s="13"/>
      <c r="BM53" s="13"/>
      <c r="BN53" s="13"/>
    </row>
    <row r="54" spans="1:66" x14ac:dyDescent="0.25">
      <c r="A54" s="22">
        <v>52</v>
      </c>
      <c r="B54" s="23">
        <v>847.1883439866973</v>
      </c>
      <c r="C54" s="24">
        <v>2619.3102092118374</v>
      </c>
      <c r="AH54" s="16"/>
      <c r="AI54" s="16"/>
      <c r="AJ54" s="16"/>
      <c r="AK54" s="16">
        <v>1125</v>
      </c>
      <c r="AL54" s="16">
        <v>2</v>
      </c>
      <c r="AM54" s="16">
        <v>0</v>
      </c>
      <c r="AN54" s="16"/>
      <c r="BC54" s="13"/>
      <c r="BD54" s="13"/>
      <c r="BE54" s="13"/>
      <c r="BF54" s="13"/>
      <c r="BG54" s="13"/>
      <c r="BH54" s="13"/>
      <c r="BI54" s="13"/>
      <c r="BJ54" s="13"/>
      <c r="BK54" s="13"/>
      <c r="BL54" s="13"/>
      <c r="BM54" s="13"/>
      <c r="BN54" s="13"/>
    </row>
    <row r="55" spans="1:66" x14ac:dyDescent="0.25">
      <c r="A55" s="22">
        <v>53</v>
      </c>
      <c r="B55" s="23">
        <v>712.35060542350277</v>
      </c>
      <c r="C55" s="24">
        <v>2143.120321458041</v>
      </c>
      <c r="AH55" s="16"/>
      <c r="AI55" s="16"/>
      <c r="AJ55" s="16"/>
      <c r="AK55" s="16">
        <v>1125</v>
      </c>
      <c r="AL55" s="16">
        <v>0</v>
      </c>
      <c r="AM55" s="16">
        <v>0</v>
      </c>
      <c r="AN55" s="16"/>
      <c r="BC55" s="13"/>
      <c r="BD55" s="13"/>
      <c r="BE55" s="13"/>
      <c r="BF55" s="13"/>
      <c r="BG55" s="13"/>
      <c r="BH55" s="13"/>
      <c r="BI55" s="13"/>
      <c r="BJ55" s="13"/>
      <c r="BK55" s="13"/>
      <c r="BL55" s="13"/>
      <c r="BM55" s="13"/>
      <c r="BN55" s="13"/>
    </row>
    <row r="56" spans="1:66" x14ac:dyDescent="0.25">
      <c r="A56" s="22">
        <v>54</v>
      </c>
      <c r="B56" s="23">
        <v>778.97038485995006</v>
      </c>
      <c r="C56" s="24">
        <v>1812.7725320211889</v>
      </c>
      <c r="AH56" s="16"/>
      <c r="AI56" s="16"/>
      <c r="AJ56" s="16"/>
      <c r="AK56" s="16">
        <v>1150</v>
      </c>
      <c r="AL56" s="16"/>
      <c r="AM56" s="16">
        <v>0</v>
      </c>
      <c r="AN56" s="16"/>
      <c r="BC56" s="13"/>
      <c r="BD56" s="13"/>
      <c r="BE56" s="13"/>
      <c r="BF56" s="13"/>
      <c r="BG56" s="13"/>
      <c r="BH56" s="13"/>
      <c r="BI56" s="13"/>
      <c r="BJ56" s="13"/>
      <c r="BK56" s="13"/>
      <c r="BL56" s="13"/>
      <c r="BM56" s="13"/>
      <c r="BN56" s="13"/>
    </row>
    <row r="57" spans="1:66" x14ac:dyDescent="0.25">
      <c r="A57" s="22">
        <v>55</v>
      </c>
      <c r="B57" s="23">
        <v>768.44657622421369</v>
      </c>
      <c r="C57" s="24">
        <v>2204.9818655055951</v>
      </c>
      <c r="AH57" s="16"/>
      <c r="AI57" s="16"/>
      <c r="AJ57" s="16"/>
      <c r="AK57" s="16">
        <v>1150</v>
      </c>
      <c r="AL57" s="16"/>
      <c r="AM57" s="16">
        <v>0</v>
      </c>
      <c r="AN57" s="16"/>
      <c r="BC57" s="13"/>
      <c r="BD57" s="13"/>
      <c r="BE57" s="13"/>
      <c r="BF57" s="13"/>
      <c r="BG57" s="13"/>
      <c r="BH57" s="13"/>
      <c r="BI57" s="13"/>
      <c r="BJ57" s="13"/>
      <c r="BK57" s="13"/>
      <c r="BL57" s="13"/>
      <c r="BM57" s="13"/>
      <c r="BN57" s="13"/>
    </row>
    <row r="58" spans="1:66" x14ac:dyDescent="0.25">
      <c r="A58" s="22">
        <v>56</v>
      </c>
      <c r="B58" s="23">
        <v>832.96466031525779</v>
      </c>
      <c r="C58" s="24">
        <v>1891.1045953857242</v>
      </c>
      <c r="AH58" s="16"/>
      <c r="AI58" s="16"/>
      <c r="AJ58" s="16"/>
      <c r="AK58" s="16">
        <v>1175</v>
      </c>
      <c r="AL58" s="16"/>
      <c r="AM58" s="16">
        <v>0</v>
      </c>
      <c r="AN58" s="16"/>
      <c r="BC58" s="13"/>
      <c r="BD58" s="13"/>
      <c r="BE58" s="13"/>
      <c r="BF58" s="13"/>
      <c r="BG58" s="13"/>
      <c r="BH58" s="13"/>
      <c r="BI58" s="13"/>
      <c r="BJ58" s="13"/>
      <c r="BK58" s="13"/>
      <c r="BL58" s="13"/>
      <c r="BM58" s="13"/>
      <c r="BN58" s="13"/>
    </row>
    <row r="59" spans="1:66" x14ac:dyDescent="0.25">
      <c r="A59" s="22">
        <v>57</v>
      </c>
      <c r="B59" s="23">
        <v>615.64873730599584</v>
      </c>
      <c r="C59" s="24">
        <v>1706.4262251137127</v>
      </c>
      <c r="AH59" s="16"/>
      <c r="AI59" s="16"/>
      <c r="AJ59" s="16"/>
      <c r="AK59" s="16">
        <v>1175</v>
      </c>
      <c r="AL59" s="16"/>
      <c r="AM59" s="16">
        <v>0</v>
      </c>
      <c r="AN59" s="16"/>
      <c r="BC59" s="13"/>
      <c r="BD59" s="13"/>
      <c r="BE59" s="13"/>
      <c r="BF59" s="13"/>
      <c r="BG59" s="13"/>
      <c r="BH59" s="13"/>
      <c r="BI59" s="13"/>
      <c r="BJ59" s="13"/>
      <c r="BK59" s="13"/>
      <c r="BL59" s="13"/>
      <c r="BM59" s="13"/>
      <c r="BN59" s="13"/>
    </row>
    <row r="60" spans="1:66" x14ac:dyDescent="0.25">
      <c r="A60" s="22">
        <v>58</v>
      </c>
      <c r="B60" s="23">
        <v>755.08716862721451</v>
      </c>
      <c r="C60" s="24">
        <v>2554.6086618941181</v>
      </c>
      <c r="AH60" s="16"/>
      <c r="AI60" s="16"/>
      <c r="AJ60" s="16"/>
      <c r="AK60" s="16">
        <v>1200</v>
      </c>
      <c r="AL60" s="16"/>
      <c r="AM60" s="16">
        <v>0</v>
      </c>
      <c r="AN60" s="16"/>
      <c r="BC60" s="13"/>
      <c r="BD60" s="13"/>
      <c r="BE60" s="13"/>
      <c r="BF60" s="13"/>
      <c r="BG60" s="13"/>
      <c r="BH60" s="13"/>
      <c r="BI60" s="13"/>
      <c r="BJ60" s="13"/>
      <c r="BK60" s="13"/>
      <c r="BL60" s="13"/>
      <c r="BM60" s="13"/>
      <c r="BN60" s="13"/>
    </row>
    <row r="61" spans="1:66" x14ac:dyDescent="0.25">
      <c r="A61" s="22">
        <v>59</v>
      </c>
      <c r="B61" s="23">
        <v>675.86806338408292</v>
      </c>
      <c r="C61" s="24">
        <v>1775.2977440069758</v>
      </c>
      <c r="AH61" s="16"/>
      <c r="AI61" s="16"/>
      <c r="AJ61" s="16"/>
      <c r="AK61" s="16">
        <v>1200</v>
      </c>
      <c r="AL61" s="16"/>
      <c r="AM61" s="16">
        <v>0</v>
      </c>
      <c r="AN61" s="16"/>
      <c r="BC61" s="13"/>
      <c r="BD61" s="13"/>
      <c r="BE61" s="13"/>
      <c r="BF61" s="13"/>
      <c r="BG61" s="13"/>
      <c r="BH61" s="13"/>
      <c r="BI61" s="13"/>
      <c r="BJ61" s="13"/>
      <c r="BK61" s="13"/>
      <c r="BL61" s="13"/>
      <c r="BM61" s="13"/>
      <c r="BN61" s="13"/>
    </row>
    <row r="62" spans="1:66" x14ac:dyDescent="0.25">
      <c r="A62" s="22">
        <v>60</v>
      </c>
      <c r="B62" s="23">
        <v>848.59744166392557</v>
      </c>
      <c r="C62" s="24">
        <v>2082.120186303433</v>
      </c>
      <c r="AH62" s="16"/>
      <c r="AI62" s="16"/>
      <c r="AJ62" s="16"/>
      <c r="AK62" s="16">
        <v>1225</v>
      </c>
      <c r="AL62" s="16"/>
      <c r="AM62" s="16">
        <v>0</v>
      </c>
      <c r="AN62" s="16"/>
      <c r="BC62" s="13"/>
      <c r="BD62" s="13"/>
      <c r="BE62" s="13"/>
      <c r="BF62" s="13"/>
      <c r="BG62" s="13"/>
      <c r="BH62" s="13"/>
      <c r="BI62" s="13"/>
      <c r="BJ62" s="13"/>
      <c r="BK62" s="13"/>
      <c r="BL62" s="13"/>
      <c r="BM62" s="13"/>
      <c r="BN62" s="13"/>
    </row>
    <row r="63" spans="1:66" x14ac:dyDescent="0.25">
      <c r="A63" s="22">
        <v>61</v>
      </c>
      <c r="B63" s="23">
        <v>758.11114316067938</v>
      </c>
      <c r="C63" s="24">
        <v>2018.5477416595934</v>
      </c>
      <c r="AH63" s="16"/>
      <c r="AI63" s="16"/>
      <c r="AJ63" s="16"/>
      <c r="AK63" s="16">
        <v>1225</v>
      </c>
      <c r="AL63" s="16"/>
      <c r="AM63" s="16">
        <v>0</v>
      </c>
      <c r="AN63" s="16"/>
      <c r="BC63" s="13"/>
      <c r="BD63" s="13"/>
      <c r="BE63" s="13"/>
      <c r="BF63" s="13"/>
      <c r="BG63" s="13"/>
      <c r="BH63" s="13"/>
      <c r="BI63" s="13"/>
      <c r="BJ63" s="13"/>
      <c r="BK63" s="13"/>
      <c r="BL63" s="13"/>
      <c r="BM63" s="13"/>
      <c r="BN63" s="13"/>
    </row>
    <row r="64" spans="1:66" x14ac:dyDescent="0.25">
      <c r="A64" s="22">
        <v>62</v>
      </c>
      <c r="B64" s="23">
        <v>810.66540559702537</v>
      </c>
      <c r="C64" s="24">
        <v>1552.7581219731053</v>
      </c>
      <c r="AH64" s="16"/>
      <c r="AI64" s="16"/>
      <c r="AJ64" s="16"/>
      <c r="AK64" s="16">
        <v>1250</v>
      </c>
      <c r="AL64" s="16"/>
      <c r="AM64" s="16">
        <v>0</v>
      </c>
      <c r="AN64" s="16"/>
      <c r="BC64" s="13"/>
      <c r="BD64" s="13"/>
      <c r="BE64" s="13"/>
      <c r="BF64" s="13"/>
      <c r="BG64" s="13"/>
      <c r="BH64" s="13"/>
      <c r="BI64" s="13"/>
      <c r="BJ64" s="13"/>
      <c r="BK64" s="13"/>
      <c r="BL64" s="13"/>
      <c r="BM64" s="13"/>
      <c r="BN64" s="13"/>
    </row>
    <row r="65" spans="1:66" x14ac:dyDescent="0.25">
      <c r="A65" s="22">
        <v>63</v>
      </c>
      <c r="B65" s="23">
        <v>676.70938565357221</v>
      </c>
      <c r="C65" s="24">
        <v>2160.6032393782702</v>
      </c>
      <c r="AH65" s="16"/>
      <c r="AI65" s="16"/>
      <c r="AJ65" s="16"/>
      <c r="AK65" s="16">
        <v>1250</v>
      </c>
      <c r="AL65" s="16"/>
      <c r="AM65" s="16">
        <v>0</v>
      </c>
      <c r="AN65" s="16"/>
      <c r="BC65" s="13"/>
      <c r="BD65" s="13"/>
      <c r="BE65" s="13"/>
      <c r="BF65" s="13"/>
      <c r="BG65" s="13"/>
      <c r="BH65" s="13"/>
      <c r="BI65" s="13"/>
      <c r="BJ65" s="13"/>
      <c r="BK65" s="13"/>
      <c r="BL65" s="13"/>
      <c r="BM65" s="13"/>
      <c r="BN65" s="13"/>
    </row>
    <row r="66" spans="1:66" x14ac:dyDescent="0.25">
      <c r="A66" s="22">
        <v>64</v>
      </c>
      <c r="B66" s="23">
        <v>705.63404666896326</v>
      </c>
      <c r="C66" s="24">
        <v>1714.9103424990003</v>
      </c>
      <c r="AH66" s="16"/>
      <c r="AI66" s="16"/>
      <c r="AJ66" s="16"/>
      <c r="AK66" s="16">
        <v>1275</v>
      </c>
      <c r="AL66" s="16"/>
      <c r="AM66" s="16">
        <v>0</v>
      </c>
      <c r="AN66" s="16"/>
      <c r="BC66" s="13"/>
      <c r="BD66" s="13"/>
      <c r="BE66" s="13"/>
      <c r="BF66" s="13"/>
      <c r="BG66" s="13"/>
      <c r="BH66" s="13"/>
      <c r="BI66" s="13"/>
      <c r="BJ66" s="13"/>
      <c r="BK66" s="13"/>
      <c r="BL66" s="13"/>
      <c r="BM66" s="13"/>
      <c r="BN66" s="13"/>
    </row>
    <row r="67" spans="1:66" x14ac:dyDescent="0.25">
      <c r="A67" s="22">
        <v>65</v>
      </c>
      <c r="B67" s="23">
        <v>896.51867202158849</v>
      </c>
      <c r="C67" s="24">
        <v>1903.060710251194</v>
      </c>
      <c r="AH67" s="16"/>
      <c r="AI67" s="16"/>
      <c r="AJ67" s="16"/>
      <c r="AK67" s="16">
        <v>1275</v>
      </c>
      <c r="AL67" s="16"/>
      <c r="AM67" s="16">
        <v>0</v>
      </c>
      <c r="AN67" s="16"/>
      <c r="BC67" s="13"/>
      <c r="BD67" s="13"/>
      <c r="BE67" s="13"/>
      <c r="BF67" s="13"/>
      <c r="BG67" s="13"/>
      <c r="BH67" s="13"/>
      <c r="BI67" s="13"/>
      <c r="BJ67" s="13"/>
      <c r="BK67" s="13"/>
      <c r="BL67" s="13"/>
      <c r="BM67" s="13"/>
      <c r="BN67" s="13"/>
    </row>
    <row r="68" spans="1:66" x14ac:dyDescent="0.25">
      <c r="A68" s="22">
        <v>66</v>
      </c>
      <c r="B68" s="23">
        <v>570.14916830861193</v>
      </c>
      <c r="C68" s="24">
        <v>2118.3848165551349</v>
      </c>
      <c r="AK68" s="13">
        <v>1300</v>
      </c>
      <c r="AM68" s="13">
        <v>0</v>
      </c>
      <c r="BC68" s="13"/>
      <c r="BD68" s="13"/>
      <c r="BE68" s="13"/>
      <c r="BF68" s="13"/>
      <c r="BG68" s="13"/>
      <c r="BH68" s="13"/>
      <c r="BI68" s="13"/>
      <c r="BJ68" s="13"/>
      <c r="BK68" s="13"/>
      <c r="BL68" s="13"/>
      <c r="BM68" s="13"/>
      <c r="BN68" s="13"/>
    </row>
    <row r="69" spans="1:66" x14ac:dyDescent="0.25">
      <c r="A69" s="22">
        <v>67</v>
      </c>
      <c r="B69" s="23">
        <v>744.18176943854519</v>
      </c>
      <c r="C69" s="24">
        <v>1981.145476637807</v>
      </c>
      <c r="AK69" s="13">
        <v>1300</v>
      </c>
      <c r="AM69" s="13">
        <v>1</v>
      </c>
      <c r="BC69" s="13"/>
      <c r="BD69" s="13"/>
      <c r="BE69" s="13"/>
      <c r="BF69" s="13"/>
      <c r="BG69" s="13"/>
      <c r="BH69" s="13"/>
      <c r="BI69" s="13"/>
      <c r="BJ69" s="13"/>
      <c r="BK69" s="13"/>
      <c r="BL69" s="13"/>
      <c r="BM69" s="13"/>
      <c r="BN69" s="13"/>
    </row>
    <row r="70" spans="1:66" x14ac:dyDescent="0.25">
      <c r="A70" s="22">
        <v>68</v>
      </c>
      <c r="B70" s="23">
        <v>860.14119274430141</v>
      </c>
      <c r="C70" s="24">
        <v>1887.6877902937233</v>
      </c>
      <c r="AK70" s="13">
        <v>1325</v>
      </c>
      <c r="AM70" s="13">
        <v>1</v>
      </c>
      <c r="BC70" s="13"/>
      <c r="BD70" s="13"/>
      <c r="BE70" s="13"/>
      <c r="BF70" s="13"/>
      <c r="BG70" s="13"/>
      <c r="BH70" s="13"/>
      <c r="BI70" s="13"/>
      <c r="BJ70" s="13"/>
      <c r="BK70" s="13"/>
      <c r="BL70" s="13"/>
      <c r="BM70" s="13"/>
      <c r="BN70" s="13"/>
    </row>
    <row r="71" spans="1:66" x14ac:dyDescent="0.25">
      <c r="A71" s="22">
        <v>69</v>
      </c>
      <c r="B71" s="23">
        <v>640.07739956008459</v>
      </c>
      <c r="C71" s="24">
        <v>2112.6184476854451</v>
      </c>
      <c r="AK71" s="13">
        <v>1325</v>
      </c>
      <c r="AM71" s="13">
        <v>4</v>
      </c>
      <c r="BC71" s="13"/>
      <c r="BD71" s="13"/>
      <c r="BE71" s="13"/>
      <c r="BF71" s="13"/>
      <c r="BG71" s="13"/>
      <c r="BH71" s="13"/>
      <c r="BI71" s="13"/>
      <c r="BJ71" s="13"/>
      <c r="BK71" s="13"/>
      <c r="BL71" s="13"/>
      <c r="BM71" s="13"/>
      <c r="BN71" s="13"/>
    </row>
    <row r="72" spans="1:66" x14ac:dyDescent="0.25">
      <c r="A72" s="22">
        <v>70</v>
      </c>
      <c r="B72" s="23">
        <v>723.70519476638128</v>
      </c>
      <c r="C72" s="24">
        <v>2181.435110283157</v>
      </c>
      <c r="AK72" s="13">
        <v>1350</v>
      </c>
      <c r="AM72" s="13">
        <v>4</v>
      </c>
      <c r="BC72" s="13"/>
      <c r="BD72" s="13"/>
      <c r="BE72" s="13"/>
      <c r="BF72" s="13"/>
      <c r="BG72" s="13"/>
      <c r="BH72" s="13"/>
      <c r="BI72" s="13"/>
      <c r="BJ72" s="13"/>
      <c r="BK72" s="13"/>
      <c r="BL72" s="13"/>
      <c r="BM72" s="13"/>
      <c r="BN72" s="13"/>
    </row>
    <row r="73" spans="1:66" x14ac:dyDescent="0.25">
      <c r="A73" s="22">
        <v>71</v>
      </c>
      <c r="B73" s="23">
        <v>781.48665411856859</v>
      </c>
      <c r="C73" s="24">
        <v>2322.3805540907269</v>
      </c>
      <c r="AK73" s="13">
        <v>1350</v>
      </c>
      <c r="AM73" s="13">
        <v>4</v>
      </c>
      <c r="BC73" s="13"/>
      <c r="BD73" s="13"/>
      <c r="BE73" s="13"/>
      <c r="BF73" s="13"/>
      <c r="BG73" s="13"/>
      <c r="BH73" s="13"/>
      <c r="BI73" s="13"/>
      <c r="BJ73" s="13"/>
      <c r="BK73" s="13"/>
      <c r="BL73" s="13"/>
      <c r="BM73" s="13"/>
      <c r="BN73" s="13"/>
    </row>
    <row r="74" spans="1:66" x14ac:dyDescent="0.25">
      <c r="A74" s="22">
        <v>72</v>
      </c>
      <c r="B74" s="23">
        <v>818.40261832818396</v>
      </c>
      <c r="C74" s="24">
        <v>2006.3099295968777</v>
      </c>
      <c r="AK74" s="13">
        <v>1375</v>
      </c>
      <c r="AM74" s="13">
        <v>4</v>
      </c>
      <c r="BC74" s="13"/>
      <c r="BD74" s="13"/>
      <c r="BE74" s="13"/>
      <c r="BF74" s="13"/>
      <c r="BG74" s="13"/>
      <c r="BH74" s="13"/>
      <c r="BI74" s="13"/>
      <c r="BJ74" s="13"/>
      <c r="BK74" s="13"/>
      <c r="BL74" s="13"/>
      <c r="BM74" s="13"/>
      <c r="BN74" s="13"/>
    </row>
    <row r="75" spans="1:66" x14ac:dyDescent="0.25">
      <c r="A75" s="22">
        <v>73</v>
      </c>
      <c r="B75" s="23">
        <v>735.89516228764387</v>
      </c>
      <c r="C75" s="24">
        <v>1852.9469166134027</v>
      </c>
      <c r="AK75" s="13">
        <v>1375</v>
      </c>
      <c r="AM75" s="13">
        <v>8</v>
      </c>
      <c r="BC75" s="13"/>
      <c r="BD75" s="13"/>
      <c r="BE75" s="13"/>
      <c r="BF75" s="13"/>
      <c r="BG75" s="13"/>
      <c r="BH75" s="13"/>
      <c r="BI75" s="13"/>
      <c r="BJ75" s="13"/>
      <c r="BK75" s="13"/>
      <c r="BL75" s="13"/>
      <c r="BM75" s="13"/>
      <c r="BN75" s="13"/>
    </row>
    <row r="76" spans="1:66" x14ac:dyDescent="0.25">
      <c r="A76" s="22">
        <v>74</v>
      </c>
      <c r="B76" s="23">
        <v>748.39055977854628</v>
      </c>
      <c r="C76" s="24">
        <v>1653.2038328945177</v>
      </c>
      <c r="AK76" s="13">
        <v>1400</v>
      </c>
      <c r="AM76" s="13">
        <v>8</v>
      </c>
      <c r="BC76" s="13"/>
      <c r="BD76" s="13"/>
      <c r="BE76" s="13"/>
      <c r="BF76" s="13"/>
      <c r="BG76" s="13"/>
      <c r="BH76" s="13"/>
      <c r="BI76" s="13"/>
      <c r="BJ76" s="13"/>
      <c r="BK76" s="13"/>
      <c r="BL76" s="13"/>
      <c r="BM76" s="13"/>
      <c r="BN76" s="13"/>
    </row>
    <row r="77" spans="1:66" x14ac:dyDescent="0.25">
      <c r="A77" s="22">
        <v>75</v>
      </c>
      <c r="B77" s="23">
        <v>759.10647273137977</v>
      </c>
      <c r="C77" s="24">
        <v>1644.3085940984979</v>
      </c>
      <c r="AK77" s="13">
        <v>1400</v>
      </c>
      <c r="AM77" s="13">
        <v>4</v>
      </c>
      <c r="BC77" s="13"/>
      <c r="BD77" s="13"/>
      <c r="BE77" s="13"/>
      <c r="BF77" s="13"/>
      <c r="BG77" s="13"/>
      <c r="BH77" s="13"/>
      <c r="BI77" s="13"/>
      <c r="BJ77" s="13"/>
      <c r="BK77" s="13"/>
      <c r="BL77" s="13"/>
      <c r="BM77" s="13"/>
      <c r="BN77" s="13"/>
    </row>
    <row r="78" spans="1:66" x14ac:dyDescent="0.25">
      <c r="A78" s="22">
        <v>76</v>
      </c>
      <c r="B78" s="23">
        <v>807.02471378730729</v>
      </c>
      <c r="C78" s="24">
        <v>1941.4679398728663</v>
      </c>
      <c r="AK78" s="13">
        <v>1425</v>
      </c>
      <c r="AM78" s="13">
        <v>4</v>
      </c>
      <c r="BC78" s="13"/>
      <c r="BD78" s="13"/>
      <c r="BE78" s="13"/>
      <c r="BF78" s="13"/>
      <c r="BG78" s="13"/>
      <c r="BH78" s="13"/>
      <c r="BI78" s="13"/>
      <c r="BJ78" s="13"/>
      <c r="BK78" s="13"/>
      <c r="BL78" s="13"/>
      <c r="BM78" s="13"/>
      <c r="BN78" s="13"/>
    </row>
    <row r="79" spans="1:66" x14ac:dyDescent="0.25">
      <c r="A79" s="22">
        <v>77</v>
      </c>
      <c r="B79" s="23">
        <v>652.06726907075108</v>
      </c>
      <c r="C79" s="24">
        <v>1859.1069058296291</v>
      </c>
      <c r="AK79" s="13">
        <v>1425</v>
      </c>
      <c r="AM79" s="13">
        <v>11</v>
      </c>
      <c r="BC79" s="13"/>
      <c r="BD79" s="13"/>
      <c r="BE79" s="13"/>
      <c r="BF79" s="13"/>
      <c r="BG79" s="13"/>
      <c r="BH79" s="13"/>
      <c r="BI79" s="13"/>
      <c r="BJ79" s="13"/>
      <c r="BK79" s="13"/>
      <c r="BL79" s="13"/>
      <c r="BM79" s="13"/>
      <c r="BN79" s="13"/>
    </row>
    <row r="80" spans="1:66" x14ac:dyDescent="0.25">
      <c r="A80" s="22">
        <v>78</v>
      </c>
      <c r="B80" s="23">
        <v>677.73005888728198</v>
      </c>
      <c r="C80" s="24">
        <v>1951.9763055083326</v>
      </c>
      <c r="AK80" s="13">
        <v>1450</v>
      </c>
      <c r="AM80" s="13">
        <v>11</v>
      </c>
      <c r="BC80" s="13"/>
      <c r="BD80" s="13"/>
      <c r="BE80" s="13"/>
      <c r="BF80" s="13"/>
      <c r="BG80" s="13"/>
      <c r="BH80" s="13"/>
      <c r="BI80" s="13"/>
      <c r="BJ80" s="13"/>
      <c r="BK80" s="13"/>
      <c r="BL80" s="13"/>
      <c r="BM80" s="13"/>
      <c r="BN80" s="13"/>
    </row>
    <row r="81" spans="1:66" x14ac:dyDescent="0.25">
      <c r="A81" s="22">
        <v>79</v>
      </c>
      <c r="B81" s="23">
        <v>513.27741656359001</v>
      </c>
      <c r="C81" s="24">
        <v>1806.206535883256</v>
      </c>
      <c r="AK81" s="13">
        <v>1450</v>
      </c>
      <c r="AM81" s="13">
        <v>18</v>
      </c>
      <c r="BC81" s="13"/>
      <c r="BD81" s="13"/>
      <c r="BE81" s="13"/>
      <c r="BF81" s="13"/>
      <c r="BG81" s="13"/>
      <c r="BH81" s="13"/>
      <c r="BI81" s="13"/>
      <c r="BJ81" s="13"/>
      <c r="BK81" s="13"/>
      <c r="BL81" s="13"/>
      <c r="BM81" s="13"/>
      <c r="BN81" s="13"/>
    </row>
    <row r="82" spans="1:66" x14ac:dyDescent="0.25">
      <c r="A82" s="22">
        <v>80</v>
      </c>
      <c r="B82" s="23">
        <v>688.00966208525949</v>
      </c>
      <c r="C82" s="24">
        <v>1940.574442617858</v>
      </c>
      <c r="AK82" s="13">
        <v>1475</v>
      </c>
      <c r="AM82" s="13">
        <v>18</v>
      </c>
      <c r="BC82" s="13"/>
      <c r="BD82" s="13"/>
      <c r="BE82" s="13"/>
      <c r="BF82" s="13"/>
      <c r="BG82" s="13"/>
      <c r="BH82" s="13"/>
      <c r="BI82" s="13"/>
      <c r="BJ82" s="13"/>
      <c r="BK82" s="13"/>
      <c r="BL82" s="13"/>
      <c r="BM82" s="13"/>
      <c r="BN82" s="13"/>
    </row>
    <row r="83" spans="1:66" x14ac:dyDescent="0.25">
      <c r="A83" s="22">
        <v>81</v>
      </c>
      <c r="B83" s="23">
        <v>796.55667242465211</v>
      </c>
      <c r="C83" s="24">
        <v>2037.9701279695666</v>
      </c>
      <c r="AK83" s="13">
        <v>1475</v>
      </c>
      <c r="AM83" s="13">
        <v>27</v>
      </c>
      <c r="BC83" s="13"/>
      <c r="BD83" s="13"/>
      <c r="BE83" s="13"/>
      <c r="BF83" s="13"/>
      <c r="BG83" s="13"/>
      <c r="BH83" s="13"/>
      <c r="BI83" s="13"/>
      <c r="BJ83" s="13"/>
      <c r="BK83" s="13"/>
      <c r="BL83" s="13"/>
      <c r="BM83" s="13"/>
      <c r="BN83" s="13"/>
    </row>
    <row r="84" spans="1:66" x14ac:dyDescent="0.25">
      <c r="A84" s="22">
        <v>82</v>
      </c>
      <c r="B84" s="23">
        <v>604.9672599470008</v>
      </c>
      <c r="C84" s="24">
        <v>1810.1851555639248</v>
      </c>
      <c r="AK84" s="13">
        <v>1500</v>
      </c>
      <c r="AM84" s="13">
        <v>27</v>
      </c>
      <c r="BC84" s="13"/>
      <c r="BD84" s="13"/>
      <c r="BE84" s="13"/>
      <c r="BF84" s="13"/>
      <c r="BG84" s="13"/>
      <c r="BH84" s="13"/>
      <c r="BI84" s="13"/>
      <c r="BJ84" s="13"/>
      <c r="BK84" s="13"/>
      <c r="BL84" s="13"/>
      <c r="BM84" s="13"/>
      <c r="BN84" s="13"/>
    </row>
    <row r="85" spans="1:66" x14ac:dyDescent="0.25">
      <c r="A85" s="22">
        <v>83</v>
      </c>
      <c r="B85" s="23">
        <v>666.97278291265843</v>
      </c>
      <c r="C85" s="24">
        <v>1839.5591246973568</v>
      </c>
      <c r="AK85" s="13">
        <v>1500</v>
      </c>
      <c r="AM85" s="13">
        <v>35</v>
      </c>
      <c r="BC85" s="13"/>
      <c r="BD85" s="13"/>
      <c r="BE85" s="13"/>
      <c r="BF85" s="13"/>
      <c r="BG85" s="13"/>
      <c r="BH85" s="13"/>
      <c r="BI85" s="13"/>
      <c r="BJ85" s="13"/>
      <c r="BK85" s="13"/>
      <c r="BL85" s="13"/>
      <c r="BM85" s="13"/>
      <c r="BN85" s="13"/>
    </row>
    <row r="86" spans="1:66" x14ac:dyDescent="0.25">
      <c r="A86" s="22">
        <v>84</v>
      </c>
      <c r="B86" s="23">
        <v>731.6142423733977</v>
      </c>
      <c r="C86" s="24">
        <v>1644.1832031924737</v>
      </c>
      <c r="AK86" s="13">
        <v>1525</v>
      </c>
      <c r="AM86" s="13">
        <v>35</v>
      </c>
      <c r="BC86" s="13"/>
      <c r="BD86" s="13"/>
      <c r="BE86" s="13"/>
      <c r="BF86" s="13"/>
      <c r="BG86" s="13"/>
      <c r="BH86" s="13"/>
      <c r="BI86" s="13"/>
      <c r="BJ86" s="13"/>
      <c r="BK86" s="13"/>
      <c r="BL86" s="13"/>
      <c r="BM86" s="13"/>
      <c r="BN86" s="13"/>
    </row>
    <row r="87" spans="1:66" x14ac:dyDescent="0.25">
      <c r="A87" s="22">
        <v>85</v>
      </c>
      <c r="B87" s="23">
        <v>665.33422567740877</v>
      </c>
      <c r="C87" s="24">
        <v>1794.177651897412</v>
      </c>
      <c r="AK87" s="13">
        <v>1525</v>
      </c>
      <c r="AM87" s="13">
        <v>65</v>
      </c>
      <c r="BC87" s="13"/>
      <c r="BD87" s="13"/>
      <c r="BE87" s="13"/>
      <c r="BF87" s="13"/>
      <c r="BG87" s="13"/>
      <c r="BH87" s="13"/>
      <c r="BI87" s="13"/>
      <c r="BJ87" s="13"/>
      <c r="BK87" s="13"/>
      <c r="BL87" s="13"/>
      <c r="BM87" s="13"/>
      <c r="BN87" s="13"/>
    </row>
    <row r="88" spans="1:66" x14ac:dyDescent="0.25">
      <c r="A88" s="22">
        <v>86</v>
      </c>
      <c r="B88" s="23">
        <v>937.1565377981251</v>
      </c>
      <c r="C88" s="24">
        <v>2254.6368602188199</v>
      </c>
      <c r="AK88" s="13">
        <v>1550</v>
      </c>
      <c r="AM88" s="13">
        <v>65</v>
      </c>
      <c r="BC88" s="13"/>
      <c r="BD88" s="13"/>
      <c r="BE88" s="13"/>
      <c r="BF88" s="13"/>
      <c r="BG88" s="13"/>
      <c r="BH88" s="13"/>
      <c r="BI88" s="13"/>
      <c r="BJ88" s="13"/>
      <c r="BK88" s="13"/>
      <c r="BL88" s="13"/>
      <c r="BM88" s="13"/>
      <c r="BN88" s="13"/>
    </row>
    <row r="89" spans="1:66" x14ac:dyDescent="0.25">
      <c r="A89" s="22">
        <v>87</v>
      </c>
      <c r="B89" s="23">
        <v>573.4405050869035</v>
      </c>
      <c r="C89" s="24">
        <v>1977.8876556676337</v>
      </c>
      <c r="AK89" s="13">
        <v>1550</v>
      </c>
      <c r="AM89" s="13">
        <v>73</v>
      </c>
      <c r="BC89" s="13"/>
      <c r="BD89" s="13"/>
      <c r="BE89" s="13"/>
      <c r="BF89" s="13"/>
      <c r="BG89" s="13"/>
      <c r="BH89" s="13"/>
      <c r="BI89" s="13"/>
      <c r="BJ89" s="13"/>
      <c r="BK89" s="13"/>
      <c r="BL89" s="13"/>
      <c r="BM89" s="13"/>
      <c r="BN89" s="13"/>
    </row>
    <row r="90" spans="1:66" x14ac:dyDescent="0.25">
      <c r="A90" s="22">
        <v>88</v>
      </c>
      <c r="B90" s="23">
        <v>847.65095826139884</v>
      </c>
      <c r="C90" s="24">
        <v>1990.0254955790217</v>
      </c>
      <c r="AK90" s="13">
        <v>1575</v>
      </c>
      <c r="AM90" s="13">
        <v>73</v>
      </c>
      <c r="BC90" s="13"/>
      <c r="BD90" s="13"/>
      <c r="BE90" s="13"/>
      <c r="BF90" s="13"/>
      <c r="BG90" s="13"/>
      <c r="BH90" s="13"/>
      <c r="BI90" s="13"/>
      <c r="BJ90" s="13"/>
      <c r="BK90" s="13"/>
      <c r="BL90" s="13"/>
      <c r="BM90" s="13"/>
      <c r="BN90" s="13"/>
    </row>
    <row r="91" spans="1:66" x14ac:dyDescent="0.25">
      <c r="A91" s="22">
        <v>89</v>
      </c>
      <c r="B91" s="23">
        <v>687.61618182323332</v>
      </c>
      <c r="C91" s="24">
        <v>1684.7470063902922</v>
      </c>
      <c r="AK91" s="13">
        <v>1575</v>
      </c>
      <c r="AM91" s="13">
        <v>89</v>
      </c>
      <c r="BC91" s="13"/>
      <c r="BD91" s="13"/>
      <c r="BE91" s="13"/>
      <c r="BF91" s="13"/>
      <c r="BG91" s="13"/>
      <c r="BH91" s="13"/>
      <c r="BI91" s="13"/>
      <c r="BJ91" s="13"/>
      <c r="BK91" s="13"/>
      <c r="BL91" s="13"/>
      <c r="BM91" s="13"/>
      <c r="BN91" s="13"/>
    </row>
    <row r="92" spans="1:66" x14ac:dyDescent="0.25">
      <c r="A92" s="22">
        <v>90</v>
      </c>
      <c r="B92" s="23">
        <v>990.86178672034544</v>
      </c>
      <c r="C92" s="24">
        <v>2047.7660447535914</v>
      </c>
      <c r="AK92" s="13">
        <v>1600</v>
      </c>
      <c r="AM92" s="13">
        <v>89</v>
      </c>
      <c r="BC92" s="13"/>
      <c r="BD92" s="13"/>
      <c r="BE92" s="13"/>
      <c r="BF92" s="13"/>
      <c r="BG92" s="13"/>
      <c r="BH92" s="13"/>
      <c r="BI92" s="13"/>
      <c r="BJ92" s="13"/>
      <c r="BK92" s="13"/>
      <c r="BL92" s="13"/>
      <c r="BM92" s="13"/>
      <c r="BN92" s="13"/>
    </row>
    <row r="93" spans="1:66" x14ac:dyDescent="0.25">
      <c r="A93" s="22">
        <v>91</v>
      </c>
      <c r="B93" s="23">
        <v>676.73827926799447</v>
      </c>
      <c r="C93" s="24">
        <v>1735.1522829976318</v>
      </c>
      <c r="AK93" s="13">
        <v>1600</v>
      </c>
      <c r="AM93" s="13">
        <v>116</v>
      </c>
      <c r="BC93" s="13"/>
      <c r="BD93" s="13"/>
      <c r="BE93" s="13"/>
      <c r="BF93" s="13"/>
      <c r="BG93" s="13"/>
      <c r="BH93" s="13"/>
      <c r="BI93" s="13"/>
      <c r="BJ93" s="13"/>
      <c r="BK93" s="13"/>
      <c r="BL93" s="13"/>
      <c r="BM93" s="13"/>
      <c r="BN93" s="13"/>
    </row>
    <row r="94" spans="1:66" x14ac:dyDescent="0.25">
      <c r="A94" s="22">
        <v>92</v>
      </c>
      <c r="B94" s="23">
        <v>814.32239912756916</v>
      </c>
      <c r="C94" s="24">
        <v>1972.5882014453457</v>
      </c>
      <c r="AK94" s="13">
        <v>1625</v>
      </c>
      <c r="AM94" s="13">
        <v>116</v>
      </c>
      <c r="BC94" s="13"/>
      <c r="BD94" s="13"/>
      <c r="BE94" s="13"/>
      <c r="BF94" s="13"/>
      <c r="BG94" s="13"/>
      <c r="BH94" s="13"/>
      <c r="BI94" s="13"/>
      <c r="BJ94" s="13"/>
      <c r="BK94" s="13"/>
      <c r="BL94" s="13"/>
      <c r="BM94" s="13"/>
      <c r="BN94" s="13"/>
    </row>
    <row r="95" spans="1:66" x14ac:dyDescent="0.25">
      <c r="A95" s="22">
        <v>93</v>
      </c>
      <c r="B95" s="23">
        <v>695.62371762761688</v>
      </c>
      <c r="C95" s="24">
        <v>1983.3482812812601</v>
      </c>
      <c r="AK95" s="13">
        <v>1625</v>
      </c>
      <c r="AM95" s="13">
        <v>144</v>
      </c>
      <c r="BC95" s="13"/>
      <c r="BD95" s="13"/>
      <c r="BE95" s="13"/>
      <c r="BF95" s="13"/>
      <c r="BG95" s="13"/>
      <c r="BH95" s="13"/>
      <c r="BI95" s="13"/>
      <c r="BJ95" s="13"/>
      <c r="BK95" s="13"/>
      <c r="BL95" s="13"/>
      <c r="BM95" s="13"/>
      <c r="BN95" s="13"/>
    </row>
    <row r="96" spans="1:66" x14ac:dyDescent="0.25">
      <c r="A96" s="22">
        <v>94</v>
      </c>
      <c r="B96" s="23">
        <v>726.39100153256845</v>
      </c>
      <c r="C96" s="24">
        <v>1720.733969501782</v>
      </c>
      <c r="AK96" s="13">
        <v>1650</v>
      </c>
      <c r="AM96" s="13">
        <v>144</v>
      </c>
      <c r="BC96" s="13"/>
      <c r="BD96" s="13"/>
      <c r="BE96" s="13"/>
      <c r="BF96" s="13"/>
      <c r="BG96" s="13"/>
      <c r="BH96" s="13"/>
      <c r="BI96" s="13"/>
      <c r="BJ96" s="13"/>
      <c r="BK96" s="13"/>
      <c r="BL96" s="13"/>
      <c r="BM96" s="13"/>
      <c r="BN96" s="13"/>
    </row>
    <row r="97" spans="1:66" x14ac:dyDescent="0.25">
      <c r="A97" s="22">
        <v>95</v>
      </c>
      <c r="B97" s="23">
        <v>710.65232264496854</v>
      </c>
      <c r="C97" s="24">
        <v>2062.7487958518873</v>
      </c>
      <c r="AK97" s="13">
        <v>1650</v>
      </c>
      <c r="AM97" s="13">
        <v>173</v>
      </c>
      <c r="BC97" s="13"/>
      <c r="BD97" s="13"/>
      <c r="BE97" s="13"/>
      <c r="BF97" s="13"/>
      <c r="BG97" s="13"/>
      <c r="BH97" s="13"/>
      <c r="BI97" s="13"/>
      <c r="BJ97" s="13"/>
      <c r="BK97" s="13"/>
      <c r="BL97" s="13"/>
      <c r="BM97" s="13"/>
      <c r="BN97" s="13"/>
    </row>
    <row r="98" spans="1:66" x14ac:dyDescent="0.25">
      <c r="A98" s="22">
        <v>96</v>
      </c>
      <c r="B98" s="23">
        <v>593.19819073225995</v>
      </c>
      <c r="C98" s="24">
        <v>1825.4905609469183</v>
      </c>
      <c r="AK98" s="13">
        <v>1675</v>
      </c>
      <c r="AM98" s="13">
        <v>173</v>
      </c>
      <c r="BC98" s="13"/>
      <c r="BD98" s="13"/>
      <c r="BE98" s="13"/>
      <c r="BF98" s="13"/>
      <c r="BG98" s="13"/>
      <c r="BH98" s="13"/>
      <c r="BI98" s="13"/>
      <c r="BJ98" s="13"/>
      <c r="BK98" s="13"/>
      <c r="BL98" s="13"/>
      <c r="BM98" s="13"/>
      <c r="BN98" s="13"/>
    </row>
    <row r="99" spans="1:66" x14ac:dyDescent="0.25">
      <c r="A99" s="22">
        <v>97</v>
      </c>
      <c r="B99" s="23">
        <v>685.22387211439786</v>
      </c>
      <c r="C99" s="24">
        <v>1832.4035081411735</v>
      </c>
      <c r="AK99" s="13">
        <v>1675</v>
      </c>
      <c r="AM99" s="13">
        <v>192</v>
      </c>
      <c r="BC99" s="13"/>
      <c r="BD99" s="13"/>
      <c r="BE99" s="13"/>
      <c r="BF99" s="13"/>
      <c r="BG99" s="13"/>
      <c r="BH99" s="13"/>
      <c r="BI99" s="13"/>
      <c r="BJ99" s="13"/>
      <c r="BK99" s="13"/>
      <c r="BL99" s="13"/>
      <c r="BM99" s="13"/>
      <c r="BN99" s="13"/>
    </row>
    <row r="100" spans="1:66" x14ac:dyDescent="0.25">
      <c r="A100" s="22">
        <v>98</v>
      </c>
      <c r="B100" s="23">
        <v>683.58852295097165</v>
      </c>
      <c r="C100" s="24">
        <v>1737.6280075611351</v>
      </c>
      <c r="AK100" s="13">
        <v>1700</v>
      </c>
      <c r="AM100" s="13">
        <v>192</v>
      </c>
      <c r="BC100" s="13"/>
      <c r="BD100" s="13"/>
      <c r="BE100" s="13"/>
      <c r="BF100" s="13"/>
      <c r="BG100" s="13"/>
      <c r="BH100" s="13"/>
      <c r="BI100" s="13"/>
      <c r="BJ100" s="13"/>
      <c r="BK100" s="13"/>
      <c r="BL100" s="13"/>
      <c r="BM100" s="13"/>
      <c r="BN100" s="13"/>
    </row>
    <row r="101" spans="1:66" x14ac:dyDescent="0.25">
      <c r="A101" s="22">
        <v>99</v>
      </c>
      <c r="B101" s="23">
        <v>722.95820977936307</v>
      </c>
      <c r="C101" s="24">
        <v>2064.7105954480012</v>
      </c>
      <c r="AK101" s="13">
        <v>1700</v>
      </c>
      <c r="AM101" s="13">
        <v>234</v>
      </c>
      <c r="BC101" s="13"/>
      <c r="BD101" s="13"/>
      <c r="BE101" s="13"/>
      <c r="BF101" s="13"/>
      <c r="BG101" s="13"/>
      <c r="BH101" s="13"/>
      <c r="BI101" s="13"/>
      <c r="BJ101" s="13"/>
      <c r="BK101" s="13"/>
      <c r="BL101" s="13"/>
      <c r="BM101" s="13"/>
      <c r="BN101" s="13"/>
    </row>
    <row r="102" spans="1:66" x14ac:dyDescent="0.25">
      <c r="A102" s="22">
        <v>100</v>
      </c>
      <c r="B102" s="23">
        <v>836.026768155524</v>
      </c>
      <c r="C102" s="24">
        <v>2331.1425714808934</v>
      </c>
      <c r="AK102" s="13">
        <v>1725</v>
      </c>
      <c r="AM102" s="13">
        <v>234</v>
      </c>
      <c r="BC102" s="13"/>
      <c r="BD102" s="13"/>
      <c r="BE102" s="13"/>
      <c r="BF102" s="13"/>
      <c r="BG102" s="13"/>
      <c r="BH102" s="13"/>
      <c r="BI102" s="13"/>
      <c r="BJ102" s="13"/>
      <c r="BK102" s="13"/>
      <c r="BL102" s="13"/>
      <c r="BM102" s="13"/>
      <c r="BN102" s="13"/>
    </row>
    <row r="103" spans="1:66" x14ac:dyDescent="0.25">
      <c r="A103" s="55" t="s">
        <v>29</v>
      </c>
      <c r="AK103" s="13">
        <v>1725</v>
      </c>
      <c r="AM103" s="13">
        <v>275</v>
      </c>
    </row>
    <row r="104" spans="1:66" x14ac:dyDescent="0.25">
      <c r="AK104" s="13">
        <v>1750</v>
      </c>
      <c r="AM104" s="13">
        <v>275</v>
      </c>
    </row>
    <row r="105" spans="1:66" x14ac:dyDescent="0.25">
      <c r="AK105" s="13">
        <v>1750</v>
      </c>
      <c r="AM105" s="13">
        <v>313</v>
      </c>
    </row>
    <row r="106" spans="1:66" x14ac:dyDescent="0.25">
      <c r="AK106" s="13">
        <v>1775</v>
      </c>
      <c r="AM106" s="13">
        <v>313</v>
      </c>
    </row>
    <row r="107" spans="1:66" x14ac:dyDescent="0.25">
      <c r="AK107" s="13">
        <v>1775</v>
      </c>
      <c r="AM107" s="13">
        <v>375</v>
      </c>
    </row>
    <row r="108" spans="1:66" x14ac:dyDescent="0.25">
      <c r="AK108" s="13">
        <v>1800</v>
      </c>
      <c r="AM108" s="13">
        <v>375</v>
      </c>
    </row>
    <row r="109" spans="1:66" x14ac:dyDescent="0.25">
      <c r="AK109" s="13">
        <v>1800</v>
      </c>
      <c r="AM109" s="13">
        <v>329</v>
      </c>
    </row>
    <row r="110" spans="1:66" x14ac:dyDescent="0.25">
      <c r="AK110" s="13">
        <v>1825</v>
      </c>
      <c r="AM110" s="13">
        <v>329</v>
      </c>
    </row>
    <row r="111" spans="1:66" x14ac:dyDescent="0.25">
      <c r="AK111" s="13">
        <v>1825</v>
      </c>
      <c r="AM111" s="13">
        <v>404</v>
      </c>
    </row>
    <row r="112" spans="1:66" x14ac:dyDescent="0.25">
      <c r="AK112" s="13">
        <v>1850</v>
      </c>
      <c r="AM112" s="13">
        <v>404</v>
      </c>
    </row>
    <row r="113" spans="37:39" x14ac:dyDescent="0.25">
      <c r="AK113" s="13">
        <v>1850</v>
      </c>
      <c r="AM113" s="13">
        <v>383</v>
      </c>
    </row>
    <row r="114" spans="37:39" x14ac:dyDescent="0.25">
      <c r="AK114" s="13">
        <v>1875</v>
      </c>
      <c r="AM114" s="13">
        <v>383</v>
      </c>
    </row>
    <row r="115" spans="37:39" x14ac:dyDescent="0.25">
      <c r="AK115" s="13">
        <v>1875</v>
      </c>
      <c r="AM115" s="13">
        <v>391</v>
      </c>
    </row>
    <row r="116" spans="37:39" x14ac:dyDescent="0.25">
      <c r="AK116" s="13">
        <v>1900</v>
      </c>
      <c r="AM116" s="13">
        <v>391</v>
      </c>
    </row>
    <row r="117" spans="37:39" x14ac:dyDescent="0.25">
      <c r="AK117" s="13">
        <v>1900</v>
      </c>
      <c r="AM117" s="13">
        <v>450</v>
      </c>
    </row>
    <row r="118" spans="37:39" x14ac:dyDescent="0.25">
      <c r="AK118" s="13">
        <v>1925</v>
      </c>
      <c r="AM118" s="13">
        <v>450</v>
      </c>
    </row>
    <row r="119" spans="37:39" x14ac:dyDescent="0.25">
      <c r="AK119" s="13">
        <v>1925</v>
      </c>
      <c r="AM119" s="13">
        <v>433</v>
      </c>
    </row>
    <row r="120" spans="37:39" x14ac:dyDescent="0.25">
      <c r="AK120" s="13">
        <v>1950</v>
      </c>
      <c r="AM120" s="13">
        <v>433</v>
      </c>
    </row>
    <row r="121" spans="37:39" x14ac:dyDescent="0.25">
      <c r="AK121" s="13">
        <v>1950</v>
      </c>
      <c r="AM121" s="13">
        <v>432</v>
      </c>
    </row>
    <row r="122" spans="37:39" x14ac:dyDescent="0.25">
      <c r="AK122" s="13">
        <v>1975</v>
      </c>
      <c r="AM122" s="13">
        <v>432</v>
      </c>
    </row>
    <row r="123" spans="37:39" x14ac:dyDescent="0.25">
      <c r="AK123" s="13">
        <v>1975</v>
      </c>
      <c r="AM123" s="13">
        <v>492</v>
      </c>
    </row>
    <row r="124" spans="37:39" x14ac:dyDescent="0.25">
      <c r="AK124" s="13">
        <v>2000</v>
      </c>
      <c r="AM124" s="13">
        <v>492</v>
      </c>
    </row>
    <row r="125" spans="37:39" x14ac:dyDescent="0.25">
      <c r="AK125" s="13">
        <v>2000</v>
      </c>
      <c r="AM125" s="13">
        <v>440</v>
      </c>
    </row>
    <row r="126" spans="37:39" x14ac:dyDescent="0.25">
      <c r="AK126" s="13">
        <v>2025</v>
      </c>
      <c r="AM126" s="13">
        <v>440</v>
      </c>
    </row>
    <row r="127" spans="37:39" x14ac:dyDescent="0.25">
      <c r="AK127" s="13">
        <v>2025</v>
      </c>
      <c r="AM127" s="13">
        <v>436</v>
      </c>
    </row>
    <row r="128" spans="37:39" x14ac:dyDescent="0.25">
      <c r="AK128" s="13">
        <v>2050</v>
      </c>
      <c r="AM128" s="13">
        <v>436</v>
      </c>
    </row>
    <row r="129" spans="37:39" x14ac:dyDescent="0.25">
      <c r="AK129" s="13">
        <v>2050</v>
      </c>
      <c r="AM129" s="13">
        <v>404</v>
      </c>
    </row>
    <row r="130" spans="37:39" x14ac:dyDescent="0.25">
      <c r="AK130" s="13">
        <v>2075</v>
      </c>
      <c r="AM130" s="13">
        <v>404</v>
      </c>
    </row>
    <row r="131" spans="37:39" x14ac:dyDescent="0.25">
      <c r="AK131" s="13">
        <v>2075</v>
      </c>
      <c r="AM131" s="13">
        <v>362</v>
      </c>
    </row>
    <row r="132" spans="37:39" x14ac:dyDescent="0.25">
      <c r="AK132" s="13">
        <v>2100</v>
      </c>
      <c r="AM132" s="13">
        <v>362</v>
      </c>
    </row>
    <row r="133" spans="37:39" x14ac:dyDescent="0.25">
      <c r="AK133" s="13">
        <v>2100</v>
      </c>
      <c r="AM133" s="13">
        <v>366</v>
      </c>
    </row>
    <row r="134" spans="37:39" x14ac:dyDescent="0.25">
      <c r="AK134" s="13">
        <v>2125</v>
      </c>
      <c r="AM134" s="13">
        <v>366</v>
      </c>
    </row>
    <row r="135" spans="37:39" x14ac:dyDescent="0.25">
      <c r="AK135" s="13">
        <v>2125</v>
      </c>
      <c r="AM135" s="13">
        <v>307</v>
      </c>
    </row>
    <row r="136" spans="37:39" x14ac:dyDescent="0.25">
      <c r="AK136" s="13">
        <v>2150</v>
      </c>
      <c r="AM136" s="13">
        <v>307</v>
      </c>
    </row>
    <row r="137" spans="37:39" x14ac:dyDescent="0.25">
      <c r="AK137" s="13">
        <v>2150</v>
      </c>
      <c r="AM137" s="13">
        <v>288</v>
      </c>
    </row>
    <row r="138" spans="37:39" x14ac:dyDescent="0.25">
      <c r="AK138" s="13">
        <v>2175</v>
      </c>
      <c r="AM138" s="13">
        <v>288</v>
      </c>
    </row>
    <row r="139" spans="37:39" x14ac:dyDescent="0.25">
      <c r="AK139" s="13">
        <v>2175</v>
      </c>
      <c r="AM139" s="13">
        <v>265</v>
      </c>
    </row>
    <row r="140" spans="37:39" x14ac:dyDescent="0.25">
      <c r="AK140" s="13">
        <v>2200</v>
      </c>
      <c r="AM140" s="13">
        <v>265</v>
      </c>
    </row>
    <row r="141" spans="37:39" x14ac:dyDescent="0.25">
      <c r="AK141" s="13">
        <v>2200</v>
      </c>
      <c r="AM141" s="13">
        <v>237</v>
      </c>
    </row>
    <row r="142" spans="37:39" x14ac:dyDescent="0.25">
      <c r="AK142" s="13">
        <v>2225</v>
      </c>
      <c r="AM142" s="13">
        <v>237</v>
      </c>
    </row>
    <row r="143" spans="37:39" x14ac:dyDescent="0.25">
      <c r="AK143" s="13">
        <v>2225</v>
      </c>
      <c r="AM143" s="13">
        <v>210</v>
      </c>
    </row>
    <row r="144" spans="37:39" x14ac:dyDescent="0.25">
      <c r="AK144" s="13">
        <v>2250</v>
      </c>
      <c r="AM144" s="13">
        <v>210</v>
      </c>
    </row>
    <row r="145" spans="37:39" x14ac:dyDescent="0.25">
      <c r="AK145" s="13">
        <v>2250</v>
      </c>
      <c r="AM145" s="13">
        <v>177</v>
      </c>
    </row>
    <row r="146" spans="37:39" x14ac:dyDescent="0.25">
      <c r="AK146" s="13">
        <v>2275</v>
      </c>
      <c r="AM146" s="13">
        <v>177</v>
      </c>
    </row>
    <row r="147" spans="37:39" x14ac:dyDescent="0.25">
      <c r="AK147" s="13">
        <v>2275</v>
      </c>
      <c r="AM147" s="13">
        <v>153</v>
      </c>
    </row>
    <row r="148" spans="37:39" x14ac:dyDescent="0.25">
      <c r="AK148" s="13">
        <v>2300</v>
      </c>
      <c r="AM148" s="13">
        <v>153</v>
      </c>
    </row>
    <row r="149" spans="37:39" x14ac:dyDescent="0.25">
      <c r="AK149" s="13">
        <v>2300</v>
      </c>
      <c r="AM149" s="13">
        <v>142</v>
      </c>
    </row>
    <row r="150" spans="37:39" x14ac:dyDescent="0.25">
      <c r="AK150" s="13">
        <v>2325</v>
      </c>
      <c r="AM150" s="13">
        <v>142</v>
      </c>
    </row>
    <row r="151" spans="37:39" x14ac:dyDescent="0.25">
      <c r="AK151" s="13">
        <v>2325</v>
      </c>
      <c r="AM151" s="13">
        <v>131</v>
      </c>
    </row>
    <row r="152" spans="37:39" x14ac:dyDescent="0.25">
      <c r="AK152" s="13">
        <v>2350</v>
      </c>
      <c r="AM152" s="13">
        <v>131</v>
      </c>
    </row>
    <row r="153" spans="37:39" x14ac:dyDescent="0.25">
      <c r="AK153" s="13">
        <v>2350</v>
      </c>
      <c r="AM153" s="13">
        <v>108</v>
      </c>
    </row>
    <row r="154" spans="37:39" x14ac:dyDescent="0.25">
      <c r="AK154" s="13">
        <v>2375</v>
      </c>
      <c r="AM154" s="13">
        <v>108</v>
      </c>
    </row>
    <row r="155" spans="37:39" x14ac:dyDescent="0.25">
      <c r="AK155" s="13">
        <v>2375</v>
      </c>
      <c r="AM155" s="13">
        <v>89</v>
      </c>
    </row>
    <row r="156" spans="37:39" x14ac:dyDescent="0.25">
      <c r="AK156" s="13">
        <v>2400</v>
      </c>
      <c r="AM156" s="13">
        <v>89</v>
      </c>
    </row>
    <row r="157" spans="37:39" x14ac:dyDescent="0.25">
      <c r="AK157" s="13">
        <v>2400</v>
      </c>
      <c r="AM157" s="13">
        <v>69</v>
      </c>
    </row>
    <row r="158" spans="37:39" x14ac:dyDescent="0.25">
      <c r="AK158" s="13">
        <v>2425</v>
      </c>
      <c r="AM158" s="13">
        <v>69</v>
      </c>
    </row>
    <row r="159" spans="37:39" x14ac:dyDescent="0.25">
      <c r="AK159" s="13">
        <v>2425</v>
      </c>
      <c r="AM159" s="13">
        <v>61</v>
      </c>
    </row>
    <row r="160" spans="37:39" x14ac:dyDescent="0.25">
      <c r="AK160" s="13">
        <v>2450</v>
      </c>
      <c r="AM160" s="13">
        <v>61</v>
      </c>
    </row>
    <row r="161" spans="37:39" x14ac:dyDescent="0.25">
      <c r="AK161" s="13">
        <v>2450</v>
      </c>
      <c r="AM161" s="13">
        <v>61</v>
      </c>
    </row>
    <row r="162" spans="37:39" x14ac:dyDescent="0.25">
      <c r="AK162" s="13">
        <v>2475</v>
      </c>
      <c r="AM162" s="13">
        <v>61</v>
      </c>
    </row>
    <row r="163" spans="37:39" x14ac:dyDescent="0.25">
      <c r="AK163" s="13">
        <v>2475</v>
      </c>
      <c r="AM163" s="13">
        <v>38</v>
      </c>
    </row>
    <row r="164" spans="37:39" x14ac:dyDescent="0.25">
      <c r="AK164" s="13">
        <v>2500</v>
      </c>
      <c r="AM164" s="13">
        <v>38</v>
      </c>
    </row>
    <row r="165" spans="37:39" x14ac:dyDescent="0.25">
      <c r="AK165" s="13">
        <v>2500</v>
      </c>
      <c r="AM165" s="13">
        <v>27</v>
      </c>
    </row>
    <row r="166" spans="37:39" x14ac:dyDescent="0.25">
      <c r="AK166" s="13">
        <v>2525</v>
      </c>
      <c r="AM166" s="13">
        <v>27</v>
      </c>
    </row>
    <row r="167" spans="37:39" x14ac:dyDescent="0.25">
      <c r="AK167" s="13">
        <v>2525</v>
      </c>
      <c r="AM167" s="13">
        <v>39</v>
      </c>
    </row>
    <row r="168" spans="37:39" x14ac:dyDescent="0.25">
      <c r="AK168" s="13">
        <v>2550</v>
      </c>
      <c r="AM168" s="13">
        <v>39</v>
      </c>
    </row>
    <row r="169" spans="37:39" x14ac:dyDescent="0.25">
      <c r="AK169" s="13">
        <v>2550</v>
      </c>
      <c r="AM169" s="13">
        <v>24</v>
      </c>
    </row>
    <row r="170" spans="37:39" x14ac:dyDescent="0.25">
      <c r="AK170" s="13">
        <v>2575</v>
      </c>
      <c r="AM170" s="13">
        <v>24</v>
      </c>
    </row>
    <row r="171" spans="37:39" x14ac:dyDescent="0.25">
      <c r="AK171" s="13">
        <v>2575</v>
      </c>
      <c r="AM171" s="13">
        <v>24</v>
      </c>
    </row>
    <row r="172" spans="37:39" x14ac:dyDescent="0.25">
      <c r="AK172" s="13">
        <v>2600</v>
      </c>
      <c r="AM172" s="13">
        <v>24</v>
      </c>
    </row>
    <row r="173" spans="37:39" x14ac:dyDescent="0.25">
      <c r="AK173" s="13">
        <v>2600</v>
      </c>
      <c r="AM173" s="13">
        <v>16</v>
      </c>
    </row>
    <row r="174" spans="37:39" x14ac:dyDescent="0.25">
      <c r="AK174" s="13">
        <v>2625</v>
      </c>
      <c r="AM174" s="13">
        <v>16</v>
      </c>
    </row>
    <row r="175" spans="37:39" x14ac:dyDescent="0.25">
      <c r="AK175" s="13">
        <v>2625</v>
      </c>
      <c r="AM175" s="13">
        <v>8</v>
      </c>
    </row>
    <row r="176" spans="37:39" x14ac:dyDescent="0.25">
      <c r="AK176" s="13">
        <v>2650</v>
      </c>
      <c r="AM176" s="13">
        <v>8</v>
      </c>
    </row>
    <row r="177" spans="37:39" x14ac:dyDescent="0.25">
      <c r="AK177" s="13">
        <v>2650</v>
      </c>
      <c r="AM177" s="13">
        <v>11</v>
      </c>
    </row>
    <row r="178" spans="37:39" x14ac:dyDescent="0.25">
      <c r="AK178" s="13">
        <v>2675</v>
      </c>
      <c r="AM178" s="13">
        <v>11</v>
      </c>
    </row>
    <row r="179" spans="37:39" x14ac:dyDescent="0.25">
      <c r="AK179" s="13">
        <v>2675</v>
      </c>
      <c r="AM179" s="13">
        <v>9</v>
      </c>
    </row>
    <row r="180" spans="37:39" x14ac:dyDescent="0.25">
      <c r="AK180" s="13">
        <v>2700</v>
      </c>
      <c r="AM180" s="13">
        <v>9</v>
      </c>
    </row>
    <row r="181" spans="37:39" x14ac:dyDescent="0.25">
      <c r="AK181" s="13">
        <v>2700</v>
      </c>
      <c r="AM181" s="13">
        <v>5</v>
      </c>
    </row>
    <row r="182" spans="37:39" x14ac:dyDescent="0.25">
      <c r="AK182" s="13">
        <v>2725</v>
      </c>
      <c r="AM182" s="13">
        <v>5</v>
      </c>
    </row>
    <row r="183" spans="37:39" x14ac:dyDescent="0.25">
      <c r="AK183" s="13">
        <v>2725</v>
      </c>
      <c r="AM183" s="13">
        <v>2</v>
      </c>
    </row>
    <row r="184" spans="37:39" x14ac:dyDescent="0.25">
      <c r="AK184" s="13">
        <v>2750</v>
      </c>
      <c r="AM184" s="13">
        <v>2</v>
      </c>
    </row>
    <row r="185" spans="37:39" x14ac:dyDescent="0.25">
      <c r="AK185" s="13">
        <v>2750</v>
      </c>
      <c r="AM185" s="13">
        <v>5</v>
      </c>
    </row>
    <row r="186" spans="37:39" x14ac:dyDescent="0.25">
      <c r="AK186" s="13">
        <v>2775</v>
      </c>
      <c r="AM186" s="13">
        <v>5</v>
      </c>
    </row>
    <row r="187" spans="37:39" x14ac:dyDescent="0.25">
      <c r="AK187" s="13">
        <v>2775</v>
      </c>
      <c r="AM187" s="13">
        <v>3</v>
      </c>
    </row>
    <row r="188" spans="37:39" x14ac:dyDescent="0.25">
      <c r="AK188" s="13">
        <v>2800</v>
      </c>
      <c r="AM188" s="13">
        <v>3</v>
      </c>
    </row>
    <row r="189" spans="37:39" x14ac:dyDescent="0.25">
      <c r="AK189" s="13">
        <v>2800</v>
      </c>
      <c r="AM189" s="13">
        <v>1</v>
      </c>
    </row>
    <row r="190" spans="37:39" x14ac:dyDescent="0.25">
      <c r="AK190" s="13">
        <v>2825</v>
      </c>
      <c r="AM190" s="13">
        <v>1</v>
      </c>
    </row>
    <row r="191" spans="37:39" x14ac:dyDescent="0.25">
      <c r="AK191" s="13">
        <v>2825</v>
      </c>
      <c r="AM191" s="13">
        <v>2</v>
      </c>
    </row>
    <row r="192" spans="37:39" x14ac:dyDescent="0.25">
      <c r="AK192" s="13">
        <v>2850</v>
      </c>
      <c r="AM192" s="13">
        <v>2</v>
      </c>
    </row>
    <row r="193" spans="37:39" x14ac:dyDescent="0.25">
      <c r="AK193" s="13">
        <v>2850</v>
      </c>
      <c r="AM193" s="13">
        <v>3</v>
      </c>
    </row>
    <row r="194" spans="37:39" x14ac:dyDescent="0.25">
      <c r="AK194" s="13">
        <v>2875</v>
      </c>
      <c r="AM194" s="13">
        <v>3</v>
      </c>
    </row>
    <row r="195" spans="37:39" x14ac:dyDescent="0.25">
      <c r="AK195" s="13">
        <v>2875</v>
      </c>
      <c r="AM195" s="13">
        <v>0</v>
      </c>
    </row>
    <row r="196" spans="37:39" x14ac:dyDescent="0.25">
      <c r="AK196" s="13">
        <v>2900</v>
      </c>
      <c r="AM196" s="13">
        <v>0</v>
      </c>
    </row>
    <row r="197" spans="37:39" x14ac:dyDescent="0.25">
      <c r="AK197" s="13">
        <v>2900</v>
      </c>
      <c r="AM197" s="13">
        <v>0</v>
      </c>
    </row>
    <row r="198" spans="37:39" x14ac:dyDescent="0.25">
      <c r="AK198" s="13">
        <v>2925</v>
      </c>
      <c r="AM198" s="13">
        <v>0</v>
      </c>
    </row>
    <row r="199" spans="37:39" x14ac:dyDescent="0.25">
      <c r="AK199" s="13">
        <v>2925</v>
      </c>
      <c r="AM199" s="13">
        <v>0</v>
      </c>
    </row>
    <row r="200" spans="37:39" x14ac:dyDescent="0.25">
      <c r="AK200" s="13">
        <v>2950</v>
      </c>
      <c r="AM200" s="13">
        <v>0</v>
      </c>
    </row>
    <row r="201" spans="37:39" x14ac:dyDescent="0.25">
      <c r="AK201" s="13">
        <v>2950</v>
      </c>
      <c r="AM201" s="13">
        <v>2</v>
      </c>
    </row>
    <row r="202" spans="37:39" x14ac:dyDescent="0.25">
      <c r="AK202" s="13">
        <v>2975</v>
      </c>
      <c r="AM202" s="13">
        <v>2</v>
      </c>
    </row>
    <row r="203" spans="37:39" x14ac:dyDescent="0.25">
      <c r="AK203" s="13">
        <v>2975</v>
      </c>
      <c r="AM203" s="13">
        <v>0</v>
      </c>
    </row>
  </sheetData>
  <dataConsolidate/>
  <mergeCells count="4">
    <mergeCell ref="F2:G2"/>
    <mergeCell ref="I4:J4"/>
    <mergeCell ref="K4:L4"/>
    <mergeCell ref="M4:N4"/>
  </mergeCells>
  <pageMargins left="0.75" right="0.75" top="1" bottom="1" header="0.5" footer="0.5"/>
  <pageSetup orientation="portrait" horizontalDpi="200" verticalDpi="200"/>
  <headerFooter alignWithMargins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N143"/>
  <sheetViews>
    <sheetView showGridLines="0" zoomScale="90" zoomScaleNormal="90" workbookViewId="0">
      <selection activeCell="P24" sqref="O21:P24"/>
    </sheetView>
  </sheetViews>
  <sheetFormatPr defaultRowHeight="15.75" x14ac:dyDescent="0.25"/>
  <cols>
    <col min="1" max="1" width="8" style="22" customWidth="1"/>
    <col min="2" max="2" width="10.625" style="11" customWidth="1"/>
    <col min="3" max="3" width="10.625" style="12" customWidth="1"/>
    <col min="4" max="4" width="7.625" style="13" customWidth="1"/>
    <col min="5" max="5" width="7.625" style="14" customWidth="1"/>
    <col min="6" max="6" width="11.625" style="15" customWidth="1"/>
    <col min="7" max="7" width="9" style="14"/>
    <col min="8" max="8" width="6.625" style="14" customWidth="1"/>
    <col min="9" max="14" width="10.125" style="14" customWidth="1"/>
    <col min="15" max="17" width="9" style="14"/>
    <col min="18" max="19" width="9" style="13"/>
    <col min="20" max="20" width="14.25" style="13" customWidth="1"/>
    <col min="21" max="22" width="11.25" style="13" customWidth="1"/>
    <col min="23" max="54" width="9" style="13"/>
    <col min="55" max="256" width="9" style="14"/>
    <col min="257" max="257" width="8" style="14" customWidth="1"/>
    <col min="258" max="259" width="10.625" style="14" customWidth="1"/>
    <col min="260" max="261" width="7.625" style="14" customWidth="1"/>
    <col min="262" max="262" width="11.625" style="14" customWidth="1"/>
    <col min="263" max="263" width="9" style="14"/>
    <col min="264" max="264" width="6.625" style="14" customWidth="1"/>
    <col min="265" max="270" width="10.125" style="14" customWidth="1"/>
    <col min="271" max="275" width="9" style="14"/>
    <col min="276" max="276" width="14.25" style="14" customWidth="1"/>
    <col min="277" max="278" width="11.25" style="14" customWidth="1"/>
    <col min="279" max="512" width="9" style="14"/>
    <col min="513" max="513" width="8" style="14" customWidth="1"/>
    <col min="514" max="515" width="10.625" style="14" customWidth="1"/>
    <col min="516" max="517" width="7.625" style="14" customWidth="1"/>
    <col min="518" max="518" width="11.625" style="14" customWidth="1"/>
    <col min="519" max="519" width="9" style="14"/>
    <col min="520" max="520" width="6.625" style="14" customWidth="1"/>
    <col min="521" max="526" width="10.125" style="14" customWidth="1"/>
    <col min="527" max="531" width="9" style="14"/>
    <col min="532" max="532" width="14.25" style="14" customWidth="1"/>
    <col min="533" max="534" width="11.25" style="14" customWidth="1"/>
    <col min="535" max="768" width="9" style="14"/>
    <col min="769" max="769" width="8" style="14" customWidth="1"/>
    <col min="770" max="771" width="10.625" style="14" customWidth="1"/>
    <col min="772" max="773" width="7.625" style="14" customWidth="1"/>
    <col min="774" max="774" width="11.625" style="14" customWidth="1"/>
    <col min="775" max="775" width="9" style="14"/>
    <col min="776" max="776" width="6.625" style="14" customWidth="1"/>
    <col min="777" max="782" width="10.125" style="14" customWidth="1"/>
    <col min="783" max="787" width="9" style="14"/>
    <col min="788" max="788" width="14.25" style="14" customWidth="1"/>
    <col min="789" max="790" width="11.25" style="14" customWidth="1"/>
    <col min="791" max="1024" width="9" style="14"/>
    <col min="1025" max="1025" width="8" style="14" customWidth="1"/>
    <col min="1026" max="1027" width="10.625" style="14" customWidth="1"/>
    <col min="1028" max="1029" width="7.625" style="14" customWidth="1"/>
    <col min="1030" max="1030" width="11.625" style="14" customWidth="1"/>
    <col min="1031" max="1031" width="9" style="14"/>
    <col min="1032" max="1032" width="6.625" style="14" customWidth="1"/>
    <col min="1033" max="1038" width="10.125" style="14" customWidth="1"/>
    <col min="1039" max="1043" width="9" style="14"/>
    <col min="1044" max="1044" width="14.25" style="14" customWidth="1"/>
    <col min="1045" max="1046" width="11.25" style="14" customWidth="1"/>
    <col min="1047" max="1280" width="9" style="14"/>
    <col min="1281" max="1281" width="8" style="14" customWidth="1"/>
    <col min="1282" max="1283" width="10.625" style="14" customWidth="1"/>
    <col min="1284" max="1285" width="7.625" style="14" customWidth="1"/>
    <col min="1286" max="1286" width="11.625" style="14" customWidth="1"/>
    <col min="1287" max="1287" width="9" style="14"/>
    <col min="1288" max="1288" width="6.625" style="14" customWidth="1"/>
    <col min="1289" max="1294" width="10.125" style="14" customWidth="1"/>
    <col min="1295" max="1299" width="9" style="14"/>
    <col min="1300" max="1300" width="14.25" style="14" customWidth="1"/>
    <col min="1301" max="1302" width="11.25" style="14" customWidth="1"/>
    <col min="1303" max="1536" width="9" style="14"/>
    <col min="1537" max="1537" width="8" style="14" customWidth="1"/>
    <col min="1538" max="1539" width="10.625" style="14" customWidth="1"/>
    <col min="1540" max="1541" width="7.625" style="14" customWidth="1"/>
    <col min="1542" max="1542" width="11.625" style="14" customWidth="1"/>
    <col min="1543" max="1543" width="9" style="14"/>
    <col min="1544" max="1544" width="6.625" style="14" customWidth="1"/>
    <col min="1545" max="1550" width="10.125" style="14" customWidth="1"/>
    <col min="1551" max="1555" width="9" style="14"/>
    <col min="1556" max="1556" width="14.25" style="14" customWidth="1"/>
    <col min="1557" max="1558" width="11.25" style="14" customWidth="1"/>
    <col min="1559" max="1792" width="9" style="14"/>
    <col min="1793" max="1793" width="8" style="14" customWidth="1"/>
    <col min="1794" max="1795" width="10.625" style="14" customWidth="1"/>
    <col min="1796" max="1797" width="7.625" style="14" customWidth="1"/>
    <col min="1798" max="1798" width="11.625" style="14" customWidth="1"/>
    <col min="1799" max="1799" width="9" style="14"/>
    <col min="1800" max="1800" width="6.625" style="14" customWidth="1"/>
    <col min="1801" max="1806" width="10.125" style="14" customWidth="1"/>
    <col min="1807" max="1811" width="9" style="14"/>
    <col min="1812" max="1812" width="14.25" style="14" customWidth="1"/>
    <col min="1813" max="1814" width="11.25" style="14" customWidth="1"/>
    <col min="1815" max="2048" width="9" style="14"/>
    <col min="2049" max="2049" width="8" style="14" customWidth="1"/>
    <col min="2050" max="2051" width="10.625" style="14" customWidth="1"/>
    <col min="2052" max="2053" width="7.625" style="14" customWidth="1"/>
    <col min="2054" max="2054" width="11.625" style="14" customWidth="1"/>
    <col min="2055" max="2055" width="9" style="14"/>
    <col min="2056" max="2056" width="6.625" style="14" customWidth="1"/>
    <col min="2057" max="2062" width="10.125" style="14" customWidth="1"/>
    <col min="2063" max="2067" width="9" style="14"/>
    <col min="2068" max="2068" width="14.25" style="14" customWidth="1"/>
    <col min="2069" max="2070" width="11.25" style="14" customWidth="1"/>
    <col min="2071" max="2304" width="9" style="14"/>
    <col min="2305" max="2305" width="8" style="14" customWidth="1"/>
    <col min="2306" max="2307" width="10.625" style="14" customWidth="1"/>
    <col min="2308" max="2309" width="7.625" style="14" customWidth="1"/>
    <col min="2310" max="2310" width="11.625" style="14" customWidth="1"/>
    <col min="2311" max="2311" width="9" style="14"/>
    <col min="2312" max="2312" width="6.625" style="14" customWidth="1"/>
    <col min="2313" max="2318" width="10.125" style="14" customWidth="1"/>
    <col min="2319" max="2323" width="9" style="14"/>
    <col min="2324" max="2324" width="14.25" style="14" customWidth="1"/>
    <col min="2325" max="2326" width="11.25" style="14" customWidth="1"/>
    <col min="2327" max="2560" width="9" style="14"/>
    <col min="2561" max="2561" width="8" style="14" customWidth="1"/>
    <col min="2562" max="2563" width="10.625" style="14" customWidth="1"/>
    <col min="2564" max="2565" width="7.625" style="14" customWidth="1"/>
    <col min="2566" max="2566" width="11.625" style="14" customWidth="1"/>
    <col min="2567" max="2567" width="9" style="14"/>
    <col min="2568" max="2568" width="6.625" style="14" customWidth="1"/>
    <col min="2569" max="2574" width="10.125" style="14" customWidth="1"/>
    <col min="2575" max="2579" width="9" style="14"/>
    <col min="2580" max="2580" width="14.25" style="14" customWidth="1"/>
    <col min="2581" max="2582" width="11.25" style="14" customWidth="1"/>
    <col min="2583" max="2816" width="9" style="14"/>
    <col min="2817" max="2817" width="8" style="14" customWidth="1"/>
    <col min="2818" max="2819" width="10.625" style="14" customWidth="1"/>
    <col min="2820" max="2821" width="7.625" style="14" customWidth="1"/>
    <col min="2822" max="2822" width="11.625" style="14" customWidth="1"/>
    <col min="2823" max="2823" width="9" style="14"/>
    <col min="2824" max="2824" width="6.625" style="14" customWidth="1"/>
    <col min="2825" max="2830" width="10.125" style="14" customWidth="1"/>
    <col min="2831" max="2835" width="9" style="14"/>
    <col min="2836" max="2836" width="14.25" style="14" customWidth="1"/>
    <col min="2837" max="2838" width="11.25" style="14" customWidth="1"/>
    <col min="2839" max="3072" width="9" style="14"/>
    <col min="3073" max="3073" width="8" style="14" customWidth="1"/>
    <col min="3074" max="3075" width="10.625" style="14" customWidth="1"/>
    <col min="3076" max="3077" width="7.625" style="14" customWidth="1"/>
    <col min="3078" max="3078" width="11.625" style="14" customWidth="1"/>
    <col min="3079" max="3079" width="9" style="14"/>
    <col min="3080" max="3080" width="6.625" style="14" customWidth="1"/>
    <col min="3081" max="3086" width="10.125" style="14" customWidth="1"/>
    <col min="3087" max="3091" width="9" style="14"/>
    <col min="3092" max="3092" width="14.25" style="14" customWidth="1"/>
    <col min="3093" max="3094" width="11.25" style="14" customWidth="1"/>
    <col min="3095" max="3328" width="9" style="14"/>
    <col min="3329" max="3329" width="8" style="14" customWidth="1"/>
    <col min="3330" max="3331" width="10.625" style="14" customWidth="1"/>
    <col min="3332" max="3333" width="7.625" style="14" customWidth="1"/>
    <col min="3334" max="3334" width="11.625" style="14" customWidth="1"/>
    <col min="3335" max="3335" width="9" style="14"/>
    <col min="3336" max="3336" width="6.625" style="14" customWidth="1"/>
    <col min="3337" max="3342" width="10.125" style="14" customWidth="1"/>
    <col min="3343" max="3347" width="9" style="14"/>
    <col min="3348" max="3348" width="14.25" style="14" customWidth="1"/>
    <col min="3349" max="3350" width="11.25" style="14" customWidth="1"/>
    <col min="3351" max="3584" width="9" style="14"/>
    <col min="3585" max="3585" width="8" style="14" customWidth="1"/>
    <col min="3586" max="3587" width="10.625" style="14" customWidth="1"/>
    <col min="3588" max="3589" width="7.625" style="14" customWidth="1"/>
    <col min="3590" max="3590" width="11.625" style="14" customWidth="1"/>
    <col min="3591" max="3591" width="9" style="14"/>
    <col min="3592" max="3592" width="6.625" style="14" customWidth="1"/>
    <col min="3593" max="3598" width="10.125" style="14" customWidth="1"/>
    <col min="3599" max="3603" width="9" style="14"/>
    <col min="3604" max="3604" width="14.25" style="14" customWidth="1"/>
    <col min="3605" max="3606" width="11.25" style="14" customWidth="1"/>
    <col min="3607" max="3840" width="9" style="14"/>
    <col min="3841" max="3841" width="8" style="14" customWidth="1"/>
    <col min="3842" max="3843" width="10.625" style="14" customWidth="1"/>
    <col min="3844" max="3845" width="7.625" style="14" customWidth="1"/>
    <col min="3846" max="3846" width="11.625" style="14" customWidth="1"/>
    <col min="3847" max="3847" width="9" style="14"/>
    <col min="3848" max="3848" width="6.625" style="14" customWidth="1"/>
    <col min="3849" max="3854" width="10.125" style="14" customWidth="1"/>
    <col min="3855" max="3859" width="9" style="14"/>
    <col min="3860" max="3860" width="14.25" style="14" customWidth="1"/>
    <col min="3861" max="3862" width="11.25" style="14" customWidth="1"/>
    <col min="3863" max="4096" width="9" style="14"/>
    <col min="4097" max="4097" width="8" style="14" customWidth="1"/>
    <col min="4098" max="4099" width="10.625" style="14" customWidth="1"/>
    <col min="4100" max="4101" width="7.625" style="14" customWidth="1"/>
    <col min="4102" max="4102" width="11.625" style="14" customWidth="1"/>
    <col min="4103" max="4103" width="9" style="14"/>
    <col min="4104" max="4104" width="6.625" style="14" customWidth="1"/>
    <col min="4105" max="4110" width="10.125" style="14" customWidth="1"/>
    <col min="4111" max="4115" width="9" style="14"/>
    <col min="4116" max="4116" width="14.25" style="14" customWidth="1"/>
    <col min="4117" max="4118" width="11.25" style="14" customWidth="1"/>
    <col min="4119" max="4352" width="9" style="14"/>
    <col min="4353" max="4353" width="8" style="14" customWidth="1"/>
    <col min="4354" max="4355" width="10.625" style="14" customWidth="1"/>
    <col min="4356" max="4357" width="7.625" style="14" customWidth="1"/>
    <col min="4358" max="4358" width="11.625" style="14" customWidth="1"/>
    <col min="4359" max="4359" width="9" style="14"/>
    <col min="4360" max="4360" width="6.625" style="14" customWidth="1"/>
    <col min="4361" max="4366" width="10.125" style="14" customWidth="1"/>
    <col min="4367" max="4371" width="9" style="14"/>
    <col min="4372" max="4372" width="14.25" style="14" customWidth="1"/>
    <col min="4373" max="4374" width="11.25" style="14" customWidth="1"/>
    <col min="4375" max="4608" width="9" style="14"/>
    <col min="4609" max="4609" width="8" style="14" customWidth="1"/>
    <col min="4610" max="4611" width="10.625" style="14" customWidth="1"/>
    <col min="4612" max="4613" width="7.625" style="14" customWidth="1"/>
    <col min="4614" max="4614" width="11.625" style="14" customWidth="1"/>
    <col min="4615" max="4615" width="9" style="14"/>
    <col min="4616" max="4616" width="6.625" style="14" customWidth="1"/>
    <col min="4617" max="4622" width="10.125" style="14" customWidth="1"/>
    <col min="4623" max="4627" width="9" style="14"/>
    <col min="4628" max="4628" width="14.25" style="14" customWidth="1"/>
    <col min="4629" max="4630" width="11.25" style="14" customWidth="1"/>
    <col min="4631" max="4864" width="9" style="14"/>
    <col min="4865" max="4865" width="8" style="14" customWidth="1"/>
    <col min="4866" max="4867" width="10.625" style="14" customWidth="1"/>
    <col min="4868" max="4869" width="7.625" style="14" customWidth="1"/>
    <col min="4870" max="4870" width="11.625" style="14" customWidth="1"/>
    <col min="4871" max="4871" width="9" style="14"/>
    <col min="4872" max="4872" width="6.625" style="14" customWidth="1"/>
    <col min="4873" max="4878" width="10.125" style="14" customWidth="1"/>
    <col min="4879" max="4883" width="9" style="14"/>
    <col min="4884" max="4884" width="14.25" style="14" customWidth="1"/>
    <col min="4885" max="4886" width="11.25" style="14" customWidth="1"/>
    <col min="4887" max="5120" width="9" style="14"/>
    <col min="5121" max="5121" width="8" style="14" customWidth="1"/>
    <col min="5122" max="5123" width="10.625" style="14" customWidth="1"/>
    <col min="5124" max="5125" width="7.625" style="14" customWidth="1"/>
    <col min="5126" max="5126" width="11.625" style="14" customWidth="1"/>
    <col min="5127" max="5127" width="9" style="14"/>
    <col min="5128" max="5128" width="6.625" style="14" customWidth="1"/>
    <col min="5129" max="5134" width="10.125" style="14" customWidth="1"/>
    <col min="5135" max="5139" width="9" style="14"/>
    <col min="5140" max="5140" width="14.25" style="14" customWidth="1"/>
    <col min="5141" max="5142" width="11.25" style="14" customWidth="1"/>
    <col min="5143" max="5376" width="9" style="14"/>
    <col min="5377" max="5377" width="8" style="14" customWidth="1"/>
    <col min="5378" max="5379" width="10.625" style="14" customWidth="1"/>
    <col min="5380" max="5381" width="7.625" style="14" customWidth="1"/>
    <col min="5382" max="5382" width="11.625" style="14" customWidth="1"/>
    <col min="5383" max="5383" width="9" style="14"/>
    <col min="5384" max="5384" width="6.625" style="14" customWidth="1"/>
    <col min="5385" max="5390" width="10.125" style="14" customWidth="1"/>
    <col min="5391" max="5395" width="9" style="14"/>
    <col min="5396" max="5396" width="14.25" style="14" customWidth="1"/>
    <col min="5397" max="5398" width="11.25" style="14" customWidth="1"/>
    <col min="5399" max="5632" width="9" style="14"/>
    <col min="5633" max="5633" width="8" style="14" customWidth="1"/>
    <col min="5634" max="5635" width="10.625" style="14" customWidth="1"/>
    <col min="5636" max="5637" width="7.625" style="14" customWidth="1"/>
    <col min="5638" max="5638" width="11.625" style="14" customWidth="1"/>
    <col min="5639" max="5639" width="9" style="14"/>
    <col min="5640" max="5640" width="6.625" style="14" customWidth="1"/>
    <col min="5641" max="5646" width="10.125" style="14" customWidth="1"/>
    <col min="5647" max="5651" width="9" style="14"/>
    <col min="5652" max="5652" width="14.25" style="14" customWidth="1"/>
    <col min="5653" max="5654" width="11.25" style="14" customWidth="1"/>
    <col min="5655" max="5888" width="9" style="14"/>
    <col min="5889" max="5889" width="8" style="14" customWidth="1"/>
    <col min="5890" max="5891" width="10.625" style="14" customWidth="1"/>
    <col min="5892" max="5893" width="7.625" style="14" customWidth="1"/>
    <col min="5894" max="5894" width="11.625" style="14" customWidth="1"/>
    <col min="5895" max="5895" width="9" style="14"/>
    <col min="5896" max="5896" width="6.625" style="14" customWidth="1"/>
    <col min="5897" max="5902" width="10.125" style="14" customWidth="1"/>
    <col min="5903" max="5907" width="9" style="14"/>
    <col min="5908" max="5908" width="14.25" style="14" customWidth="1"/>
    <col min="5909" max="5910" width="11.25" style="14" customWidth="1"/>
    <col min="5911" max="6144" width="9" style="14"/>
    <col min="6145" max="6145" width="8" style="14" customWidth="1"/>
    <col min="6146" max="6147" width="10.625" style="14" customWidth="1"/>
    <col min="6148" max="6149" width="7.625" style="14" customWidth="1"/>
    <col min="6150" max="6150" width="11.625" style="14" customWidth="1"/>
    <col min="6151" max="6151" width="9" style="14"/>
    <col min="6152" max="6152" width="6.625" style="14" customWidth="1"/>
    <col min="6153" max="6158" width="10.125" style="14" customWidth="1"/>
    <col min="6159" max="6163" width="9" style="14"/>
    <col min="6164" max="6164" width="14.25" style="14" customWidth="1"/>
    <col min="6165" max="6166" width="11.25" style="14" customWidth="1"/>
    <col min="6167" max="6400" width="9" style="14"/>
    <col min="6401" max="6401" width="8" style="14" customWidth="1"/>
    <col min="6402" max="6403" width="10.625" style="14" customWidth="1"/>
    <col min="6404" max="6405" width="7.625" style="14" customWidth="1"/>
    <col min="6406" max="6406" width="11.625" style="14" customWidth="1"/>
    <col min="6407" max="6407" width="9" style="14"/>
    <col min="6408" max="6408" width="6.625" style="14" customWidth="1"/>
    <col min="6409" max="6414" width="10.125" style="14" customWidth="1"/>
    <col min="6415" max="6419" width="9" style="14"/>
    <col min="6420" max="6420" width="14.25" style="14" customWidth="1"/>
    <col min="6421" max="6422" width="11.25" style="14" customWidth="1"/>
    <col min="6423" max="6656" width="9" style="14"/>
    <col min="6657" max="6657" width="8" style="14" customWidth="1"/>
    <col min="6658" max="6659" width="10.625" style="14" customWidth="1"/>
    <col min="6660" max="6661" width="7.625" style="14" customWidth="1"/>
    <col min="6662" max="6662" width="11.625" style="14" customWidth="1"/>
    <col min="6663" max="6663" width="9" style="14"/>
    <col min="6664" max="6664" width="6.625" style="14" customWidth="1"/>
    <col min="6665" max="6670" width="10.125" style="14" customWidth="1"/>
    <col min="6671" max="6675" width="9" style="14"/>
    <col min="6676" max="6676" width="14.25" style="14" customWidth="1"/>
    <col min="6677" max="6678" width="11.25" style="14" customWidth="1"/>
    <col min="6679" max="6912" width="9" style="14"/>
    <col min="6913" max="6913" width="8" style="14" customWidth="1"/>
    <col min="6914" max="6915" width="10.625" style="14" customWidth="1"/>
    <col min="6916" max="6917" width="7.625" style="14" customWidth="1"/>
    <col min="6918" max="6918" width="11.625" style="14" customWidth="1"/>
    <col min="6919" max="6919" width="9" style="14"/>
    <col min="6920" max="6920" width="6.625" style="14" customWidth="1"/>
    <col min="6921" max="6926" width="10.125" style="14" customWidth="1"/>
    <col min="6927" max="6931" width="9" style="14"/>
    <col min="6932" max="6932" width="14.25" style="14" customWidth="1"/>
    <col min="6933" max="6934" width="11.25" style="14" customWidth="1"/>
    <col min="6935" max="7168" width="9" style="14"/>
    <col min="7169" max="7169" width="8" style="14" customWidth="1"/>
    <col min="7170" max="7171" width="10.625" style="14" customWidth="1"/>
    <col min="7172" max="7173" width="7.625" style="14" customWidth="1"/>
    <col min="7174" max="7174" width="11.625" style="14" customWidth="1"/>
    <col min="7175" max="7175" width="9" style="14"/>
    <col min="7176" max="7176" width="6.625" style="14" customWidth="1"/>
    <col min="7177" max="7182" width="10.125" style="14" customWidth="1"/>
    <col min="7183" max="7187" width="9" style="14"/>
    <col min="7188" max="7188" width="14.25" style="14" customWidth="1"/>
    <col min="7189" max="7190" width="11.25" style="14" customWidth="1"/>
    <col min="7191" max="7424" width="9" style="14"/>
    <col min="7425" max="7425" width="8" style="14" customWidth="1"/>
    <col min="7426" max="7427" width="10.625" style="14" customWidth="1"/>
    <col min="7428" max="7429" width="7.625" style="14" customWidth="1"/>
    <col min="7430" max="7430" width="11.625" style="14" customWidth="1"/>
    <col min="7431" max="7431" width="9" style="14"/>
    <col min="7432" max="7432" width="6.625" style="14" customWidth="1"/>
    <col min="7433" max="7438" width="10.125" style="14" customWidth="1"/>
    <col min="7439" max="7443" width="9" style="14"/>
    <col min="7444" max="7444" width="14.25" style="14" customWidth="1"/>
    <col min="7445" max="7446" width="11.25" style="14" customWidth="1"/>
    <col min="7447" max="7680" width="9" style="14"/>
    <col min="7681" max="7681" width="8" style="14" customWidth="1"/>
    <col min="7682" max="7683" width="10.625" style="14" customWidth="1"/>
    <col min="7684" max="7685" width="7.625" style="14" customWidth="1"/>
    <col min="7686" max="7686" width="11.625" style="14" customWidth="1"/>
    <col min="7687" max="7687" width="9" style="14"/>
    <col min="7688" max="7688" width="6.625" style="14" customWidth="1"/>
    <col min="7689" max="7694" width="10.125" style="14" customWidth="1"/>
    <col min="7695" max="7699" width="9" style="14"/>
    <col min="7700" max="7700" width="14.25" style="14" customWidth="1"/>
    <col min="7701" max="7702" width="11.25" style="14" customWidth="1"/>
    <col min="7703" max="7936" width="9" style="14"/>
    <col min="7937" max="7937" width="8" style="14" customWidth="1"/>
    <col min="7938" max="7939" width="10.625" style="14" customWidth="1"/>
    <col min="7940" max="7941" width="7.625" style="14" customWidth="1"/>
    <col min="7942" max="7942" width="11.625" style="14" customWidth="1"/>
    <col min="7943" max="7943" width="9" style="14"/>
    <col min="7944" max="7944" width="6.625" style="14" customWidth="1"/>
    <col min="7945" max="7950" width="10.125" style="14" customWidth="1"/>
    <col min="7951" max="7955" width="9" style="14"/>
    <col min="7956" max="7956" width="14.25" style="14" customWidth="1"/>
    <col min="7957" max="7958" width="11.25" style="14" customWidth="1"/>
    <col min="7959" max="8192" width="9" style="14"/>
    <col min="8193" max="8193" width="8" style="14" customWidth="1"/>
    <col min="8194" max="8195" width="10.625" style="14" customWidth="1"/>
    <col min="8196" max="8197" width="7.625" style="14" customWidth="1"/>
    <col min="8198" max="8198" width="11.625" style="14" customWidth="1"/>
    <col min="8199" max="8199" width="9" style="14"/>
    <col min="8200" max="8200" width="6.625" style="14" customWidth="1"/>
    <col min="8201" max="8206" width="10.125" style="14" customWidth="1"/>
    <col min="8207" max="8211" width="9" style="14"/>
    <col min="8212" max="8212" width="14.25" style="14" customWidth="1"/>
    <col min="8213" max="8214" width="11.25" style="14" customWidth="1"/>
    <col min="8215" max="8448" width="9" style="14"/>
    <col min="8449" max="8449" width="8" style="14" customWidth="1"/>
    <col min="8450" max="8451" width="10.625" style="14" customWidth="1"/>
    <col min="8452" max="8453" width="7.625" style="14" customWidth="1"/>
    <col min="8454" max="8454" width="11.625" style="14" customWidth="1"/>
    <col min="8455" max="8455" width="9" style="14"/>
    <col min="8456" max="8456" width="6.625" style="14" customWidth="1"/>
    <col min="8457" max="8462" width="10.125" style="14" customWidth="1"/>
    <col min="8463" max="8467" width="9" style="14"/>
    <col min="8468" max="8468" width="14.25" style="14" customWidth="1"/>
    <col min="8469" max="8470" width="11.25" style="14" customWidth="1"/>
    <col min="8471" max="8704" width="9" style="14"/>
    <col min="8705" max="8705" width="8" style="14" customWidth="1"/>
    <col min="8706" max="8707" width="10.625" style="14" customWidth="1"/>
    <col min="8708" max="8709" width="7.625" style="14" customWidth="1"/>
    <col min="8710" max="8710" width="11.625" style="14" customWidth="1"/>
    <col min="8711" max="8711" width="9" style="14"/>
    <col min="8712" max="8712" width="6.625" style="14" customWidth="1"/>
    <col min="8713" max="8718" width="10.125" style="14" customWidth="1"/>
    <col min="8719" max="8723" width="9" style="14"/>
    <col min="8724" max="8724" width="14.25" style="14" customWidth="1"/>
    <col min="8725" max="8726" width="11.25" style="14" customWidth="1"/>
    <col min="8727" max="8960" width="9" style="14"/>
    <col min="8961" max="8961" width="8" style="14" customWidth="1"/>
    <col min="8962" max="8963" width="10.625" style="14" customWidth="1"/>
    <col min="8964" max="8965" width="7.625" style="14" customWidth="1"/>
    <col min="8966" max="8966" width="11.625" style="14" customWidth="1"/>
    <col min="8967" max="8967" width="9" style="14"/>
    <col min="8968" max="8968" width="6.625" style="14" customWidth="1"/>
    <col min="8969" max="8974" width="10.125" style="14" customWidth="1"/>
    <col min="8975" max="8979" width="9" style="14"/>
    <col min="8980" max="8980" width="14.25" style="14" customWidth="1"/>
    <col min="8981" max="8982" width="11.25" style="14" customWidth="1"/>
    <col min="8983" max="9216" width="9" style="14"/>
    <col min="9217" max="9217" width="8" style="14" customWidth="1"/>
    <col min="9218" max="9219" width="10.625" style="14" customWidth="1"/>
    <col min="9220" max="9221" width="7.625" style="14" customWidth="1"/>
    <col min="9222" max="9222" width="11.625" style="14" customWidth="1"/>
    <col min="9223" max="9223" width="9" style="14"/>
    <col min="9224" max="9224" width="6.625" style="14" customWidth="1"/>
    <col min="9225" max="9230" width="10.125" style="14" customWidth="1"/>
    <col min="9231" max="9235" width="9" style="14"/>
    <col min="9236" max="9236" width="14.25" style="14" customWidth="1"/>
    <col min="9237" max="9238" width="11.25" style="14" customWidth="1"/>
    <col min="9239" max="9472" width="9" style="14"/>
    <col min="9473" max="9473" width="8" style="14" customWidth="1"/>
    <col min="9474" max="9475" width="10.625" style="14" customWidth="1"/>
    <col min="9476" max="9477" width="7.625" style="14" customWidth="1"/>
    <col min="9478" max="9478" width="11.625" style="14" customWidth="1"/>
    <col min="9479" max="9479" width="9" style="14"/>
    <col min="9480" max="9480" width="6.625" style="14" customWidth="1"/>
    <col min="9481" max="9486" width="10.125" style="14" customWidth="1"/>
    <col min="9487" max="9491" width="9" style="14"/>
    <col min="9492" max="9492" width="14.25" style="14" customWidth="1"/>
    <col min="9493" max="9494" width="11.25" style="14" customWidth="1"/>
    <col min="9495" max="9728" width="9" style="14"/>
    <col min="9729" max="9729" width="8" style="14" customWidth="1"/>
    <col min="9730" max="9731" width="10.625" style="14" customWidth="1"/>
    <col min="9732" max="9733" width="7.625" style="14" customWidth="1"/>
    <col min="9734" max="9734" width="11.625" style="14" customWidth="1"/>
    <col min="9735" max="9735" width="9" style="14"/>
    <col min="9736" max="9736" width="6.625" style="14" customWidth="1"/>
    <col min="9737" max="9742" width="10.125" style="14" customWidth="1"/>
    <col min="9743" max="9747" width="9" style="14"/>
    <col min="9748" max="9748" width="14.25" style="14" customWidth="1"/>
    <col min="9749" max="9750" width="11.25" style="14" customWidth="1"/>
    <col min="9751" max="9984" width="9" style="14"/>
    <col min="9985" max="9985" width="8" style="14" customWidth="1"/>
    <col min="9986" max="9987" width="10.625" style="14" customWidth="1"/>
    <col min="9988" max="9989" width="7.625" style="14" customWidth="1"/>
    <col min="9990" max="9990" width="11.625" style="14" customWidth="1"/>
    <col min="9991" max="9991" width="9" style="14"/>
    <col min="9992" max="9992" width="6.625" style="14" customWidth="1"/>
    <col min="9993" max="9998" width="10.125" style="14" customWidth="1"/>
    <col min="9999" max="10003" width="9" style="14"/>
    <col min="10004" max="10004" width="14.25" style="14" customWidth="1"/>
    <col min="10005" max="10006" width="11.25" style="14" customWidth="1"/>
    <col min="10007" max="10240" width="9" style="14"/>
    <col min="10241" max="10241" width="8" style="14" customWidth="1"/>
    <col min="10242" max="10243" width="10.625" style="14" customWidth="1"/>
    <col min="10244" max="10245" width="7.625" style="14" customWidth="1"/>
    <col min="10246" max="10246" width="11.625" style="14" customWidth="1"/>
    <col min="10247" max="10247" width="9" style="14"/>
    <col min="10248" max="10248" width="6.625" style="14" customWidth="1"/>
    <col min="10249" max="10254" width="10.125" style="14" customWidth="1"/>
    <col min="10255" max="10259" width="9" style="14"/>
    <col min="10260" max="10260" width="14.25" style="14" customWidth="1"/>
    <col min="10261" max="10262" width="11.25" style="14" customWidth="1"/>
    <col min="10263" max="10496" width="9" style="14"/>
    <col min="10497" max="10497" width="8" style="14" customWidth="1"/>
    <col min="10498" max="10499" width="10.625" style="14" customWidth="1"/>
    <col min="10500" max="10501" width="7.625" style="14" customWidth="1"/>
    <col min="10502" max="10502" width="11.625" style="14" customWidth="1"/>
    <col min="10503" max="10503" width="9" style="14"/>
    <col min="10504" max="10504" width="6.625" style="14" customWidth="1"/>
    <col min="10505" max="10510" width="10.125" style="14" customWidth="1"/>
    <col min="10511" max="10515" width="9" style="14"/>
    <col min="10516" max="10516" width="14.25" style="14" customWidth="1"/>
    <col min="10517" max="10518" width="11.25" style="14" customWidth="1"/>
    <col min="10519" max="10752" width="9" style="14"/>
    <col min="10753" max="10753" width="8" style="14" customWidth="1"/>
    <col min="10754" max="10755" width="10.625" style="14" customWidth="1"/>
    <col min="10756" max="10757" width="7.625" style="14" customWidth="1"/>
    <col min="10758" max="10758" width="11.625" style="14" customWidth="1"/>
    <col min="10759" max="10759" width="9" style="14"/>
    <col min="10760" max="10760" width="6.625" style="14" customWidth="1"/>
    <col min="10761" max="10766" width="10.125" style="14" customWidth="1"/>
    <col min="10767" max="10771" width="9" style="14"/>
    <col min="10772" max="10772" width="14.25" style="14" customWidth="1"/>
    <col min="10773" max="10774" width="11.25" style="14" customWidth="1"/>
    <col min="10775" max="11008" width="9" style="14"/>
    <col min="11009" max="11009" width="8" style="14" customWidth="1"/>
    <col min="11010" max="11011" width="10.625" style="14" customWidth="1"/>
    <col min="11012" max="11013" width="7.625" style="14" customWidth="1"/>
    <col min="11014" max="11014" width="11.625" style="14" customWidth="1"/>
    <col min="11015" max="11015" width="9" style="14"/>
    <col min="11016" max="11016" width="6.625" style="14" customWidth="1"/>
    <col min="11017" max="11022" width="10.125" style="14" customWidth="1"/>
    <col min="11023" max="11027" width="9" style="14"/>
    <col min="11028" max="11028" width="14.25" style="14" customWidth="1"/>
    <col min="11029" max="11030" width="11.25" style="14" customWidth="1"/>
    <col min="11031" max="11264" width="9" style="14"/>
    <col min="11265" max="11265" width="8" style="14" customWidth="1"/>
    <col min="11266" max="11267" width="10.625" style="14" customWidth="1"/>
    <col min="11268" max="11269" width="7.625" style="14" customWidth="1"/>
    <col min="11270" max="11270" width="11.625" style="14" customWidth="1"/>
    <col min="11271" max="11271" width="9" style="14"/>
    <col min="11272" max="11272" width="6.625" style="14" customWidth="1"/>
    <col min="11273" max="11278" width="10.125" style="14" customWidth="1"/>
    <col min="11279" max="11283" width="9" style="14"/>
    <col min="11284" max="11284" width="14.25" style="14" customWidth="1"/>
    <col min="11285" max="11286" width="11.25" style="14" customWidth="1"/>
    <col min="11287" max="11520" width="9" style="14"/>
    <col min="11521" max="11521" width="8" style="14" customWidth="1"/>
    <col min="11522" max="11523" width="10.625" style="14" customWidth="1"/>
    <col min="11524" max="11525" width="7.625" style="14" customWidth="1"/>
    <col min="11526" max="11526" width="11.625" style="14" customWidth="1"/>
    <col min="11527" max="11527" width="9" style="14"/>
    <col min="11528" max="11528" width="6.625" style="14" customWidth="1"/>
    <col min="11529" max="11534" width="10.125" style="14" customWidth="1"/>
    <col min="11535" max="11539" width="9" style="14"/>
    <col min="11540" max="11540" width="14.25" style="14" customWidth="1"/>
    <col min="11541" max="11542" width="11.25" style="14" customWidth="1"/>
    <col min="11543" max="11776" width="9" style="14"/>
    <col min="11777" max="11777" width="8" style="14" customWidth="1"/>
    <col min="11778" max="11779" width="10.625" style="14" customWidth="1"/>
    <col min="11780" max="11781" width="7.625" style="14" customWidth="1"/>
    <col min="11782" max="11782" width="11.625" style="14" customWidth="1"/>
    <col min="11783" max="11783" width="9" style="14"/>
    <col min="11784" max="11784" width="6.625" style="14" customWidth="1"/>
    <col min="11785" max="11790" width="10.125" style="14" customWidth="1"/>
    <col min="11791" max="11795" width="9" style="14"/>
    <col min="11796" max="11796" width="14.25" style="14" customWidth="1"/>
    <col min="11797" max="11798" width="11.25" style="14" customWidth="1"/>
    <col min="11799" max="12032" width="9" style="14"/>
    <col min="12033" max="12033" width="8" style="14" customWidth="1"/>
    <col min="12034" max="12035" width="10.625" style="14" customWidth="1"/>
    <col min="12036" max="12037" width="7.625" style="14" customWidth="1"/>
    <col min="12038" max="12038" width="11.625" style="14" customWidth="1"/>
    <col min="12039" max="12039" width="9" style="14"/>
    <col min="12040" max="12040" width="6.625" style="14" customWidth="1"/>
    <col min="12041" max="12046" width="10.125" style="14" customWidth="1"/>
    <col min="12047" max="12051" width="9" style="14"/>
    <col min="12052" max="12052" width="14.25" style="14" customWidth="1"/>
    <col min="12053" max="12054" width="11.25" style="14" customWidth="1"/>
    <col min="12055" max="12288" width="9" style="14"/>
    <col min="12289" max="12289" width="8" style="14" customWidth="1"/>
    <col min="12290" max="12291" width="10.625" style="14" customWidth="1"/>
    <col min="12292" max="12293" width="7.625" style="14" customWidth="1"/>
    <col min="12294" max="12294" width="11.625" style="14" customWidth="1"/>
    <col min="12295" max="12295" width="9" style="14"/>
    <col min="12296" max="12296" width="6.625" style="14" customWidth="1"/>
    <col min="12297" max="12302" width="10.125" style="14" customWidth="1"/>
    <col min="12303" max="12307" width="9" style="14"/>
    <col min="12308" max="12308" width="14.25" style="14" customWidth="1"/>
    <col min="12309" max="12310" width="11.25" style="14" customWidth="1"/>
    <col min="12311" max="12544" width="9" style="14"/>
    <col min="12545" max="12545" width="8" style="14" customWidth="1"/>
    <col min="12546" max="12547" width="10.625" style="14" customWidth="1"/>
    <col min="12548" max="12549" width="7.625" style="14" customWidth="1"/>
    <col min="12550" max="12550" width="11.625" style="14" customWidth="1"/>
    <col min="12551" max="12551" width="9" style="14"/>
    <col min="12552" max="12552" width="6.625" style="14" customWidth="1"/>
    <col min="12553" max="12558" width="10.125" style="14" customWidth="1"/>
    <col min="12559" max="12563" width="9" style="14"/>
    <col min="12564" max="12564" width="14.25" style="14" customWidth="1"/>
    <col min="12565" max="12566" width="11.25" style="14" customWidth="1"/>
    <col min="12567" max="12800" width="9" style="14"/>
    <col min="12801" max="12801" width="8" style="14" customWidth="1"/>
    <col min="12802" max="12803" width="10.625" style="14" customWidth="1"/>
    <col min="12804" max="12805" width="7.625" style="14" customWidth="1"/>
    <col min="12806" max="12806" width="11.625" style="14" customWidth="1"/>
    <col min="12807" max="12807" width="9" style="14"/>
    <col min="12808" max="12808" width="6.625" style="14" customWidth="1"/>
    <col min="12809" max="12814" width="10.125" style="14" customWidth="1"/>
    <col min="12815" max="12819" width="9" style="14"/>
    <col min="12820" max="12820" width="14.25" style="14" customWidth="1"/>
    <col min="12821" max="12822" width="11.25" style="14" customWidth="1"/>
    <col min="12823" max="13056" width="9" style="14"/>
    <col min="13057" max="13057" width="8" style="14" customWidth="1"/>
    <col min="13058" max="13059" width="10.625" style="14" customWidth="1"/>
    <col min="13060" max="13061" width="7.625" style="14" customWidth="1"/>
    <col min="13062" max="13062" width="11.625" style="14" customWidth="1"/>
    <col min="13063" max="13063" width="9" style="14"/>
    <col min="13064" max="13064" width="6.625" style="14" customWidth="1"/>
    <col min="13065" max="13070" width="10.125" style="14" customWidth="1"/>
    <col min="13071" max="13075" width="9" style="14"/>
    <col min="13076" max="13076" width="14.25" style="14" customWidth="1"/>
    <col min="13077" max="13078" width="11.25" style="14" customWidth="1"/>
    <col min="13079" max="13312" width="9" style="14"/>
    <col min="13313" max="13313" width="8" style="14" customWidth="1"/>
    <col min="13314" max="13315" width="10.625" style="14" customWidth="1"/>
    <col min="13316" max="13317" width="7.625" style="14" customWidth="1"/>
    <col min="13318" max="13318" width="11.625" style="14" customWidth="1"/>
    <col min="13319" max="13319" width="9" style="14"/>
    <col min="13320" max="13320" width="6.625" style="14" customWidth="1"/>
    <col min="13321" max="13326" width="10.125" style="14" customWidth="1"/>
    <col min="13327" max="13331" width="9" style="14"/>
    <col min="13332" max="13332" width="14.25" style="14" customWidth="1"/>
    <col min="13333" max="13334" width="11.25" style="14" customWidth="1"/>
    <col min="13335" max="13568" width="9" style="14"/>
    <col min="13569" max="13569" width="8" style="14" customWidth="1"/>
    <col min="13570" max="13571" width="10.625" style="14" customWidth="1"/>
    <col min="13572" max="13573" width="7.625" style="14" customWidth="1"/>
    <col min="13574" max="13574" width="11.625" style="14" customWidth="1"/>
    <col min="13575" max="13575" width="9" style="14"/>
    <col min="13576" max="13576" width="6.625" style="14" customWidth="1"/>
    <col min="13577" max="13582" width="10.125" style="14" customWidth="1"/>
    <col min="13583" max="13587" width="9" style="14"/>
    <col min="13588" max="13588" width="14.25" style="14" customWidth="1"/>
    <col min="13589" max="13590" width="11.25" style="14" customWidth="1"/>
    <col min="13591" max="13824" width="9" style="14"/>
    <col min="13825" max="13825" width="8" style="14" customWidth="1"/>
    <col min="13826" max="13827" width="10.625" style="14" customWidth="1"/>
    <col min="13828" max="13829" width="7.625" style="14" customWidth="1"/>
    <col min="13830" max="13830" width="11.625" style="14" customWidth="1"/>
    <col min="13831" max="13831" width="9" style="14"/>
    <col min="13832" max="13832" width="6.625" style="14" customWidth="1"/>
    <col min="13833" max="13838" width="10.125" style="14" customWidth="1"/>
    <col min="13839" max="13843" width="9" style="14"/>
    <col min="13844" max="13844" width="14.25" style="14" customWidth="1"/>
    <col min="13845" max="13846" width="11.25" style="14" customWidth="1"/>
    <col min="13847" max="14080" width="9" style="14"/>
    <col min="14081" max="14081" width="8" style="14" customWidth="1"/>
    <col min="14082" max="14083" width="10.625" style="14" customWidth="1"/>
    <col min="14084" max="14085" width="7.625" style="14" customWidth="1"/>
    <col min="14086" max="14086" width="11.625" style="14" customWidth="1"/>
    <col min="14087" max="14087" width="9" style="14"/>
    <col min="14088" max="14088" width="6.625" style="14" customWidth="1"/>
    <col min="14089" max="14094" width="10.125" style="14" customWidth="1"/>
    <col min="14095" max="14099" width="9" style="14"/>
    <col min="14100" max="14100" width="14.25" style="14" customWidth="1"/>
    <col min="14101" max="14102" width="11.25" style="14" customWidth="1"/>
    <col min="14103" max="14336" width="9" style="14"/>
    <col min="14337" max="14337" width="8" style="14" customWidth="1"/>
    <col min="14338" max="14339" width="10.625" style="14" customWidth="1"/>
    <col min="14340" max="14341" width="7.625" style="14" customWidth="1"/>
    <col min="14342" max="14342" width="11.625" style="14" customWidth="1"/>
    <col min="14343" max="14343" width="9" style="14"/>
    <col min="14344" max="14344" width="6.625" style="14" customWidth="1"/>
    <col min="14345" max="14350" width="10.125" style="14" customWidth="1"/>
    <col min="14351" max="14355" width="9" style="14"/>
    <col min="14356" max="14356" width="14.25" style="14" customWidth="1"/>
    <col min="14357" max="14358" width="11.25" style="14" customWidth="1"/>
    <col min="14359" max="14592" width="9" style="14"/>
    <col min="14593" max="14593" width="8" style="14" customWidth="1"/>
    <col min="14594" max="14595" width="10.625" style="14" customWidth="1"/>
    <col min="14596" max="14597" width="7.625" style="14" customWidth="1"/>
    <col min="14598" max="14598" width="11.625" style="14" customWidth="1"/>
    <col min="14599" max="14599" width="9" style="14"/>
    <col min="14600" max="14600" width="6.625" style="14" customWidth="1"/>
    <col min="14601" max="14606" width="10.125" style="14" customWidth="1"/>
    <col min="14607" max="14611" width="9" style="14"/>
    <col min="14612" max="14612" width="14.25" style="14" customWidth="1"/>
    <col min="14613" max="14614" width="11.25" style="14" customWidth="1"/>
    <col min="14615" max="14848" width="9" style="14"/>
    <col min="14849" max="14849" width="8" style="14" customWidth="1"/>
    <col min="14850" max="14851" width="10.625" style="14" customWidth="1"/>
    <col min="14852" max="14853" width="7.625" style="14" customWidth="1"/>
    <col min="14854" max="14854" width="11.625" style="14" customWidth="1"/>
    <col min="14855" max="14855" width="9" style="14"/>
    <col min="14856" max="14856" width="6.625" style="14" customWidth="1"/>
    <col min="14857" max="14862" width="10.125" style="14" customWidth="1"/>
    <col min="14863" max="14867" width="9" style="14"/>
    <col min="14868" max="14868" width="14.25" style="14" customWidth="1"/>
    <col min="14869" max="14870" width="11.25" style="14" customWidth="1"/>
    <col min="14871" max="15104" width="9" style="14"/>
    <col min="15105" max="15105" width="8" style="14" customWidth="1"/>
    <col min="15106" max="15107" width="10.625" style="14" customWidth="1"/>
    <col min="15108" max="15109" width="7.625" style="14" customWidth="1"/>
    <col min="15110" max="15110" width="11.625" style="14" customWidth="1"/>
    <col min="15111" max="15111" width="9" style="14"/>
    <col min="15112" max="15112" width="6.625" style="14" customWidth="1"/>
    <col min="15113" max="15118" width="10.125" style="14" customWidth="1"/>
    <col min="15119" max="15123" width="9" style="14"/>
    <col min="15124" max="15124" width="14.25" style="14" customWidth="1"/>
    <col min="15125" max="15126" width="11.25" style="14" customWidth="1"/>
    <col min="15127" max="15360" width="9" style="14"/>
    <col min="15361" max="15361" width="8" style="14" customWidth="1"/>
    <col min="15362" max="15363" width="10.625" style="14" customWidth="1"/>
    <col min="15364" max="15365" width="7.625" style="14" customWidth="1"/>
    <col min="15366" max="15366" width="11.625" style="14" customWidth="1"/>
    <col min="15367" max="15367" width="9" style="14"/>
    <col min="15368" max="15368" width="6.625" style="14" customWidth="1"/>
    <col min="15369" max="15374" width="10.125" style="14" customWidth="1"/>
    <col min="15375" max="15379" width="9" style="14"/>
    <col min="15380" max="15380" width="14.25" style="14" customWidth="1"/>
    <col min="15381" max="15382" width="11.25" style="14" customWidth="1"/>
    <col min="15383" max="15616" width="9" style="14"/>
    <col min="15617" max="15617" width="8" style="14" customWidth="1"/>
    <col min="15618" max="15619" width="10.625" style="14" customWidth="1"/>
    <col min="15620" max="15621" width="7.625" style="14" customWidth="1"/>
    <col min="15622" max="15622" width="11.625" style="14" customWidth="1"/>
    <col min="15623" max="15623" width="9" style="14"/>
    <col min="15624" max="15624" width="6.625" style="14" customWidth="1"/>
    <col min="15625" max="15630" width="10.125" style="14" customWidth="1"/>
    <col min="15631" max="15635" width="9" style="14"/>
    <col min="15636" max="15636" width="14.25" style="14" customWidth="1"/>
    <col min="15637" max="15638" width="11.25" style="14" customWidth="1"/>
    <col min="15639" max="15872" width="9" style="14"/>
    <col min="15873" max="15873" width="8" style="14" customWidth="1"/>
    <col min="15874" max="15875" width="10.625" style="14" customWidth="1"/>
    <col min="15876" max="15877" width="7.625" style="14" customWidth="1"/>
    <col min="15878" max="15878" width="11.625" style="14" customWidth="1"/>
    <col min="15879" max="15879" width="9" style="14"/>
    <col min="15880" max="15880" width="6.625" style="14" customWidth="1"/>
    <col min="15881" max="15886" width="10.125" style="14" customWidth="1"/>
    <col min="15887" max="15891" width="9" style="14"/>
    <col min="15892" max="15892" width="14.25" style="14" customWidth="1"/>
    <col min="15893" max="15894" width="11.25" style="14" customWidth="1"/>
    <col min="15895" max="16128" width="9" style="14"/>
    <col min="16129" max="16129" width="8" style="14" customWidth="1"/>
    <col min="16130" max="16131" width="10.625" style="14" customWidth="1"/>
    <col min="16132" max="16133" width="7.625" style="14" customWidth="1"/>
    <col min="16134" max="16134" width="11.625" style="14" customWidth="1"/>
    <col min="16135" max="16135" width="9" style="14"/>
    <col min="16136" max="16136" width="6.625" style="14" customWidth="1"/>
    <col min="16137" max="16142" width="10.125" style="14" customWidth="1"/>
    <col min="16143" max="16147" width="9" style="14"/>
    <col min="16148" max="16148" width="14.25" style="14" customWidth="1"/>
    <col min="16149" max="16150" width="11.25" style="14" customWidth="1"/>
    <col min="16151" max="16384" width="9" style="14"/>
  </cols>
  <sheetData>
    <row r="1" spans="1:66" ht="31.5" thickBot="1" x14ac:dyDescent="0.5">
      <c r="A1" s="10" t="s">
        <v>19</v>
      </c>
      <c r="I1" s="13"/>
      <c r="J1" s="13"/>
      <c r="K1" s="13"/>
      <c r="L1" s="13"/>
      <c r="M1" s="13"/>
      <c r="N1" s="13"/>
      <c r="O1" s="13"/>
      <c r="Q1" s="13"/>
      <c r="AH1" s="16"/>
      <c r="AI1" s="16"/>
      <c r="AJ1" s="16"/>
      <c r="AK1" s="16"/>
      <c r="AL1" s="58" t="s">
        <v>43</v>
      </c>
      <c r="AM1" s="58" t="s">
        <v>44</v>
      </c>
      <c r="AN1" s="16"/>
      <c r="BC1" s="13"/>
      <c r="BD1" s="13"/>
      <c r="BE1" s="13"/>
      <c r="BF1" s="13"/>
      <c r="BG1" s="13"/>
      <c r="BH1" s="13"/>
      <c r="BI1" s="13"/>
      <c r="BJ1" s="13"/>
      <c r="BK1" s="13"/>
      <c r="BL1" s="13"/>
      <c r="BM1" s="13"/>
      <c r="BN1" s="13"/>
    </row>
    <row r="2" spans="1:66" s="20" customFormat="1" ht="39.75" customHeight="1" thickBot="1" x14ac:dyDescent="0.35">
      <c r="A2" s="17" t="s">
        <v>20</v>
      </c>
      <c r="B2" s="56" t="s">
        <v>43</v>
      </c>
      <c r="C2" s="57" t="s">
        <v>44</v>
      </c>
      <c r="D2" s="13"/>
      <c r="E2" s="19"/>
      <c r="F2" s="59" t="s">
        <v>21</v>
      </c>
      <c r="G2" s="60"/>
      <c r="I2" s="21"/>
      <c r="J2" s="21"/>
      <c r="K2" s="21"/>
      <c r="L2" s="21"/>
      <c r="M2" s="21"/>
      <c r="N2" s="21"/>
      <c r="O2" s="21"/>
      <c r="Q2" s="21"/>
      <c r="R2" s="13"/>
      <c r="S2" s="13"/>
      <c r="T2" s="13"/>
      <c r="U2" s="13"/>
      <c r="V2" s="13"/>
      <c r="W2" s="21"/>
      <c r="X2" s="21"/>
      <c r="Y2" s="13"/>
      <c r="Z2" s="13"/>
      <c r="AA2" s="13"/>
      <c r="AB2" s="13"/>
      <c r="AC2" s="13"/>
      <c r="AD2" s="13"/>
      <c r="AE2" s="13"/>
      <c r="AF2" s="13"/>
      <c r="AG2" s="13"/>
      <c r="AH2" s="16">
        <v>150</v>
      </c>
      <c r="AI2" s="16"/>
      <c r="AJ2" s="16"/>
      <c r="AK2" s="16">
        <v>150</v>
      </c>
      <c r="AL2" s="16">
        <v>0</v>
      </c>
      <c r="AM2" s="16">
        <v>0</v>
      </c>
      <c r="AN2" s="16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21"/>
      <c r="BD2" s="21"/>
      <c r="BE2" s="21"/>
      <c r="BF2" s="21"/>
      <c r="BG2" s="21"/>
      <c r="BH2" s="21"/>
      <c r="BI2" s="21"/>
      <c r="BJ2" s="21"/>
      <c r="BK2" s="21"/>
      <c r="BL2" s="21"/>
      <c r="BM2" s="21"/>
      <c r="BN2" s="21"/>
    </row>
    <row r="3" spans="1:66" ht="16.5" thickBot="1" x14ac:dyDescent="0.3">
      <c r="A3" s="22">
        <v>1</v>
      </c>
      <c r="B3" s="23">
        <v>345.96781545680926</v>
      </c>
      <c r="C3" s="24">
        <v>2068.7571090983301</v>
      </c>
      <c r="E3" s="25"/>
      <c r="F3" s="26">
        <v>10000</v>
      </c>
      <c r="G3" s="27" t="s">
        <v>22</v>
      </c>
      <c r="AH3" s="16">
        <v>200</v>
      </c>
      <c r="AI3" s="16"/>
      <c r="AJ3" s="16"/>
      <c r="AK3" s="16">
        <v>150</v>
      </c>
      <c r="AL3" s="16">
        <v>17</v>
      </c>
      <c r="AM3" s="16">
        <v>0</v>
      </c>
      <c r="AN3" s="16"/>
      <c r="BC3" s="13"/>
      <c r="BD3" s="13"/>
      <c r="BE3" s="13"/>
      <c r="BF3" s="13"/>
      <c r="BG3" s="13"/>
      <c r="BH3" s="13"/>
      <c r="BI3" s="13"/>
      <c r="BJ3" s="13"/>
      <c r="BK3" s="13"/>
      <c r="BL3" s="13"/>
      <c r="BM3" s="13"/>
      <c r="BN3" s="13"/>
    </row>
    <row r="4" spans="1:66" ht="16.5" thickBot="1" x14ac:dyDescent="0.3">
      <c r="A4" s="22">
        <v>2</v>
      </c>
      <c r="B4" s="23">
        <v>298.82989400069948</v>
      </c>
      <c r="C4" s="24">
        <v>2394.668918986747</v>
      </c>
      <c r="E4" s="25"/>
      <c r="F4" s="28">
        <v>58.999999961815774</v>
      </c>
      <c r="G4" s="29" t="s">
        <v>23</v>
      </c>
      <c r="I4" s="61" t="s">
        <v>36</v>
      </c>
      <c r="J4" s="62"/>
      <c r="K4" s="63" t="s">
        <v>37</v>
      </c>
      <c r="L4" s="64"/>
      <c r="M4" s="65" t="s">
        <v>24</v>
      </c>
      <c r="N4" s="66"/>
      <c r="P4" s="30"/>
      <c r="AH4" s="16">
        <v>250</v>
      </c>
      <c r="AI4" s="16"/>
      <c r="AJ4" s="16"/>
      <c r="AK4" s="16">
        <v>200</v>
      </c>
      <c r="AL4" s="16">
        <v>17</v>
      </c>
      <c r="AM4" s="16">
        <v>0</v>
      </c>
      <c r="AN4" s="16"/>
      <c r="BC4" s="13"/>
      <c r="BD4" s="13"/>
      <c r="BE4" s="13"/>
      <c r="BF4" s="13"/>
      <c r="BG4" s="13"/>
      <c r="BH4" s="13"/>
      <c r="BI4" s="13"/>
      <c r="BJ4" s="13"/>
      <c r="BK4" s="13"/>
      <c r="BL4" s="13"/>
      <c r="BM4" s="13"/>
      <c r="BN4" s="13"/>
    </row>
    <row r="5" spans="1:66" x14ac:dyDescent="0.25">
      <c r="A5" s="22">
        <v>3</v>
      </c>
      <c r="B5" s="23">
        <v>313.4889594514205</v>
      </c>
      <c r="C5" s="24">
        <v>2534.7720003273203</v>
      </c>
      <c r="E5" s="31"/>
      <c r="F5" s="32"/>
      <c r="G5" s="31"/>
      <c r="I5" s="33" t="s">
        <v>25</v>
      </c>
      <c r="J5" s="34">
        <v>349.55630563407624</v>
      </c>
      <c r="K5" s="35" t="s">
        <v>25</v>
      </c>
      <c r="L5" s="36">
        <v>2308.4998788805196</v>
      </c>
      <c r="M5" s="37"/>
      <c r="N5" s="38"/>
      <c r="P5" s="30"/>
      <c r="AH5" s="16">
        <v>300</v>
      </c>
      <c r="AI5" s="16"/>
      <c r="AJ5" s="16"/>
      <c r="AK5" s="16">
        <v>200</v>
      </c>
      <c r="AL5" s="16">
        <v>416</v>
      </c>
      <c r="AM5" s="16">
        <v>0</v>
      </c>
      <c r="AN5" s="16"/>
      <c r="BC5" s="13"/>
      <c r="BD5" s="13"/>
      <c r="BE5" s="13"/>
      <c r="BF5" s="13"/>
      <c r="BG5" s="13"/>
      <c r="BH5" s="13"/>
      <c r="BI5" s="13"/>
      <c r="BJ5" s="13"/>
      <c r="BK5" s="13"/>
      <c r="BL5" s="13"/>
      <c r="BM5" s="13"/>
      <c r="BN5" s="13"/>
    </row>
    <row r="6" spans="1:66" x14ac:dyDescent="0.25">
      <c r="A6" s="22">
        <v>4</v>
      </c>
      <c r="B6" s="23">
        <v>367.77584680311372</v>
      </c>
      <c r="C6" s="24">
        <v>2213.3865827261725</v>
      </c>
      <c r="I6" s="33" t="s">
        <v>26</v>
      </c>
      <c r="J6" s="39">
        <v>64.745470174373452</v>
      </c>
      <c r="K6" s="35" t="s">
        <v>26</v>
      </c>
      <c r="L6" s="40">
        <v>312.49896528142818</v>
      </c>
      <c r="M6" s="41"/>
      <c r="N6" s="42"/>
      <c r="AH6" s="16">
        <v>350</v>
      </c>
      <c r="AI6" s="16"/>
      <c r="AJ6" s="16"/>
      <c r="AK6" s="16">
        <v>250</v>
      </c>
      <c r="AL6" s="16">
        <v>416</v>
      </c>
      <c r="AM6" s="16">
        <v>0</v>
      </c>
      <c r="AN6" s="16"/>
      <c r="BC6" s="13"/>
      <c r="BD6" s="13"/>
      <c r="BE6" s="13"/>
      <c r="BF6" s="13"/>
      <c r="BG6" s="13"/>
      <c r="BH6" s="13"/>
      <c r="BI6" s="13"/>
      <c r="BJ6" s="13"/>
      <c r="BK6" s="13"/>
      <c r="BL6" s="13"/>
      <c r="BM6" s="13"/>
      <c r="BN6" s="13"/>
    </row>
    <row r="7" spans="1:66" x14ac:dyDescent="0.25">
      <c r="A7" s="22">
        <v>5</v>
      </c>
      <c r="B7" s="23">
        <v>382.34480241960574</v>
      </c>
      <c r="C7" s="24">
        <v>2110.4876280116036</v>
      </c>
      <c r="F7" s="43"/>
      <c r="I7" s="33" t="s">
        <v>27</v>
      </c>
      <c r="J7" s="34">
        <v>704.7651128897113</v>
      </c>
      <c r="K7" s="35" t="s">
        <v>27</v>
      </c>
      <c r="L7" s="36">
        <v>3604.2437520663434</v>
      </c>
      <c r="M7" s="25"/>
      <c r="N7" s="44"/>
      <c r="AH7" s="16">
        <v>400</v>
      </c>
      <c r="AI7" s="16"/>
      <c r="AJ7" s="16"/>
      <c r="AK7" s="16">
        <v>250</v>
      </c>
      <c r="AL7" s="16">
        <v>1873</v>
      </c>
      <c r="AM7" s="16">
        <v>0</v>
      </c>
      <c r="AN7" s="16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</row>
    <row r="8" spans="1:66" ht="16.5" thickBot="1" x14ac:dyDescent="0.3">
      <c r="A8" s="22">
        <v>6</v>
      </c>
      <c r="B8" s="23">
        <v>237.10862895590935</v>
      </c>
      <c r="C8" s="24">
        <v>2202.701345613692</v>
      </c>
      <c r="F8" s="43"/>
      <c r="I8" s="45" t="s">
        <v>28</v>
      </c>
      <c r="J8" s="46">
        <v>157.45233601517907</v>
      </c>
      <c r="K8" s="47" t="s">
        <v>28</v>
      </c>
      <c r="L8" s="48">
        <v>1281.1095321607195</v>
      </c>
      <c r="M8" s="49"/>
      <c r="N8" s="50"/>
      <c r="AH8" s="16">
        <v>450</v>
      </c>
      <c r="AI8" s="16"/>
      <c r="AJ8" s="16"/>
      <c r="AK8" s="16">
        <v>300</v>
      </c>
      <c r="AL8" s="16">
        <v>1873</v>
      </c>
      <c r="AM8" s="16">
        <v>0</v>
      </c>
      <c r="AN8" s="16"/>
      <c r="BC8" s="13"/>
      <c r="BD8" s="13"/>
      <c r="BE8" s="13"/>
      <c r="BF8" s="13"/>
      <c r="BG8" s="13"/>
      <c r="BH8" s="13"/>
      <c r="BI8" s="13"/>
      <c r="BJ8" s="13"/>
      <c r="BK8" s="13"/>
      <c r="BL8" s="13"/>
      <c r="BM8" s="13"/>
      <c r="BN8" s="13"/>
    </row>
    <row r="9" spans="1:66" x14ac:dyDescent="0.25">
      <c r="A9" s="22">
        <v>7</v>
      </c>
      <c r="B9" s="23">
        <v>275.15463449466517</v>
      </c>
      <c r="C9" s="24">
        <v>2021.1923092952891</v>
      </c>
      <c r="F9" s="43"/>
      <c r="I9" s="31"/>
      <c r="J9" s="51"/>
      <c r="K9" s="31"/>
      <c r="L9" s="31"/>
      <c r="M9" s="31"/>
      <c r="N9" s="31"/>
      <c r="AH9" s="16">
        <v>500</v>
      </c>
      <c r="AI9" s="16"/>
      <c r="AJ9" s="16"/>
      <c r="AK9" s="16">
        <v>300</v>
      </c>
      <c r="AL9" s="16">
        <v>3046</v>
      </c>
      <c r="AM9" s="16">
        <v>0</v>
      </c>
      <c r="AN9" s="16"/>
      <c r="BC9" s="13"/>
      <c r="BD9" s="13"/>
      <c r="BE9" s="13"/>
      <c r="BF9" s="13"/>
      <c r="BG9" s="13"/>
      <c r="BH9" s="13"/>
      <c r="BI9" s="13"/>
      <c r="BJ9" s="13"/>
      <c r="BK9" s="13"/>
      <c r="BL9" s="13"/>
      <c r="BM9" s="13"/>
      <c r="BN9" s="13"/>
    </row>
    <row r="10" spans="1:66" x14ac:dyDescent="0.25">
      <c r="A10" s="22">
        <v>8</v>
      </c>
      <c r="B10" s="23">
        <v>324.23899567654126</v>
      </c>
      <c r="C10" s="24">
        <v>2506.087736142028</v>
      </c>
      <c r="F10" s="43"/>
      <c r="I10" s="25"/>
      <c r="J10" s="51"/>
      <c r="K10" s="31"/>
      <c r="L10" s="31"/>
      <c r="M10" s="31"/>
      <c r="N10" s="31"/>
      <c r="P10" s="30"/>
      <c r="AH10" s="16">
        <v>550</v>
      </c>
      <c r="AI10" s="16"/>
      <c r="AJ10" s="16"/>
      <c r="AK10" s="16">
        <v>350</v>
      </c>
      <c r="AL10" s="16">
        <v>3046</v>
      </c>
      <c r="AM10" s="16">
        <v>0</v>
      </c>
      <c r="AN10" s="16"/>
      <c r="BC10" s="13"/>
      <c r="BD10" s="13"/>
      <c r="BE10" s="13"/>
      <c r="BF10" s="13"/>
      <c r="BG10" s="13"/>
      <c r="BH10" s="13"/>
      <c r="BI10" s="13"/>
      <c r="BJ10" s="13"/>
      <c r="BK10" s="13"/>
      <c r="BL10" s="13"/>
      <c r="BM10" s="13"/>
      <c r="BN10" s="13"/>
    </row>
    <row r="11" spans="1:66" x14ac:dyDescent="0.25">
      <c r="A11" s="22">
        <v>9</v>
      </c>
      <c r="B11" s="23">
        <v>428.36538584196774</v>
      </c>
      <c r="C11" s="24">
        <v>2186.1323768957263</v>
      </c>
      <c r="I11" s="31"/>
      <c r="J11" s="51"/>
      <c r="K11" s="31"/>
      <c r="L11" s="31"/>
      <c r="M11" s="31"/>
      <c r="N11" s="31"/>
      <c r="P11" s="30"/>
      <c r="AH11" s="16">
        <v>600</v>
      </c>
      <c r="AI11" s="16"/>
      <c r="AJ11" s="16"/>
      <c r="AK11" s="16">
        <v>350</v>
      </c>
      <c r="AL11" s="16">
        <v>2605</v>
      </c>
      <c r="AM11" s="16">
        <v>0</v>
      </c>
      <c r="AN11" s="16"/>
      <c r="BC11" s="13"/>
      <c r="BD11" s="13"/>
      <c r="BE11" s="13"/>
      <c r="BF11" s="13"/>
      <c r="BG11" s="13"/>
      <c r="BH11" s="13"/>
      <c r="BI11" s="13"/>
      <c r="BJ11" s="13"/>
      <c r="BK11" s="13"/>
      <c r="BL11" s="13"/>
      <c r="BM11" s="13"/>
      <c r="BN11" s="13"/>
    </row>
    <row r="12" spans="1:66" x14ac:dyDescent="0.25">
      <c r="A12" s="22">
        <v>10</v>
      </c>
      <c r="B12" s="23">
        <v>282.43274094036155</v>
      </c>
      <c r="C12" s="24">
        <v>1964.4429241726057</v>
      </c>
      <c r="I12" s="31"/>
      <c r="J12" s="31"/>
      <c r="K12" s="31"/>
      <c r="L12" s="31"/>
      <c r="M12" s="31"/>
      <c r="N12" s="31"/>
      <c r="P12" s="30"/>
      <c r="AH12" s="16">
        <v>650</v>
      </c>
      <c r="AI12" s="16"/>
      <c r="AJ12" s="16"/>
      <c r="AK12" s="16">
        <v>400</v>
      </c>
      <c r="AL12" s="16">
        <v>2605</v>
      </c>
      <c r="AM12" s="16">
        <v>0</v>
      </c>
      <c r="AN12" s="16"/>
      <c r="BC12" s="13"/>
      <c r="BD12" s="13"/>
      <c r="BE12" s="13"/>
      <c r="BF12" s="13"/>
      <c r="BG12" s="13"/>
      <c r="BH12" s="13"/>
      <c r="BI12" s="13"/>
      <c r="BJ12" s="13"/>
      <c r="BK12" s="13"/>
      <c r="BL12" s="13"/>
      <c r="BM12" s="13"/>
      <c r="BN12" s="13"/>
    </row>
    <row r="13" spans="1:66" x14ac:dyDescent="0.25">
      <c r="A13" s="22">
        <v>11</v>
      </c>
      <c r="B13" s="23">
        <v>351.52358786231417</v>
      </c>
      <c r="C13" s="24">
        <v>1499.932103616185</v>
      </c>
      <c r="I13" s="31"/>
      <c r="J13" s="31"/>
      <c r="K13" s="31"/>
      <c r="L13" s="31"/>
      <c r="M13" s="31"/>
      <c r="N13" s="31"/>
      <c r="AH13" s="16">
        <v>700</v>
      </c>
      <c r="AI13" s="16"/>
      <c r="AJ13" s="16"/>
      <c r="AK13" s="16">
        <v>400</v>
      </c>
      <c r="AL13" s="16">
        <v>1346</v>
      </c>
      <c r="AM13" s="16">
        <v>0</v>
      </c>
      <c r="AN13" s="16"/>
      <c r="BC13" s="13"/>
      <c r="BD13" s="13"/>
      <c r="BE13" s="13"/>
      <c r="BF13" s="13"/>
      <c r="BG13" s="13"/>
      <c r="BH13" s="13"/>
      <c r="BI13" s="13"/>
      <c r="BJ13" s="13"/>
      <c r="BK13" s="13"/>
      <c r="BL13" s="13"/>
      <c r="BM13" s="13"/>
      <c r="BN13" s="13"/>
    </row>
    <row r="14" spans="1:66" x14ac:dyDescent="0.25">
      <c r="A14" s="22">
        <v>12</v>
      </c>
      <c r="B14" s="23">
        <v>329.26690069557623</v>
      </c>
      <c r="C14" s="24">
        <v>2028.7118248571753</v>
      </c>
      <c r="E14" s="52"/>
      <c r="I14" s="31"/>
      <c r="J14" s="31"/>
      <c r="K14" s="31"/>
      <c r="L14" s="31"/>
      <c r="M14" s="31"/>
      <c r="N14" s="31"/>
      <c r="AH14" s="16">
        <v>750</v>
      </c>
      <c r="AI14" s="16"/>
      <c r="AJ14" s="16"/>
      <c r="AK14" s="16">
        <v>450</v>
      </c>
      <c r="AL14" s="16">
        <v>1346</v>
      </c>
      <c r="AM14" s="16">
        <v>0</v>
      </c>
      <c r="AN14" s="16"/>
      <c r="BC14" s="13"/>
      <c r="BD14" s="13"/>
      <c r="BE14" s="13"/>
      <c r="BF14" s="13"/>
      <c r="BG14" s="13"/>
      <c r="BH14" s="13"/>
      <c r="BI14" s="13"/>
      <c r="BJ14" s="13"/>
      <c r="BK14" s="13"/>
      <c r="BL14" s="13"/>
      <c r="BM14" s="13"/>
      <c r="BN14" s="13"/>
    </row>
    <row r="15" spans="1:66" x14ac:dyDescent="0.25">
      <c r="A15" s="22">
        <v>13</v>
      </c>
      <c r="B15" s="23">
        <v>315.10661126674665</v>
      </c>
      <c r="C15" s="24">
        <v>2720.3716332717463</v>
      </c>
      <c r="E15" s="52"/>
      <c r="I15" s="31"/>
      <c r="J15" s="31"/>
      <c r="K15" s="31"/>
      <c r="L15" s="31"/>
      <c r="M15" s="31"/>
      <c r="N15" s="31"/>
      <c r="AH15" s="16"/>
      <c r="AI15" s="16"/>
      <c r="AJ15" s="16"/>
      <c r="AK15" s="16">
        <v>450</v>
      </c>
      <c r="AL15" s="16">
        <v>500</v>
      </c>
      <c r="AM15" s="16">
        <v>0</v>
      </c>
      <c r="AN15" s="16"/>
      <c r="BC15" s="13"/>
      <c r="BD15" s="13"/>
      <c r="BE15" s="13"/>
      <c r="BF15" s="13"/>
      <c r="BG15" s="13"/>
      <c r="BH15" s="13"/>
      <c r="BI15" s="13"/>
      <c r="BJ15" s="13"/>
      <c r="BK15" s="13"/>
      <c r="BL15" s="13"/>
      <c r="BM15" s="13"/>
      <c r="BN15" s="13"/>
    </row>
    <row r="16" spans="1:66" x14ac:dyDescent="0.25">
      <c r="A16" s="22">
        <v>14</v>
      </c>
      <c r="B16" s="23">
        <v>427.93916661435412</v>
      </c>
      <c r="C16" s="24">
        <v>2575.9559689681641</v>
      </c>
      <c r="E16" s="52"/>
      <c r="I16" s="31"/>
      <c r="J16" s="31"/>
      <c r="K16" s="31"/>
      <c r="L16" s="31"/>
      <c r="M16" s="31"/>
      <c r="N16" s="31"/>
      <c r="AH16" s="16"/>
      <c r="AI16" s="16"/>
      <c r="AJ16" s="16"/>
      <c r="AK16" s="16">
        <v>500</v>
      </c>
      <c r="AL16" s="16">
        <v>500</v>
      </c>
      <c r="AM16" s="16">
        <v>0</v>
      </c>
      <c r="AN16" s="16"/>
      <c r="BC16" s="13"/>
      <c r="BD16" s="13"/>
      <c r="BE16" s="13"/>
      <c r="BF16" s="13"/>
      <c r="BG16" s="13"/>
      <c r="BH16" s="13"/>
      <c r="BI16" s="13"/>
      <c r="BJ16" s="13"/>
      <c r="BK16" s="13"/>
      <c r="BL16" s="13"/>
      <c r="BM16" s="13"/>
      <c r="BN16" s="13"/>
    </row>
    <row r="17" spans="1:66" x14ac:dyDescent="0.25">
      <c r="A17" s="22">
        <v>15</v>
      </c>
      <c r="B17" s="23">
        <v>220.82563502382996</v>
      </c>
      <c r="C17" s="24">
        <v>2455.2594180715032</v>
      </c>
      <c r="I17" s="31"/>
      <c r="J17" s="31"/>
      <c r="K17" s="31"/>
      <c r="L17" s="31"/>
      <c r="M17" s="31"/>
      <c r="N17" s="31"/>
      <c r="AH17" s="16"/>
      <c r="AI17" s="16"/>
      <c r="AJ17" s="16"/>
      <c r="AK17" s="16">
        <v>500</v>
      </c>
      <c r="AL17" s="16">
        <v>146</v>
      </c>
      <c r="AM17" s="16">
        <v>0</v>
      </c>
      <c r="AN17" s="16"/>
      <c r="BC17" s="13"/>
      <c r="BD17" s="13"/>
      <c r="BE17" s="13"/>
      <c r="BF17" s="13"/>
      <c r="BG17" s="13"/>
      <c r="BH17" s="13"/>
      <c r="BI17" s="13"/>
      <c r="BJ17" s="13"/>
      <c r="BK17" s="13"/>
      <c r="BL17" s="13"/>
      <c r="BM17" s="13"/>
      <c r="BN17" s="13"/>
    </row>
    <row r="18" spans="1:66" x14ac:dyDescent="0.25">
      <c r="A18" s="22">
        <v>16</v>
      </c>
      <c r="B18" s="23">
        <v>333.07400156984374</v>
      </c>
      <c r="C18" s="24">
        <v>2343.1262243657484</v>
      </c>
      <c r="I18" s="31"/>
      <c r="J18" s="31"/>
      <c r="K18" s="31"/>
      <c r="L18" s="31"/>
      <c r="M18" s="31"/>
      <c r="N18" s="31"/>
      <c r="AH18" s="16"/>
      <c r="AI18" s="16"/>
      <c r="AJ18" s="16"/>
      <c r="AK18" s="16">
        <v>550</v>
      </c>
      <c r="AL18" s="16">
        <v>146</v>
      </c>
      <c r="AM18" s="16">
        <v>0</v>
      </c>
      <c r="AN18" s="16"/>
      <c r="BC18" s="13"/>
      <c r="BD18" s="13"/>
      <c r="BE18" s="13"/>
      <c r="BF18" s="13"/>
      <c r="BG18" s="13"/>
      <c r="BH18" s="13"/>
      <c r="BI18" s="13"/>
      <c r="BJ18" s="13"/>
      <c r="BK18" s="13"/>
      <c r="BL18" s="13"/>
      <c r="BM18" s="13"/>
      <c r="BN18" s="13"/>
    </row>
    <row r="19" spans="1:66" x14ac:dyDescent="0.25">
      <c r="A19" s="22">
        <v>17</v>
      </c>
      <c r="B19" s="23">
        <v>302.91548004947197</v>
      </c>
      <c r="C19" s="24">
        <v>2495.9922728953488</v>
      </c>
      <c r="F19" s="53">
        <v>1</v>
      </c>
      <c r="I19" s="31"/>
      <c r="J19" s="31"/>
      <c r="K19" s="31"/>
      <c r="L19" s="31"/>
      <c r="M19" s="31"/>
      <c r="N19" s="31"/>
      <c r="AH19" s="16"/>
      <c r="AI19" s="16"/>
      <c r="AJ19" s="16"/>
      <c r="AK19" s="16">
        <v>550</v>
      </c>
      <c r="AL19" s="16">
        <v>39</v>
      </c>
      <c r="AM19" s="16">
        <v>0</v>
      </c>
      <c r="AN19" s="16"/>
      <c r="BC19" s="13"/>
      <c r="BD19" s="13"/>
      <c r="BE19" s="13"/>
      <c r="BF19" s="13"/>
      <c r="BG19" s="13"/>
      <c r="BH19" s="13"/>
      <c r="BI19" s="13"/>
      <c r="BJ19" s="13"/>
      <c r="BK19" s="13"/>
      <c r="BL19" s="13"/>
      <c r="BM19" s="13"/>
      <c r="BN19" s="13"/>
    </row>
    <row r="20" spans="1:66" x14ac:dyDescent="0.25">
      <c r="A20" s="22">
        <v>18</v>
      </c>
      <c r="B20" s="23">
        <v>208.38340981554629</v>
      </c>
      <c r="C20" s="24">
        <v>2281.019939187061</v>
      </c>
      <c r="I20" s="31"/>
      <c r="J20" s="31"/>
      <c r="K20" s="31"/>
      <c r="L20" s="31"/>
      <c r="M20" s="31"/>
      <c r="N20" s="31"/>
      <c r="AH20" s="16"/>
      <c r="AI20" s="16"/>
      <c r="AJ20" s="16"/>
      <c r="AK20" s="16">
        <v>600</v>
      </c>
      <c r="AL20" s="16">
        <v>39</v>
      </c>
      <c r="AM20" s="16">
        <v>0</v>
      </c>
      <c r="AN20" s="16"/>
      <c r="BC20" s="13"/>
      <c r="BD20" s="13"/>
      <c r="BE20" s="13"/>
      <c r="BF20" s="13"/>
      <c r="BG20" s="13"/>
      <c r="BH20" s="13"/>
      <c r="BI20" s="13"/>
      <c r="BJ20" s="13"/>
      <c r="BK20" s="13"/>
      <c r="BL20" s="13"/>
      <c r="BM20" s="13"/>
      <c r="BN20" s="13"/>
    </row>
    <row r="21" spans="1:66" x14ac:dyDescent="0.25">
      <c r="A21" s="22">
        <v>19</v>
      </c>
      <c r="B21" s="23">
        <v>348.69786710281454</v>
      </c>
      <c r="C21" s="24">
        <v>1387.6014618122399</v>
      </c>
      <c r="I21" s="31"/>
      <c r="J21" s="31"/>
      <c r="K21" s="31"/>
      <c r="L21" s="31"/>
      <c r="M21" s="31"/>
      <c r="N21" s="31"/>
      <c r="AH21" s="16"/>
      <c r="AI21" s="16"/>
      <c r="AJ21" s="16"/>
      <c r="AK21" s="16">
        <v>600</v>
      </c>
      <c r="AL21" s="16">
        <v>11</v>
      </c>
      <c r="AM21" s="16">
        <v>0</v>
      </c>
      <c r="AN21" s="16"/>
      <c r="BC21" s="13"/>
      <c r="BD21" s="13"/>
      <c r="BE21" s="13"/>
      <c r="BF21" s="13"/>
      <c r="BG21" s="13"/>
      <c r="BH21" s="13"/>
      <c r="BI21" s="13"/>
      <c r="BJ21" s="13"/>
      <c r="BK21" s="13"/>
      <c r="BL21" s="13"/>
      <c r="BM21" s="13"/>
      <c r="BN21" s="13"/>
    </row>
    <row r="22" spans="1:66" x14ac:dyDescent="0.25">
      <c r="A22" s="22">
        <v>20</v>
      </c>
      <c r="B22" s="23">
        <v>284.18484277587999</v>
      </c>
      <c r="C22" s="24">
        <v>1814.6216218049681</v>
      </c>
      <c r="I22" s="31"/>
      <c r="J22" s="31"/>
      <c r="K22" s="31"/>
      <c r="L22" s="31"/>
      <c r="M22" s="31"/>
      <c r="N22" s="31"/>
      <c r="AH22" s="16"/>
      <c r="AI22" s="16"/>
      <c r="AJ22" s="16"/>
      <c r="AK22" s="16">
        <v>650</v>
      </c>
      <c r="AL22" s="16">
        <v>11</v>
      </c>
      <c r="AM22" s="16">
        <v>0</v>
      </c>
      <c r="AN22" s="16"/>
      <c r="BC22" s="13"/>
      <c r="BD22" s="13"/>
      <c r="BE22" s="13"/>
      <c r="BF22" s="13"/>
      <c r="BG22" s="13"/>
      <c r="BH22" s="13"/>
      <c r="BI22" s="13"/>
      <c r="BJ22" s="13"/>
      <c r="BK22" s="13"/>
      <c r="BL22" s="13"/>
      <c r="BM22" s="13"/>
      <c r="BN22" s="13"/>
    </row>
    <row r="23" spans="1:66" x14ac:dyDescent="0.25">
      <c r="A23" s="22">
        <v>21</v>
      </c>
      <c r="B23" s="23">
        <v>306.88757257245322</v>
      </c>
      <c r="C23" s="24">
        <v>2203.8248073883883</v>
      </c>
      <c r="AH23" s="16"/>
      <c r="AI23" s="16"/>
      <c r="AJ23" s="16"/>
      <c r="AK23" s="16">
        <v>650</v>
      </c>
      <c r="AL23" s="16">
        <v>0</v>
      </c>
      <c r="AM23" s="16">
        <v>0</v>
      </c>
      <c r="AN23" s="16"/>
      <c r="BC23" s="13"/>
      <c r="BD23" s="13"/>
      <c r="BE23" s="13"/>
      <c r="BF23" s="13"/>
      <c r="BG23" s="13"/>
      <c r="BH23" s="13"/>
      <c r="BI23" s="13"/>
      <c r="BJ23" s="13"/>
      <c r="BK23" s="13"/>
      <c r="BL23" s="13"/>
      <c r="BM23" s="13"/>
      <c r="BN23" s="13"/>
    </row>
    <row r="24" spans="1:66" x14ac:dyDescent="0.25">
      <c r="A24" s="22">
        <v>22</v>
      </c>
      <c r="B24" s="23">
        <v>288.74943307020402</v>
      </c>
      <c r="C24" s="24">
        <v>2423.9078770699307</v>
      </c>
      <c r="I24" s="54"/>
      <c r="AH24" s="16"/>
      <c r="AI24" s="16"/>
      <c r="AJ24" s="16"/>
      <c r="AK24" s="16">
        <v>700</v>
      </c>
      <c r="AL24" s="16">
        <v>0</v>
      </c>
      <c r="AM24" s="16">
        <v>0</v>
      </c>
      <c r="AN24" s="16"/>
      <c r="BC24" s="13"/>
      <c r="BD24" s="13"/>
      <c r="BE24" s="13"/>
      <c r="BF24" s="13"/>
      <c r="BG24" s="13"/>
      <c r="BH24" s="13"/>
      <c r="BI24" s="13"/>
      <c r="BJ24" s="13"/>
      <c r="BK24" s="13"/>
      <c r="BL24" s="13"/>
      <c r="BM24" s="13"/>
      <c r="BN24" s="13"/>
    </row>
    <row r="25" spans="1:66" x14ac:dyDescent="0.25">
      <c r="A25" s="22">
        <v>23</v>
      </c>
      <c r="B25" s="23">
        <v>311.03676433006655</v>
      </c>
      <c r="C25" s="24">
        <v>2380.6198200628869</v>
      </c>
      <c r="AH25" s="16"/>
      <c r="AI25" s="16"/>
      <c r="AJ25" s="16"/>
      <c r="AK25" s="16">
        <v>700</v>
      </c>
      <c r="AL25" s="16">
        <v>1</v>
      </c>
      <c r="AM25" s="16">
        <v>0</v>
      </c>
      <c r="AN25" s="16"/>
      <c r="BC25" s="13"/>
      <c r="BD25" s="13"/>
      <c r="BE25" s="13"/>
      <c r="BF25" s="13"/>
      <c r="BG25" s="13"/>
      <c r="BH25" s="13"/>
      <c r="BI25" s="13"/>
      <c r="BJ25" s="13"/>
      <c r="BK25" s="13"/>
      <c r="BL25" s="13"/>
      <c r="BM25" s="13"/>
      <c r="BN25" s="13"/>
    </row>
    <row r="26" spans="1:66" x14ac:dyDescent="0.25">
      <c r="A26" s="22">
        <v>24</v>
      </c>
      <c r="B26" s="23">
        <v>462.94447271365533</v>
      </c>
      <c r="C26" s="24">
        <v>2115.7835118875551</v>
      </c>
      <c r="AH26" s="16"/>
      <c r="AI26" s="16"/>
      <c r="AJ26" s="16"/>
      <c r="AK26" s="16">
        <v>750</v>
      </c>
      <c r="AL26" s="16">
        <v>1</v>
      </c>
      <c r="AM26" s="16">
        <v>0</v>
      </c>
      <c r="AN26" s="16"/>
      <c r="BC26" s="13"/>
      <c r="BD26" s="13"/>
      <c r="BE26" s="13"/>
      <c r="BF26" s="13"/>
      <c r="BG26" s="13"/>
      <c r="BH26" s="13"/>
      <c r="BI26" s="13"/>
      <c r="BJ26" s="13"/>
      <c r="BK26" s="13"/>
      <c r="BL26" s="13"/>
      <c r="BM26" s="13"/>
      <c r="BN26" s="13"/>
    </row>
    <row r="27" spans="1:66" x14ac:dyDescent="0.25">
      <c r="A27" s="22">
        <v>25</v>
      </c>
      <c r="B27" s="23">
        <v>286.26285931655082</v>
      </c>
      <c r="C27" s="24">
        <v>2534.4061151594587</v>
      </c>
      <c r="AH27" s="16"/>
      <c r="AI27" s="16"/>
      <c r="AJ27" s="16"/>
      <c r="AK27" s="16">
        <v>750</v>
      </c>
      <c r="AL27" s="16">
        <v>0</v>
      </c>
      <c r="AM27" s="16">
        <v>0</v>
      </c>
      <c r="AN27" s="16"/>
      <c r="BC27" s="13"/>
      <c r="BD27" s="13"/>
      <c r="BE27" s="13"/>
      <c r="BF27" s="13"/>
      <c r="BG27" s="13"/>
      <c r="BH27" s="13"/>
      <c r="BI27" s="13"/>
      <c r="BJ27" s="13"/>
      <c r="BK27" s="13"/>
      <c r="BL27" s="13"/>
      <c r="BM27" s="13"/>
      <c r="BN27" s="13"/>
    </row>
    <row r="28" spans="1:66" x14ac:dyDescent="0.25">
      <c r="A28" s="22">
        <v>26</v>
      </c>
      <c r="B28" s="23">
        <v>392.01034792507966</v>
      </c>
      <c r="C28" s="24">
        <v>2086.704195347696</v>
      </c>
      <c r="AH28" s="16"/>
      <c r="AI28" s="16"/>
      <c r="AJ28" s="16"/>
      <c r="AK28" s="16">
        <v>800</v>
      </c>
      <c r="AL28" s="16"/>
      <c r="AM28" s="16">
        <v>0</v>
      </c>
      <c r="AN28" s="16"/>
      <c r="BC28" s="13"/>
      <c r="BD28" s="13"/>
      <c r="BE28" s="13"/>
      <c r="BF28" s="13"/>
      <c r="BG28" s="13"/>
      <c r="BH28" s="13"/>
      <c r="BI28" s="13"/>
      <c r="BJ28" s="13"/>
      <c r="BK28" s="13"/>
      <c r="BL28" s="13"/>
      <c r="BM28" s="13"/>
      <c r="BN28" s="13"/>
    </row>
    <row r="29" spans="1:66" x14ac:dyDescent="0.25">
      <c r="A29" s="22">
        <v>27</v>
      </c>
      <c r="B29" s="23">
        <v>262.81246902112252</v>
      </c>
      <c r="C29" s="24">
        <v>2074.9068798963817</v>
      </c>
      <c r="AH29" s="16"/>
      <c r="AI29" s="16"/>
      <c r="AJ29" s="16"/>
      <c r="AK29" s="16">
        <v>800</v>
      </c>
      <c r="AL29" s="16"/>
      <c r="AM29" s="16">
        <v>0</v>
      </c>
      <c r="AN29" s="16"/>
      <c r="BC29" s="13"/>
      <c r="BD29" s="13"/>
      <c r="BE29" s="13"/>
      <c r="BF29" s="13"/>
      <c r="BG29" s="13"/>
      <c r="BH29" s="13"/>
      <c r="BI29" s="13"/>
      <c r="BJ29" s="13"/>
      <c r="BK29" s="13"/>
      <c r="BL29" s="13"/>
      <c r="BM29" s="13"/>
      <c r="BN29" s="13"/>
    </row>
    <row r="30" spans="1:66" x14ac:dyDescent="0.25">
      <c r="A30" s="22">
        <v>28</v>
      </c>
      <c r="B30" s="23">
        <v>410.67523816709513</v>
      </c>
      <c r="C30" s="24">
        <v>2156.265789867809</v>
      </c>
      <c r="AH30" s="16"/>
      <c r="AI30" s="16"/>
      <c r="AJ30" s="16"/>
      <c r="AK30" s="16">
        <v>850</v>
      </c>
      <c r="AL30" s="16"/>
      <c r="AM30" s="16">
        <v>0</v>
      </c>
      <c r="AN30" s="16"/>
      <c r="BC30" s="13"/>
      <c r="BD30" s="13"/>
      <c r="BE30" s="13"/>
      <c r="BF30" s="13"/>
      <c r="BG30" s="13"/>
      <c r="BH30" s="13"/>
      <c r="BI30" s="13"/>
      <c r="BJ30" s="13"/>
      <c r="BK30" s="13"/>
      <c r="BL30" s="13"/>
      <c r="BM30" s="13"/>
      <c r="BN30" s="13"/>
    </row>
    <row r="31" spans="1:66" x14ac:dyDescent="0.25">
      <c r="A31" s="22">
        <v>29</v>
      </c>
      <c r="B31" s="23">
        <v>274.74416689379893</v>
      </c>
      <c r="C31" s="24">
        <v>2354.804443718207</v>
      </c>
      <c r="AH31" s="16"/>
      <c r="AI31" s="16"/>
      <c r="AJ31" s="16"/>
      <c r="AK31" s="16">
        <v>850</v>
      </c>
      <c r="AL31" s="16"/>
      <c r="AM31" s="16">
        <v>0</v>
      </c>
      <c r="AN31" s="16"/>
      <c r="BC31" s="13"/>
      <c r="BD31" s="13"/>
      <c r="BE31" s="13"/>
      <c r="BF31" s="13"/>
      <c r="BG31" s="13"/>
      <c r="BH31" s="13"/>
      <c r="BI31" s="13"/>
      <c r="BJ31" s="13"/>
      <c r="BK31" s="13"/>
      <c r="BL31" s="13"/>
      <c r="BM31" s="13"/>
      <c r="BN31" s="13"/>
    </row>
    <row r="32" spans="1:66" x14ac:dyDescent="0.25">
      <c r="A32" s="22">
        <v>30</v>
      </c>
      <c r="B32" s="23">
        <v>314.55326901720946</v>
      </c>
      <c r="C32" s="24">
        <v>2552.8734143969523</v>
      </c>
      <c r="AH32" s="16"/>
      <c r="AI32" s="16"/>
      <c r="AJ32" s="16"/>
      <c r="AK32" s="16">
        <v>900</v>
      </c>
      <c r="AL32" s="16"/>
      <c r="AM32" s="16">
        <v>0</v>
      </c>
      <c r="AN32" s="16"/>
      <c r="BC32" s="13"/>
      <c r="BD32" s="13"/>
      <c r="BE32" s="13"/>
      <c r="BF32" s="13"/>
      <c r="BG32" s="13"/>
      <c r="BH32" s="13"/>
      <c r="BI32" s="13"/>
      <c r="BJ32" s="13"/>
      <c r="BK32" s="13"/>
      <c r="BL32" s="13"/>
      <c r="BM32" s="13"/>
      <c r="BN32" s="13"/>
    </row>
    <row r="33" spans="1:66" x14ac:dyDescent="0.25">
      <c r="A33" s="22">
        <v>31</v>
      </c>
      <c r="B33" s="23">
        <v>321.14984889716231</v>
      </c>
      <c r="C33" s="24">
        <v>2900.5459938696417</v>
      </c>
      <c r="AH33" s="16"/>
      <c r="AI33" s="16"/>
      <c r="AJ33" s="16"/>
      <c r="AK33" s="16">
        <v>900</v>
      </c>
      <c r="AL33" s="16"/>
      <c r="AM33" s="16">
        <v>0</v>
      </c>
      <c r="AN33" s="16"/>
      <c r="BC33" s="13"/>
      <c r="BD33" s="13"/>
      <c r="BE33" s="13"/>
      <c r="BF33" s="13"/>
      <c r="BG33" s="13"/>
      <c r="BH33" s="13"/>
      <c r="BI33" s="13"/>
      <c r="BJ33" s="13"/>
      <c r="BK33" s="13"/>
      <c r="BL33" s="13"/>
      <c r="BM33" s="13"/>
      <c r="BN33" s="13"/>
    </row>
    <row r="34" spans="1:66" x14ac:dyDescent="0.25">
      <c r="A34" s="22">
        <v>32</v>
      </c>
      <c r="B34" s="23">
        <v>249.37691999887281</v>
      </c>
      <c r="C34" s="24">
        <v>2302.65383102653</v>
      </c>
      <c r="AH34" s="16"/>
      <c r="AI34" s="16"/>
      <c r="AJ34" s="16"/>
      <c r="AK34" s="16">
        <v>950</v>
      </c>
      <c r="AL34" s="16"/>
      <c r="AM34" s="16">
        <v>0</v>
      </c>
      <c r="AN34" s="16"/>
      <c r="BC34" s="13"/>
      <c r="BD34" s="13"/>
      <c r="BE34" s="13"/>
      <c r="BF34" s="13"/>
      <c r="BG34" s="13"/>
      <c r="BH34" s="13"/>
      <c r="BI34" s="13"/>
      <c r="BJ34" s="13"/>
      <c r="BK34" s="13"/>
      <c r="BL34" s="13"/>
      <c r="BM34" s="13"/>
      <c r="BN34" s="13"/>
    </row>
    <row r="35" spans="1:66" x14ac:dyDescent="0.25">
      <c r="A35" s="22">
        <v>33</v>
      </c>
      <c r="B35" s="23">
        <v>248.37619937447778</v>
      </c>
      <c r="C35" s="24">
        <v>1955.0026057210137</v>
      </c>
      <c r="AH35" s="16"/>
      <c r="AI35" s="16"/>
      <c r="AJ35" s="16"/>
      <c r="AK35" s="16">
        <v>950</v>
      </c>
      <c r="AL35" s="16"/>
      <c r="AM35" s="16">
        <v>0</v>
      </c>
      <c r="AN35" s="16"/>
      <c r="BC35" s="13"/>
      <c r="BD35" s="13"/>
      <c r="BE35" s="13"/>
      <c r="BF35" s="13"/>
      <c r="BG35" s="13"/>
      <c r="BH35" s="13"/>
      <c r="BI35" s="13"/>
      <c r="BJ35" s="13"/>
      <c r="BK35" s="13"/>
      <c r="BL35" s="13"/>
      <c r="BM35" s="13"/>
      <c r="BN35" s="13"/>
    </row>
    <row r="36" spans="1:66" x14ac:dyDescent="0.25">
      <c r="A36" s="22">
        <v>34</v>
      </c>
      <c r="B36" s="23">
        <v>340.45091276754022</v>
      </c>
      <c r="C36" s="24">
        <v>2582.9925720088422</v>
      </c>
      <c r="AH36" s="16"/>
      <c r="AI36" s="16"/>
      <c r="AJ36" s="16"/>
      <c r="AK36" s="16">
        <v>1000</v>
      </c>
      <c r="AL36" s="16"/>
      <c r="AM36" s="16">
        <v>0</v>
      </c>
      <c r="AN36" s="16"/>
      <c r="BC36" s="13"/>
      <c r="BD36" s="13"/>
      <c r="BE36" s="13"/>
      <c r="BF36" s="13"/>
      <c r="BG36" s="13"/>
      <c r="BH36" s="13"/>
      <c r="BI36" s="13"/>
      <c r="BJ36" s="13"/>
      <c r="BK36" s="13"/>
      <c r="BL36" s="13"/>
      <c r="BM36" s="13"/>
      <c r="BN36" s="13"/>
    </row>
    <row r="37" spans="1:66" x14ac:dyDescent="0.25">
      <c r="A37" s="22">
        <v>35</v>
      </c>
      <c r="B37" s="23">
        <v>376.65406495930523</v>
      </c>
      <c r="C37" s="24">
        <v>3050.6121579758169</v>
      </c>
      <c r="AH37" s="16"/>
      <c r="AI37" s="16"/>
      <c r="AJ37" s="16"/>
      <c r="AK37" s="16">
        <v>1000</v>
      </c>
      <c r="AL37" s="16"/>
      <c r="AM37" s="16">
        <v>0</v>
      </c>
      <c r="AN37" s="16"/>
      <c r="BC37" s="13"/>
      <c r="BD37" s="13"/>
      <c r="BE37" s="13"/>
      <c r="BF37" s="13"/>
      <c r="BG37" s="13"/>
      <c r="BH37" s="13"/>
      <c r="BI37" s="13"/>
      <c r="BJ37" s="13"/>
      <c r="BK37" s="13"/>
      <c r="BL37" s="13"/>
      <c r="BM37" s="13"/>
      <c r="BN37" s="13"/>
    </row>
    <row r="38" spans="1:66" x14ac:dyDescent="0.25">
      <c r="A38" s="22">
        <v>36</v>
      </c>
      <c r="B38" s="23">
        <v>309.01586362413798</v>
      </c>
      <c r="C38" s="24">
        <v>2353.3394462849087</v>
      </c>
      <c r="AH38" s="16"/>
      <c r="AI38" s="16"/>
      <c r="AJ38" s="16"/>
      <c r="AK38" s="16">
        <v>1050</v>
      </c>
      <c r="AL38" s="16"/>
      <c r="AM38" s="16">
        <v>0</v>
      </c>
      <c r="AN38" s="16"/>
      <c r="BC38" s="13"/>
      <c r="BD38" s="13"/>
      <c r="BE38" s="13"/>
      <c r="BF38" s="13"/>
      <c r="BG38" s="13"/>
      <c r="BH38" s="13"/>
      <c r="BI38" s="13"/>
      <c r="BJ38" s="13"/>
      <c r="BK38" s="13"/>
      <c r="BL38" s="13"/>
      <c r="BM38" s="13"/>
      <c r="BN38" s="13"/>
    </row>
    <row r="39" spans="1:66" x14ac:dyDescent="0.25">
      <c r="A39" s="22">
        <v>37</v>
      </c>
      <c r="B39" s="23">
        <v>320.35178507545885</v>
      </c>
      <c r="C39" s="24">
        <v>2005.2582854194802</v>
      </c>
      <c r="AH39" s="16"/>
      <c r="AI39" s="16"/>
      <c r="AJ39" s="16"/>
      <c r="AK39" s="16">
        <v>1050</v>
      </c>
      <c r="AL39" s="16"/>
      <c r="AM39" s="16">
        <v>0</v>
      </c>
      <c r="AN39" s="16"/>
      <c r="BC39" s="13"/>
      <c r="BD39" s="13"/>
      <c r="BE39" s="13"/>
      <c r="BF39" s="13"/>
      <c r="BG39" s="13"/>
      <c r="BH39" s="13"/>
      <c r="BI39" s="13"/>
      <c r="BJ39" s="13"/>
      <c r="BK39" s="13"/>
      <c r="BL39" s="13"/>
      <c r="BM39" s="13"/>
      <c r="BN39" s="13"/>
    </row>
    <row r="40" spans="1:66" x14ac:dyDescent="0.25">
      <c r="A40" s="22">
        <v>38</v>
      </c>
      <c r="B40" s="23">
        <v>279.99209744614211</v>
      </c>
      <c r="C40" s="24">
        <v>2247.1865711958644</v>
      </c>
      <c r="AH40" s="16"/>
      <c r="AI40" s="16"/>
      <c r="AJ40" s="16"/>
      <c r="AK40" s="16">
        <v>1100</v>
      </c>
      <c r="AL40" s="16"/>
      <c r="AM40" s="16">
        <v>0</v>
      </c>
      <c r="AN40" s="16"/>
      <c r="BC40" s="13"/>
      <c r="BD40" s="13"/>
      <c r="BE40" s="13"/>
      <c r="BF40" s="13"/>
      <c r="BG40" s="13"/>
      <c r="BH40" s="13"/>
      <c r="BI40" s="13"/>
      <c r="BJ40" s="13"/>
      <c r="BK40" s="13"/>
      <c r="BL40" s="13"/>
      <c r="BM40" s="13"/>
      <c r="BN40" s="13"/>
    </row>
    <row r="41" spans="1:66" x14ac:dyDescent="0.25">
      <c r="A41" s="22">
        <v>39</v>
      </c>
      <c r="B41" s="23">
        <v>350.07757500736932</v>
      </c>
      <c r="C41" s="24">
        <v>2300.9214793064161</v>
      </c>
      <c r="AH41" s="16"/>
      <c r="AI41" s="16"/>
      <c r="AJ41" s="16"/>
      <c r="AK41" s="16">
        <v>1100</v>
      </c>
      <c r="AL41" s="16"/>
      <c r="AM41" s="16">
        <v>0</v>
      </c>
      <c r="AN41" s="16"/>
      <c r="BC41" s="13"/>
      <c r="BD41" s="13"/>
      <c r="BE41" s="13"/>
      <c r="BF41" s="13"/>
      <c r="BG41" s="13"/>
      <c r="BH41" s="13"/>
      <c r="BI41" s="13"/>
      <c r="BJ41" s="13"/>
      <c r="BK41" s="13"/>
      <c r="BL41" s="13"/>
      <c r="BM41" s="13"/>
      <c r="BN41" s="13"/>
    </row>
    <row r="42" spans="1:66" x14ac:dyDescent="0.25">
      <c r="A42" s="22">
        <v>40</v>
      </c>
      <c r="B42" s="23">
        <v>342.28503596963833</v>
      </c>
      <c r="C42" s="24">
        <v>2603.6481008551555</v>
      </c>
      <c r="AH42" s="16"/>
      <c r="AI42" s="16"/>
      <c r="AJ42" s="16"/>
      <c r="AK42" s="16">
        <v>1150</v>
      </c>
      <c r="AL42" s="16"/>
      <c r="AM42" s="16">
        <v>0</v>
      </c>
      <c r="AN42" s="16"/>
      <c r="BC42" s="13"/>
      <c r="BD42" s="13"/>
      <c r="BE42" s="13"/>
      <c r="BF42" s="13"/>
      <c r="BG42" s="13"/>
      <c r="BH42" s="13"/>
      <c r="BI42" s="13"/>
      <c r="BJ42" s="13"/>
      <c r="BK42" s="13"/>
      <c r="BL42" s="13"/>
      <c r="BM42" s="13"/>
      <c r="BN42" s="13"/>
    </row>
    <row r="43" spans="1:66" x14ac:dyDescent="0.25">
      <c r="A43" s="22">
        <v>41</v>
      </c>
      <c r="B43" s="23">
        <v>229.50494319005199</v>
      </c>
      <c r="C43" s="24">
        <v>2507.5931711778994</v>
      </c>
      <c r="AH43" s="16"/>
      <c r="AI43" s="16"/>
      <c r="AJ43" s="16"/>
      <c r="AK43" s="16">
        <v>1150</v>
      </c>
      <c r="AL43" s="16"/>
      <c r="AM43" s="16">
        <v>0</v>
      </c>
      <c r="AN43" s="16"/>
      <c r="BC43" s="13"/>
      <c r="BD43" s="13"/>
      <c r="BE43" s="13"/>
      <c r="BF43" s="13"/>
      <c r="BG43" s="13"/>
      <c r="BH43" s="13"/>
      <c r="BI43" s="13"/>
      <c r="BJ43" s="13"/>
      <c r="BK43" s="13"/>
      <c r="BL43" s="13"/>
      <c r="BM43" s="13"/>
      <c r="BN43" s="13"/>
    </row>
    <row r="44" spans="1:66" x14ac:dyDescent="0.25">
      <c r="A44" s="22">
        <v>42</v>
      </c>
      <c r="B44" s="23">
        <v>515.77414160912588</v>
      </c>
      <c r="C44" s="24">
        <v>2311.5602331812597</v>
      </c>
      <c r="AH44" s="16"/>
      <c r="AI44" s="16"/>
      <c r="AJ44" s="16"/>
      <c r="AK44" s="16">
        <v>1200</v>
      </c>
      <c r="AL44" s="16"/>
      <c r="AM44" s="16">
        <v>0</v>
      </c>
      <c r="AN44" s="16"/>
      <c r="BC44" s="13"/>
      <c r="BD44" s="13"/>
      <c r="BE44" s="13"/>
      <c r="BF44" s="13"/>
      <c r="BG44" s="13"/>
      <c r="BH44" s="13"/>
      <c r="BI44" s="13"/>
      <c r="BJ44" s="13"/>
      <c r="BK44" s="13"/>
      <c r="BL44" s="13"/>
      <c r="BM44" s="13"/>
      <c r="BN44" s="13"/>
    </row>
    <row r="45" spans="1:66" x14ac:dyDescent="0.25">
      <c r="A45" s="22">
        <v>43</v>
      </c>
      <c r="B45" s="23">
        <v>443.13263873013216</v>
      </c>
      <c r="C45" s="24">
        <v>2393.8821460433805</v>
      </c>
      <c r="AH45" s="16"/>
      <c r="AI45" s="16"/>
      <c r="AJ45" s="16"/>
      <c r="AK45" s="16">
        <v>1200</v>
      </c>
      <c r="AL45" s="16"/>
      <c r="AM45" s="16">
        <v>0</v>
      </c>
      <c r="AN45" s="16"/>
      <c r="BC45" s="13"/>
      <c r="BD45" s="13"/>
      <c r="BE45" s="13"/>
      <c r="BF45" s="13"/>
      <c r="BG45" s="13"/>
      <c r="BH45" s="13"/>
      <c r="BI45" s="13"/>
      <c r="BJ45" s="13"/>
      <c r="BK45" s="13"/>
      <c r="BL45" s="13"/>
      <c r="BM45" s="13"/>
      <c r="BN45" s="13"/>
    </row>
    <row r="46" spans="1:66" x14ac:dyDescent="0.25">
      <c r="A46" s="22">
        <v>44</v>
      </c>
      <c r="B46" s="23">
        <v>376.58469271250237</v>
      </c>
      <c r="C46" s="24">
        <v>2421.4775230878927</v>
      </c>
      <c r="I46" s="54"/>
      <c r="AH46" s="16"/>
      <c r="AI46" s="16"/>
      <c r="AJ46" s="16"/>
      <c r="AK46" s="16">
        <v>1250</v>
      </c>
      <c r="AL46" s="16"/>
      <c r="AM46" s="16">
        <v>0</v>
      </c>
      <c r="AN46" s="16"/>
      <c r="BC46" s="13"/>
      <c r="BD46" s="13"/>
      <c r="BE46" s="13"/>
      <c r="BF46" s="13"/>
      <c r="BG46" s="13"/>
      <c r="BH46" s="13"/>
      <c r="BI46" s="13"/>
      <c r="BJ46" s="13"/>
      <c r="BK46" s="13"/>
      <c r="BL46" s="13"/>
      <c r="BM46" s="13"/>
      <c r="BN46" s="13"/>
    </row>
    <row r="47" spans="1:66" x14ac:dyDescent="0.25">
      <c r="A47" s="22">
        <v>45</v>
      </c>
      <c r="B47" s="23">
        <v>412.68185698855018</v>
      </c>
      <c r="C47" s="24">
        <v>2433.6074615097759</v>
      </c>
      <c r="AH47" s="16"/>
      <c r="AI47" s="16"/>
      <c r="AJ47" s="16"/>
      <c r="AK47" s="16">
        <v>1250</v>
      </c>
      <c r="AL47" s="16"/>
      <c r="AM47" s="16">
        <v>2</v>
      </c>
      <c r="AN47" s="16"/>
      <c r="BC47" s="13"/>
      <c r="BD47" s="13"/>
      <c r="BE47" s="13"/>
      <c r="BF47" s="13"/>
      <c r="BG47" s="13"/>
      <c r="BH47" s="13"/>
      <c r="BI47" s="13"/>
      <c r="BJ47" s="13"/>
      <c r="BK47" s="13"/>
      <c r="BL47" s="13"/>
      <c r="BM47" s="13"/>
      <c r="BN47" s="13"/>
    </row>
    <row r="48" spans="1:66" x14ac:dyDescent="0.25">
      <c r="A48" s="22">
        <v>46</v>
      </c>
      <c r="B48" s="23">
        <v>386.02143708135657</v>
      </c>
      <c r="C48" s="24">
        <v>2405.4888642566593</v>
      </c>
      <c r="AH48" s="16"/>
      <c r="AI48" s="16"/>
      <c r="AJ48" s="16"/>
      <c r="AK48" s="16">
        <v>1300</v>
      </c>
      <c r="AL48" s="16"/>
      <c r="AM48" s="16">
        <v>2</v>
      </c>
      <c r="AN48" s="16"/>
      <c r="BC48" s="13"/>
      <c r="BD48" s="13"/>
      <c r="BE48" s="13"/>
      <c r="BF48" s="13"/>
      <c r="BG48" s="13"/>
      <c r="BH48" s="13"/>
      <c r="BI48" s="13"/>
      <c r="BJ48" s="13"/>
      <c r="BK48" s="13"/>
      <c r="BL48" s="13"/>
      <c r="BM48" s="13"/>
      <c r="BN48" s="13"/>
    </row>
    <row r="49" spans="1:66" x14ac:dyDescent="0.25">
      <c r="A49" s="22">
        <v>47</v>
      </c>
      <c r="B49" s="23">
        <v>358.78340689059843</v>
      </c>
      <c r="C49" s="24">
        <v>2375.4306152584363</v>
      </c>
      <c r="AH49" s="16"/>
      <c r="AI49" s="16"/>
      <c r="AJ49" s="16"/>
      <c r="AK49" s="16">
        <v>1300</v>
      </c>
      <c r="AL49" s="16"/>
      <c r="AM49" s="16">
        <v>1</v>
      </c>
      <c r="AN49" s="16"/>
      <c r="BC49" s="13"/>
      <c r="BD49" s="13"/>
      <c r="BE49" s="13"/>
      <c r="BF49" s="13"/>
      <c r="BG49" s="13"/>
      <c r="BH49" s="13"/>
      <c r="BI49" s="13"/>
      <c r="BJ49" s="13"/>
      <c r="BK49" s="13"/>
      <c r="BL49" s="13"/>
      <c r="BM49" s="13"/>
      <c r="BN49" s="13"/>
    </row>
    <row r="50" spans="1:66" x14ac:dyDescent="0.25">
      <c r="A50" s="22">
        <v>48</v>
      </c>
      <c r="B50" s="23">
        <v>325.37320993160614</v>
      </c>
      <c r="C50" s="24">
        <v>2447.4986778795578</v>
      </c>
      <c r="AH50" s="16"/>
      <c r="AI50" s="16"/>
      <c r="AJ50" s="16"/>
      <c r="AK50" s="16">
        <v>1350</v>
      </c>
      <c r="AL50" s="16"/>
      <c r="AM50" s="16">
        <v>1</v>
      </c>
      <c r="AN50" s="16"/>
      <c r="BC50" s="13"/>
      <c r="BD50" s="13"/>
      <c r="BE50" s="13"/>
      <c r="BF50" s="13"/>
      <c r="BG50" s="13"/>
      <c r="BH50" s="13"/>
      <c r="BI50" s="13"/>
      <c r="BJ50" s="13"/>
      <c r="BK50" s="13"/>
      <c r="BL50" s="13"/>
      <c r="BM50" s="13"/>
      <c r="BN50" s="13"/>
    </row>
    <row r="51" spans="1:66" x14ac:dyDescent="0.25">
      <c r="A51" s="22">
        <v>49</v>
      </c>
      <c r="B51" s="23">
        <v>420.54081756588522</v>
      </c>
      <c r="C51" s="24">
        <v>1920.1007181266996</v>
      </c>
      <c r="AH51" s="16"/>
      <c r="AI51" s="16"/>
      <c r="AJ51" s="16"/>
      <c r="AK51" s="16">
        <v>1350</v>
      </c>
      <c r="AL51" s="16"/>
      <c r="AM51" s="16">
        <v>2</v>
      </c>
      <c r="AN51" s="16"/>
      <c r="BC51" s="13"/>
      <c r="BD51" s="13"/>
      <c r="BE51" s="13"/>
      <c r="BF51" s="13"/>
      <c r="BG51" s="13"/>
      <c r="BH51" s="13"/>
      <c r="BI51" s="13"/>
      <c r="BJ51" s="13"/>
      <c r="BK51" s="13"/>
      <c r="BL51" s="13"/>
      <c r="BM51" s="13"/>
      <c r="BN51" s="13"/>
    </row>
    <row r="52" spans="1:66" x14ac:dyDescent="0.25">
      <c r="A52" s="22">
        <v>50</v>
      </c>
      <c r="B52" s="23">
        <v>448.64762526190708</v>
      </c>
      <c r="C52" s="24">
        <v>1865.0838212888896</v>
      </c>
      <c r="AH52" s="16"/>
      <c r="AI52" s="16"/>
      <c r="AJ52" s="16"/>
      <c r="AK52" s="16">
        <v>1400</v>
      </c>
      <c r="AL52" s="16"/>
      <c r="AM52" s="16">
        <v>2</v>
      </c>
      <c r="AN52" s="16"/>
      <c r="BC52" s="13"/>
      <c r="BD52" s="13"/>
      <c r="BE52" s="13"/>
      <c r="BF52" s="13"/>
      <c r="BG52" s="13"/>
      <c r="BH52" s="13"/>
      <c r="BI52" s="13"/>
      <c r="BJ52" s="13"/>
      <c r="BK52" s="13"/>
      <c r="BL52" s="13"/>
      <c r="BM52" s="13"/>
      <c r="BN52" s="13"/>
    </row>
    <row r="53" spans="1:66" x14ac:dyDescent="0.25">
      <c r="A53" s="22">
        <v>51</v>
      </c>
      <c r="B53" s="23">
        <v>315.0461128758991</v>
      </c>
      <c r="C53" s="24">
        <v>2303.7338003603568</v>
      </c>
      <c r="AH53" s="16"/>
      <c r="AI53" s="16"/>
      <c r="AJ53" s="16"/>
      <c r="AK53" s="16">
        <v>1400</v>
      </c>
      <c r="AL53" s="16"/>
      <c r="AM53" s="16">
        <v>0</v>
      </c>
      <c r="AN53" s="16"/>
      <c r="BC53" s="13"/>
      <c r="BD53" s="13"/>
      <c r="BE53" s="13"/>
      <c r="BF53" s="13"/>
      <c r="BG53" s="13"/>
      <c r="BH53" s="13"/>
      <c r="BI53" s="13"/>
      <c r="BJ53" s="13"/>
      <c r="BK53" s="13"/>
      <c r="BL53" s="13"/>
      <c r="BM53" s="13"/>
      <c r="BN53" s="13"/>
    </row>
    <row r="54" spans="1:66" x14ac:dyDescent="0.25">
      <c r="A54" s="22">
        <v>52</v>
      </c>
      <c r="B54" s="23">
        <v>352.98093697321207</v>
      </c>
      <c r="C54" s="24">
        <v>2490.5652227661531</v>
      </c>
      <c r="AH54" s="16"/>
      <c r="AI54" s="16"/>
      <c r="AJ54" s="16"/>
      <c r="AK54" s="16">
        <v>1450</v>
      </c>
      <c r="AL54" s="16"/>
      <c r="AM54" s="16">
        <v>0</v>
      </c>
      <c r="AN54" s="16"/>
      <c r="BC54" s="13"/>
      <c r="BD54" s="13"/>
      <c r="BE54" s="13"/>
      <c r="BF54" s="13"/>
      <c r="BG54" s="13"/>
      <c r="BH54" s="13"/>
      <c r="BI54" s="13"/>
      <c r="BJ54" s="13"/>
      <c r="BK54" s="13"/>
      <c r="BL54" s="13"/>
      <c r="BM54" s="13"/>
      <c r="BN54" s="13"/>
    </row>
    <row r="55" spans="1:66" x14ac:dyDescent="0.25">
      <c r="A55" s="22">
        <v>53</v>
      </c>
      <c r="B55" s="23">
        <v>348.62366852399703</v>
      </c>
      <c r="C55" s="24">
        <v>1892.1797167524742</v>
      </c>
      <c r="AH55" s="16"/>
      <c r="AI55" s="16"/>
      <c r="AJ55" s="16"/>
      <c r="AK55" s="16">
        <v>1450</v>
      </c>
      <c r="AL55" s="16"/>
      <c r="AM55" s="16">
        <v>9</v>
      </c>
      <c r="AN55" s="16"/>
      <c r="BC55" s="13"/>
      <c r="BD55" s="13"/>
      <c r="BE55" s="13"/>
      <c r="BF55" s="13"/>
      <c r="BG55" s="13"/>
      <c r="BH55" s="13"/>
      <c r="BI55" s="13"/>
      <c r="BJ55" s="13"/>
      <c r="BK55" s="13"/>
      <c r="BL55" s="13"/>
      <c r="BM55" s="13"/>
      <c r="BN55" s="13"/>
    </row>
    <row r="56" spans="1:66" x14ac:dyDescent="0.25">
      <c r="A56" s="22">
        <v>54</v>
      </c>
      <c r="B56" s="23">
        <v>312.45688963078851</v>
      </c>
      <c r="C56" s="24">
        <v>2520.4923291776145</v>
      </c>
      <c r="AH56" s="16"/>
      <c r="AI56" s="16"/>
      <c r="AJ56" s="16"/>
      <c r="AK56" s="16">
        <v>1500</v>
      </c>
      <c r="AL56" s="16"/>
      <c r="AM56" s="16">
        <v>9</v>
      </c>
      <c r="AN56" s="16"/>
      <c r="BC56" s="13"/>
      <c r="BD56" s="13"/>
      <c r="BE56" s="13"/>
      <c r="BF56" s="13"/>
      <c r="BG56" s="13"/>
      <c r="BH56" s="13"/>
      <c r="BI56" s="13"/>
      <c r="BJ56" s="13"/>
      <c r="BK56" s="13"/>
      <c r="BL56" s="13"/>
      <c r="BM56" s="13"/>
      <c r="BN56" s="13"/>
    </row>
    <row r="57" spans="1:66" x14ac:dyDescent="0.25">
      <c r="A57" s="22">
        <v>55</v>
      </c>
      <c r="B57" s="23">
        <v>339.34228268423078</v>
      </c>
      <c r="C57" s="24">
        <v>1900.0073160945844</v>
      </c>
      <c r="AH57" s="16"/>
      <c r="AI57" s="16"/>
      <c r="AJ57" s="16"/>
      <c r="AK57" s="16">
        <v>1500</v>
      </c>
      <c r="AL57" s="16"/>
      <c r="AM57" s="16">
        <v>13</v>
      </c>
      <c r="AN57" s="16"/>
      <c r="BC57" s="13"/>
      <c r="BD57" s="13"/>
      <c r="BE57" s="13"/>
      <c r="BF57" s="13"/>
      <c r="BG57" s="13"/>
      <c r="BH57" s="13"/>
      <c r="BI57" s="13"/>
      <c r="BJ57" s="13"/>
      <c r="BK57" s="13"/>
      <c r="BL57" s="13"/>
      <c r="BM57" s="13"/>
      <c r="BN57" s="13"/>
    </row>
    <row r="58" spans="1:66" x14ac:dyDescent="0.25">
      <c r="A58" s="22">
        <v>56</v>
      </c>
      <c r="B58" s="23">
        <v>264.04456262770839</v>
      </c>
      <c r="C58" s="24">
        <v>3157.1444644426906</v>
      </c>
      <c r="AH58" s="16"/>
      <c r="AI58" s="16"/>
      <c r="AJ58" s="16"/>
      <c r="AK58" s="16">
        <v>1550</v>
      </c>
      <c r="AL58" s="16"/>
      <c r="AM58" s="16">
        <v>13</v>
      </c>
      <c r="AN58" s="16"/>
      <c r="BC58" s="13"/>
      <c r="BD58" s="13"/>
      <c r="BE58" s="13"/>
      <c r="BF58" s="13"/>
      <c r="BG58" s="13"/>
      <c r="BH58" s="13"/>
      <c r="BI58" s="13"/>
      <c r="BJ58" s="13"/>
      <c r="BK58" s="13"/>
      <c r="BL58" s="13"/>
      <c r="BM58" s="13"/>
      <c r="BN58" s="13"/>
    </row>
    <row r="59" spans="1:66" x14ac:dyDescent="0.25">
      <c r="A59" s="22">
        <v>57</v>
      </c>
      <c r="B59" s="23">
        <v>316.60900173793181</v>
      </c>
      <c r="C59" s="24">
        <v>2626.7019995347873</v>
      </c>
      <c r="AH59" s="16"/>
      <c r="AI59" s="16"/>
      <c r="AJ59" s="16"/>
      <c r="AK59" s="16">
        <v>1550</v>
      </c>
      <c r="AL59" s="16"/>
      <c r="AM59" s="16">
        <v>26</v>
      </c>
      <c r="AN59" s="16"/>
      <c r="BC59" s="13"/>
      <c r="BD59" s="13"/>
      <c r="BE59" s="13"/>
      <c r="BF59" s="13"/>
      <c r="BG59" s="13"/>
      <c r="BH59" s="13"/>
      <c r="BI59" s="13"/>
      <c r="BJ59" s="13"/>
      <c r="BK59" s="13"/>
      <c r="BL59" s="13"/>
      <c r="BM59" s="13"/>
      <c r="BN59" s="13"/>
    </row>
    <row r="60" spans="1:66" x14ac:dyDescent="0.25">
      <c r="A60" s="22">
        <v>58</v>
      </c>
      <c r="B60" s="23">
        <v>523.98233296156957</v>
      </c>
      <c r="C60" s="24">
        <v>2362.0658345416027</v>
      </c>
      <c r="AH60" s="16"/>
      <c r="AI60" s="16"/>
      <c r="AJ60" s="16"/>
      <c r="AK60" s="16">
        <v>1600</v>
      </c>
      <c r="AL60" s="16"/>
      <c r="AM60" s="16">
        <v>26</v>
      </c>
      <c r="AN60" s="16"/>
      <c r="BC60" s="13"/>
      <c r="BD60" s="13"/>
      <c r="BE60" s="13"/>
      <c r="BF60" s="13"/>
      <c r="BG60" s="13"/>
      <c r="BH60" s="13"/>
      <c r="BI60" s="13"/>
      <c r="BJ60" s="13"/>
      <c r="BK60" s="13"/>
      <c r="BL60" s="13"/>
      <c r="BM60" s="13"/>
      <c r="BN60" s="13"/>
    </row>
    <row r="61" spans="1:66" x14ac:dyDescent="0.25">
      <c r="A61" s="22">
        <v>59</v>
      </c>
      <c r="B61" s="23">
        <v>388.14446980525133</v>
      </c>
      <c r="C61" s="24">
        <v>2227.1070064774503</v>
      </c>
      <c r="AH61" s="16"/>
      <c r="AI61" s="16"/>
      <c r="AJ61" s="16"/>
      <c r="AK61" s="16">
        <v>1600</v>
      </c>
      <c r="AL61" s="16"/>
      <c r="AM61" s="16">
        <v>53</v>
      </c>
      <c r="AN61" s="16"/>
      <c r="BC61" s="13"/>
      <c r="BD61" s="13"/>
      <c r="BE61" s="13"/>
      <c r="BF61" s="13"/>
      <c r="BG61" s="13"/>
      <c r="BH61" s="13"/>
      <c r="BI61" s="13"/>
      <c r="BJ61" s="13"/>
      <c r="BK61" s="13"/>
      <c r="BL61" s="13"/>
      <c r="BM61" s="13"/>
      <c r="BN61" s="13"/>
    </row>
    <row r="62" spans="1:66" x14ac:dyDescent="0.25">
      <c r="A62" s="22">
        <v>60</v>
      </c>
      <c r="B62" s="23">
        <v>412.33834926542255</v>
      </c>
      <c r="C62" s="24">
        <v>2449.0496197253833</v>
      </c>
      <c r="AH62" s="16"/>
      <c r="AI62" s="16"/>
      <c r="AJ62" s="16"/>
      <c r="AK62" s="16">
        <v>1650</v>
      </c>
      <c r="AL62" s="16"/>
      <c r="AM62" s="16">
        <v>53</v>
      </c>
      <c r="AN62" s="16"/>
      <c r="BC62" s="13"/>
      <c r="BD62" s="13"/>
      <c r="BE62" s="13"/>
      <c r="BF62" s="13"/>
      <c r="BG62" s="13"/>
      <c r="BH62" s="13"/>
      <c r="BI62" s="13"/>
      <c r="BJ62" s="13"/>
      <c r="BK62" s="13"/>
      <c r="BL62" s="13"/>
      <c r="BM62" s="13"/>
      <c r="BN62" s="13"/>
    </row>
    <row r="63" spans="1:66" x14ac:dyDescent="0.25">
      <c r="A63" s="22">
        <v>61</v>
      </c>
      <c r="B63" s="23">
        <v>419.26691879999413</v>
      </c>
      <c r="C63" s="24">
        <v>1921.2646480125663</v>
      </c>
      <c r="AH63" s="16"/>
      <c r="AI63" s="16"/>
      <c r="AJ63" s="16"/>
      <c r="AK63" s="16">
        <v>1650</v>
      </c>
      <c r="AL63" s="16"/>
      <c r="AM63" s="16">
        <v>74</v>
      </c>
      <c r="AN63" s="16"/>
      <c r="BC63" s="13"/>
      <c r="BD63" s="13"/>
      <c r="BE63" s="13"/>
      <c r="BF63" s="13"/>
      <c r="BG63" s="13"/>
      <c r="BH63" s="13"/>
      <c r="BI63" s="13"/>
      <c r="BJ63" s="13"/>
      <c r="BK63" s="13"/>
      <c r="BL63" s="13"/>
      <c r="BM63" s="13"/>
      <c r="BN63" s="13"/>
    </row>
    <row r="64" spans="1:66" x14ac:dyDescent="0.25">
      <c r="A64" s="22">
        <v>62</v>
      </c>
      <c r="B64" s="23">
        <v>338.3827233709444</v>
      </c>
      <c r="C64" s="24">
        <v>2042.5530550879791</v>
      </c>
      <c r="AH64" s="16"/>
      <c r="AI64" s="16"/>
      <c r="AJ64" s="16"/>
      <c r="AK64" s="16">
        <v>1700</v>
      </c>
      <c r="AL64" s="16"/>
      <c r="AM64" s="16">
        <v>74</v>
      </c>
      <c r="AN64" s="16"/>
      <c r="BC64" s="13"/>
      <c r="BD64" s="13"/>
      <c r="BE64" s="13"/>
      <c r="BF64" s="13"/>
      <c r="BG64" s="13"/>
      <c r="BH64" s="13"/>
      <c r="BI64" s="13"/>
      <c r="BJ64" s="13"/>
      <c r="BK64" s="13"/>
      <c r="BL64" s="13"/>
      <c r="BM64" s="13"/>
      <c r="BN64" s="13"/>
    </row>
    <row r="65" spans="1:66" x14ac:dyDescent="0.25">
      <c r="A65" s="22">
        <v>63</v>
      </c>
      <c r="B65" s="23">
        <v>385.41244319329383</v>
      </c>
      <c r="C65" s="24">
        <v>2197.118479742719</v>
      </c>
      <c r="AH65" s="16"/>
      <c r="AI65" s="16"/>
      <c r="AJ65" s="16"/>
      <c r="AK65" s="16">
        <v>1700</v>
      </c>
      <c r="AL65" s="16"/>
      <c r="AM65" s="16">
        <v>93</v>
      </c>
      <c r="AN65" s="16"/>
      <c r="BC65" s="13"/>
      <c r="BD65" s="13"/>
      <c r="BE65" s="13"/>
      <c r="BF65" s="13"/>
      <c r="BG65" s="13"/>
      <c r="BH65" s="13"/>
      <c r="BI65" s="13"/>
      <c r="BJ65" s="13"/>
      <c r="BK65" s="13"/>
      <c r="BL65" s="13"/>
      <c r="BM65" s="13"/>
      <c r="BN65" s="13"/>
    </row>
    <row r="66" spans="1:66" x14ac:dyDescent="0.25">
      <c r="A66" s="22">
        <v>64</v>
      </c>
      <c r="B66" s="23">
        <v>380.73388371528995</v>
      </c>
      <c r="C66" s="24">
        <v>2610.2235222490908</v>
      </c>
      <c r="AH66" s="16"/>
      <c r="AI66" s="16"/>
      <c r="AJ66" s="16"/>
      <c r="AK66" s="16">
        <v>1750</v>
      </c>
      <c r="AL66" s="16"/>
      <c r="AM66" s="16">
        <v>93</v>
      </c>
      <c r="AN66" s="16"/>
      <c r="BC66" s="13"/>
      <c r="BD66" s="13"/>
      <c r="BE66" s="13"/>
      <c r="BF66" s="13"/>
      <c r="BG66" s="13"/>
      <c r="BH66" s="13"/>
      <c r="BI66" s="13"/>
      <c r="BJ66" s="13"/>
      <c r="BK66" s="13"/>
      <c r="BL66" s="13"/>
      <c r="BM66" s="13"/>
      <c r="BN66" s="13"/>
    </row>
    <row r="67" spans="1:66" x14ac:dyDescent="0.25">
      <c r="A67" s="22">
        <v>65</v>
      </c>
      <c r="B67" s="23">
        <v>237.50671101309172</v>
      </c>
      <c r="C67" s="24">
        <v>2111.3729787141906</v>
      </c>
      <c r="AH67" s="16"/>
      <c r="AI67" s="16"/>
      <c r="AJ67" s="16"/>
      <c r="AK67" s="16">
        <v>1750</v>
      </c>
      <c r="AL67" s="16"/>
      <c r="AM67" s="16">
        <v>145</v>
      </c>
      <c r="AN67" s="16"/>
      <c r="BC67" s="13"/>
      <c r="BD67" s="13"/>
      <c r="BE67" s="13"/>
      <c r="BF67" s="13"/>
      <c r="BG67" s="13"/>
      <c r="BH67" s="13"/>
      <c r="BI67" s="13"/>
      <c r="BJ67" s="13"/>
      <c r="BK67" s="13"/>
      <c r="BL67" s="13"/>
      <c r="BM67" s="13"/>
      <c r="BN67" s="13"/>
    </row>
    <row r="68" spans="1:66" x14ac:dyDescent="0.25">
      <c r="A68" s="22">
        <v>66</v>
      </c>
      <c r="B68" s="23">
        <v>381.43796480607057</v>
      </c>
      <c r="C68" s="24">
        <v>2182.4105541690305</v>
      </c>
      <c r="AK68" s="13">
        <v>1800</v>
      </c>
      <c r="AM68" s="13">
        <v>145</v>
      </c>
      <c r="BC68" s="13"/>
      <c r="BD68" s="13"/>
      <c r="BE68" s="13"/>
      <c r="BF68" s="13"/>
      <c r="BG68" s="13"/>
      <c r="BH68" s="13"/>
      <c r="BI68" s="13"/>
      <c r="BJ68" s="13"/>
      <c r="BK68" s="13"/>
      <c r="BL68" s="13"/>
      <c r="BM68" s="13"/>
      <c r="BN68" s="13"/>
    </row>
    <row r="69" spans="1:66" x14ac:dyDescent="0.25">
      <c r="A69" s="22">
        <v>67</v>
      </c>
      <c r="B69" s="23">
        <v>197.60996316542014</v>
      </c>
      <c r="C69" s="24">
        <v>2303.4681014692669</v>
      </c>
      <c r="AK69" s="13">
        <v>1800</v>
      </c>
      <c r="AM69" s="13">
        <v>215</v>
      </c>
      <c r="BC69" s="13"/>
      <c r="BD69" s="13"/>
      <c r="BE69" s="13"/>
      <c r="BF69" s="13"/>
      <c r="BG69" s="13"/>
      <c r="BH69" s="13"/>
      <c r="BI69" s="13"/>
      <c r="BJ69" s="13"/>
      <c r="BK69" s="13"/>
      <c r="BL69" s="13"/>
      <c r="BM69" s="13"/>
      <c r="BN69" s="13"/>
    </row>
    <row r="70" spans="1:66" x14ac:dyDescent="0.25">
      <c r="A70" s="22">
        <v>68</v>
      </c>
      <c r="B70" s="23">
        <v>291.95531265940093</v>
      </c>
      <c r="C70" s="24">
        <v>2556.7206951004728</v>
      </c>
      <c r="AK70" s="13">
        <v>1850</v>
      </c>
      <c r="AM70" s="13">
        <v>215</v>
      </c>
      <c r="BC70" s="13"/>
      <c r="BD70" s="13"/>
      <c r="BE70" s="13"/>
      <c r="BF70" s="13"/>
      <c r="BG70" s="13"/>
      <c r="BH70" s="13"/>
      <c r="BI70" s="13"/>
      <c r="BJ70" s="13"/>
      <c r="BK70" s="13"/>
      <c r="BL70" s="13"/>
      <c r="BM70" s="13"/>
      <c r="BN70" s="13"/>
    </row>
    <row r="71" spans="1:66" x14ac:dyDescent="0.25">
      <c r="A71" s="22">
        <v>69</v>
      </c>
      <c r="B71" s="23">
        <v>312.31507593080005</v>
      </c>
      <c r="C71" s="24">
        <v>2090.5143950958941</v>
      </c>
      <c r="AK71" s="13">
        <v>1850</v>
      </c>
      <c r="AM71" s="13">
        <v>227</v>
      </c>
      <c r="BC71" s="13"/>
      <c r="BD71" s="13"/>
      <c r="BE71" s="13"/>
      <c r="BF71" s="13"/>
      <c r="BG71" s="13"/>
      <c r="BH71" s="13"/>
      <c r="BI71" s="13"/>
      <c r="BJ71" s="13"/>
      <c r="BK71" s="13"/>
      <c r="BL71" s="13"/>
      <c r="BM71" s="13"/>
      <c r="BN71" s="13"/>
    </row>
    <row r="72" spans="1:66" x14ac:dyDescent="0.25">
      <c r="A72" s="22">
        <v>70</v>
      </c>
      <c r="B72" s="23">
        <v>350.34214524774586</v>
      </c>
      <c r="C72" s="24">
        <v>3100.1675268796371</v>
      </c>
      <c r="AK72" s="13">
        <v>1900</v>
      </c>
      <c r="AM72" s="13">
        <v>227</v>
      </c>
      <c r="BC72" s="13"/>
      <c r="BD72" s="13"/>
      <c r="BE72" s="13"/>
      <c r="BF72" s="13"/>
      <c r="BG72" s="13"/>
      <c r="BH72" s="13"/>
      <c r="BI72" s="13"/>
      <c r="BJ72" s="13"/>
      <c r="BK72" s="13"/>
      <c r="BL72" s="13"/>
      <c r="BM72" s="13"/>
      <c r="BN72" s="13"/>
    </row>
    <row r="73" spans="1:66" x14ac:dyDescent="0.25">
      <c r="A73" s="22">
        <v>71</v>
      </c>
      <c r="B73" s="23">
        <v>375.99454493052724</v>
      </c>
      <c r="C73" s="24">
        <v>2145.6594237116287</v>
      </c>
      <c r="AK73" s="13">
        <v>1900</v>
      </c>
      <c r="AM73" s="13">
        <v>324</v>
      </c>
      <c r="BC73" s="13"/>
      <c r="BD73" s="13"/>
      <c r="BE73" s="13"/>
      <c r="BF73" s="13"/>
      <c r="BG73" s="13"/>
      <c r="BH73" s="13"/>
      <c r="BI73" s="13"/>
      <c r="BJ73" s="13"/>
      <c r="BK73" s="13"/>
      <c r="BL73" s="13"/>
      <c r="BM73" s="13"/>
      <c r="BN73" s="13"/>
    </row>
    <row r="74" spans="1:66" x14ac:dyDescent="0.25">
      <c r="A74" s="22">
        <v>72</v>
      </c>
      <c r="B74" s="23">
        <v>453.39921529365535</v>
      </c>
      <c r="C74" s="24">
        <v>2737.9203197432089</v>
      </c>
      <c r="AK74" s="13">
        <v>1950</v>
      </c>
      <c r="AM74" s="13">
        <v>324</v>
      </c>
      <c r="BC74" s="13"/>
      <c r="BD74" s="13"/>
      <c r="BE74" s="13"/>
      <c r="BF74" s="13"/>
      <c r="BG74" s="13"/>
      <c r="BH74" s="13"/>
      <c r="BI74" s="13"/>
      <c r="BJ74" s="13"/>
      <c r="BK74" s="13"/>
      <c r="BL74" s="13"/>
      <c r="BM74" s="13"/>
      <c r="BN74" s="13"/>
    </row>
    <row r="75" spans="1:66" x14ac:dyDescent="0.25">
      <c r="A75" s="22">
        <v>73</v>
      </c>
      <c r="B75" s="23">
        <v>303.90627857292509</v>
      </c>
      <c r="C75" s="24">
        <v>2502.4972938974538</v>
      </c>
      <c r="AK75" s="13">
        <v>1950</v>
      </c>
      <c r="AM75" s="13">
        <v>414</v>
      </c>
      <c r="BC75" s="13"/>
      <c r="BD75" s="13"/>
      <c r="BE75" s="13"/>
      <c r="BF75" s="13"/>
      <c r="BG75" s="13"/>
      <c r="BH75" s="13"/>
      <c r="BI75" s="13"/>
      <c r="BJ75" s="13"/>
      <c r="BK75" s="13"/>
      <c r="BL75" s="13"/>
      <c r="BM75" s="13"/>
      <c r="BN75" s="13"/>
    </row>
    <row r="76" spans="1:66" x14ac:dyDescent="0.25">
      <c r="A76" s="22">
        <v>74</v>
      </c>
      <c r="B76" s="23">
        <v>370.77464497409949</v>
      </c>
      <c r="C76" s="24">
        <v>2132.8833928401418</v>
      </c>
      <c r="AK76" s="13">
        <v>2000</v>
      </c>
      <c r="AM76" s="13">
        <v>414</v>
      </c>
      <c r="BC76" s="13"/>
      <c r="BD76" s="13"/>
      <c r="BE76" s="13"/>
      <c r="BF76" s="13"/>
      <c r="BG76" s="13"/>
      <c r="BH76" s="13"/>
      <c r="BI76" s="13"/>
      <c r="BJ76" s="13"/>
      <c r="BK76" s="13"/>
      <c r="BL76" s="13"/>
      <c r="BM76" s="13"/>
      <c r="BN76" s="13"/>
    </row>
    <row r="77" spans="1:66" x14ac:dyDescent="0.25">
      <c r="A77" s="22">
        <v>75</v>
      </c>
      <c r="B77" s="23">
        <v>452.61765738487117</v>
      </c>
      <c r="C77" s="24">
        <v>3088.6961887938637</v>
      </c>
      <c r="AK77" s="13">
        <v>2000</v>
      </c>
      <c r="AM77" s="13">
        <v>513</v>
      </c>
      <c r="BC77" s="13"/>
      <c r="BD77" s="13"/>
      <c r="BE77" s="13"/>
      <c r="BF77" s="13"/>
      <c r="BG77" s="13"/>
      <c r="BH77" s="13"/>
      <c r="BI77" s="13"/>
      <c r="BJ77" s="13"/>
      <c r="BK77" s="13"/>
      <c r="BL77" s="13"/>
      <c r="BM77" s="13"/>
      <c r="BN77" s="13"/>
    </row>
    <row r="78" spans="1:66" x14ac:dyDescent="0.25">
      <c r="A78" s="22">
        <v>76</v>
      </c>
      <c r="B78" s="23">
        <v>349.7710784708255</v>
      </c>
      <c r="C78" s="24">
        <v>2231.8191593791407</v>
      </c>
      <c r="AK78" s="13">
        <v>2050</v>
      </c>
      <c r="AM78" s="13">
        <v>513</v>
      </c>
      <c r="BC78" s="13"/>
      <c r="BD78" s="13"/>
      <c r="BE78" s="13"/>
      <c r="BF78" s="13"/>
      <c r="BG78" s="13"/>
      <c r="BH78" s="13"/>
      <c r="BI78" s="13"/>
      <c r="BJ78" s="13"/>
      <c r="BK78" s="13"/>
      <c r="BL78" s="13"/>
      <c r="BM78" s="13"/>
      <c r="BN78" s="13"/>
    </row>
    <row r="79" spans="1:66" x14ac:dyDescent="0.25">
      <c r="A79" s="22">
        <v>77</v>
      </c>
      <c r="B79" s="23">
        <v>357.81001906761082</v>
      </c>
      <c r="C79" s="24">
        <v>2390.3734766136922</v>
      </c>
      <c r="AK79" s="13">
        <v>2050</v>
      </c>
      <c r="AM79" s="13">
        <v>559</v>
      </c>
      <c r="BC79" s="13"/>
      <c r="BD79" s="13"/>
      <c r="BE79" s="13"/>
      <c r="BF79" s="13"/>
      <c r="BG79" s="13"/>
      <c r="BH79" s="13"/>
      <c r="BI79" s="13"/>
      <c r="BJ79" s="13"/>
      <c r="BK79" s="13"/>
      <c r="BL79" s="13"/>
      <c r="BM79" s="13"/>
      <c r="BN79" s="13"/>
    </row>
    <row r="80" spans="1:66" x14ac:dyDescent="0.25">
      <c r="A80" s="22">
        <v>78</v>
      </c>
      <c r="B80" s="23">
        <v>316.16372614314133</v>
      </c>
      <c r="C80" s="24">
        <v>2607.9975654229174</v>
      </c>
      <c r="AK80" s="13">
        <v>2100</v>
      </c>
      <c r="AM80" s="13">
        <v>559</v>
      </c>
      <c r="BC80" s="13"/>
      <c r="BD80" s="13"/>
      <c r="BE80" s="13"/>
      <c r="BF80" s="13"/>
      <c r="BG80" s="13"/>
      <c r="BH80" s="13"/>
      <c r="BI80" s="13"/>
      <c r="BJ80" s="13"/>
      <c r="BK80" s="13"/>
      <c r="BL80" s="13"/>
      <c r="BM80" s="13"/>
      <c r="BN80" s="13"/>
    </row>
    <row r="81" spans="1:66" x14ac:dyDescent="0.25">
      <c r="A81" s="22">
        <v>79</v>
      </c>
      <c r="B81" s="23">
        <v>329.67945626849837</v>
      </c>
      <c r="C81" s="24">
        <v>2026.8373517101527</v>
      </c>
      <c r="AK81" s="13">
        <v>2100</v>
      </c>
      <c r="AM81" s="13">
        <v>570</v>
      </c>
      <c r="BC81" s="13"/>
      <c r="BD81" s="13"/>
      <c r="BE81" s="13"/>
      <c r="BF81" s="13"/>
      <c r="BG81" s="13"/>
      <c r="BH81" s="13"/>
      <c r="BI81" s="13"/>
      <c r="BJ81" s="13"/>
      <c r="BK81" s="13"/>
      <c r="BL81" s="13"/>
      <c r="BM81" s="13"/>
      <c r="BN81" s="13"/>
    </row>
    <row r="82" spans="1:66" x14ac:dyDescent="0.25">
      <c r="A82" s="22">
        <v>80</v>
      </c>
      <c r="B82" s="23">
        <v>315.10052685038215</v>
      </c>
      <c r="C82" s="24">
        <v>2592.7850575940038</v>
      </c>
      <c r="AK82" s="13">
        <v>2150</v>
      </c>
      <c r="AM82" s="13">
        <v>570</v>
      </c>
      <c r="BC82" s="13"/>
      <c r="BD82" s="13"/>
      <c r="BE82" s="13"/>
      <c r="BF82" s="13"/>
      <c r="BG82" s="13"/>
      <c r="BH82" s="13"/>
      <c r="BI82" s="13"/>
      <c r="BJ82" s="13"/>
      <c r="BK82" s="13"/>
      <c r="BL82" s="13"/>
      <c r="BM82" s="13"/>
      <c r="BN82" s="13"/>
    </row>
    <row r="83" spans="1:66" x14ac:dyDescent="0.25">
      <c r="A83" s="22">
        <v>81</v>
      </c>
      <c r="B83" s="23">
        <v>354.41922208360501</v>
      </c>
      <c r="C83" s="24">
        <v>1994.1462839970127</v>
      </c>
      <c r="AK83" s="13">
        <v>2150</v>
      </c>
      <c r="AM83" s="13">
        <v>586</v>
      </c>
      <c r="BC83" s="13"/>
      <c r="BD83" s="13"/>
      <c r="BE83" s="13"/>
      <c r="BF83" s="13"/>
      <c r="BG83" s="13"/>
      <c r="BH83" s="13"/>
      <c r="BI83" s="13"/>
      <c r="BJ83" s="13"/>
      <c r="BK83" s="13"/>
      <c r="BL83" s="13"/>
      <c r="BM83" s="13"/>
      <c r="BN83" s="13"/>
    </row>
    <row r="84" spans="1:66" x14ac:dyDescent="0.25">
      <c r="A84" s="22">
        <v>82</v>
      </c>
      <c r="B84" s="23">
        <v>387.50865270847817</v>
      </c>
      <c r="C84" s="24">
        <v>2470.6922771594136</v>
      </c>
      <c r="AK84" s="13">
        <v>2200</v>
      </c>
      <c r="AM84" s="13">
        <v>586</v>
      </c>
      <c r="BC84" s="13"/>
      <c r="BD84" s="13"/>
      <c r="BE84" s="13"/>
      <c r="BF84" s="13"/>
      <c r="BG84" s="13"/>
      <c r="BH84" s="13"/>
      <c r="BI84" s="13"/>
      <c r="BJ84" s="13"/>
      <c r="BK84" s="13"/>
      <c r="BL84" s="13"/>
      <c r="BM84" s="13"/>
      <c r="BN84" s="13"/>
    </row>
    <row r="85" spans="1:66" x14ac:dyDescent="0.25">
      <c r="A85" s="22">
        <v>83</v>
      </c>
      <c r="B85" s="23">
        <v>332.21730913482463</v>
      </c>
      <c r="C85" s="24">
        <v>2699.1188284329824</v>
      </c>
      <c r="AK85" s="13">
        <v>2200</v>
      </c>
      <c r="AM85" s="13">
        <v>619</v>
      </c>
      <c r="BC85" s="13"/>
      <c r="BD85" s="13"/>
      <c r="BE85" s="13"/>
      <c r="BF85" s="13"/>
      <c r="BG85" s="13"/>
      <c r="BH85" s="13"/>
      <c r="BI85" s="13"/>
      <c r="BJ85" s="13"/>
      <c r="BK85" s="13"/>
      <c r="BL85" s="13"/>
      <c r="BM85" s="13"/>
      <c r="BN85" s="13"/>
    </row>
    <row r="86" spans="1:66" x14ac:dyDescent="0.25">
      <c r="A86" s="22">
        <v>84</v>
      </c>
      <c r="B86" s="23">
        <v>334.18720226349922</v>
      </c>
      <c r="C86" s="24">
        <v>2082.9570870893872</v>
      </c>
      <c r="AK86" s="13">
        <v>2250</v>
      </c>
      <c r="AM86" s="13">
        <v>619</v>
      </c>
      <c r="BC86" s="13"/>
      <c r="BD86" s="13"/>
      <c r="BE86" s="13"/>
      <c r="BF86" s="13"/>
      <c r="BG86" s="13"/>
      <c r="BH86" s="13"/>
      <c r="BI86" s="13"/>
      <c r="BJ86" s="13"/>
      <c r="BK86" s="13"/>
      <c r="BL86" s="13"/>
      <c r="BM86" s="13"/>
      <c r="BN86" s="13"/>
    </row>
    <row r="87" spans="1:66" x14ac:dyDescent="0.25">
      <c r="A87" s="22">
        <v>85</v>
      </c>
      <c r="B87" s="23">
        <v>386.42009999434674</v>
      </c>
      <c r="C87" s="24">
        <v>2626.5487450981609</v>
      </c>
      <c r="AK87" s="13">
        <v>2250</v>
      </c>
      <c r="AM87" s="13">
        <v>619</v>
      </c>
      <c r="BC87" s="13"/>
      <c r="BD87" s="13"/>
      <c r="BE87" s="13"/>
      <c r="BF87" s="13"/>
      <c r="BG87" s="13"/>
      <c r="BH87" s="13"/>
      <c r="BI87" s="13"/>
      <c r="BJ87" s="13"/>
      <c r="BK87" s="13"/>
      <c r="BL87" s="13"/>
      <c r="BM87" s="13"/>
      <c r="BN87" s="13"/>
    </row>
    <row r="88" spans="1:66" x14ac:dyDescent="0.25">
      <c r="A88" s="22">
        <v>86</v>
      </c>
      <c r="B88" s="23">
        <v>420.97564852908062</v>
      </c>
      <c r="C88" s="24">
        <v>2546.5651631827991</v>
      </c>
      <c r="AK88" s="13">
        <v>2300</v>
      </c>
      <c r="AM88" s="13">
        <v>619</v>
      </c>
      <c r="BC88" s="13"/>
      <c r="BD88" s="13"/>
      <c r="BE88" s="13"/>
      <c r="BF88" s="13"/>
      <c r="BG88" s="13"/>
      <c r="BH88" s="13"/>
      <c r="BI88" s="13"/>
      <c r="BJ88" s="13"/>
      <c r="BK88" s="13"/>
      <c r="BL88" s="13"/>
      <c r="BM88" s="13"/>
      <c r="BN88" s="13"/>
    </row>
    <row r="89" spans="1:66" x14ac:dyDescent="0.25">
      <c r="A89" s="22">
        <v>87</v>
      </c>
      <c r="B89" s="23">
        <v>476.1167004849483</v>
      </c>
      <c r="C89" s="24">
        <v>2363.2484672932269</v>
      </c>
      <c r="AK89" s="13">
        <v>2300</v>
      </c>
      <c r="AM89" s="13">
        <v>613</v>
      </c>
      <c r="BC89" s="13"/>
      <c r="BD89" s="13"/>
      <c r="BE89" s="13"/>
      <c r="BF89" s="13"/>
      <c r="BG89" s="13"/>
      <c r="BH89" s="13"/>
      <c r="BI89" s="13"/>
      <c r="BJ89" s="13"/>
      <c r="BK89" s="13"/>
      <c r="BL89" s="13"/>
      <c r="BM89" s="13"/>
      <c r="BN89" s="13"/>
    </row>
    <row r="90" spans="1:66" x14ac:dyDescent="0.25">
      <c r="A90" s="22">
        <v>88</v>
      </c>
      <c r="B90" s="23">
        <v>334.24914069695581</v>
      </c>
      <c r="C90" s="24">
        <v>2224.1414912539108</v>
      </c>
      <c r="AK90" s="13">
        <v>2350</v>
      </c>
      <c r="AM90" s="13">
        <v>613</v>
      </c>
      <c r="BC90" s="13"/>
      <c r="BD90" s="13"/>
      <c r="BE90" s="13"/>
      <c r="BF90" s="13"/>
      <c r="BG90" s="13"/>
      <c r="BH90" s="13"/>
      <c r="BI90" s="13"/>
      <c r="BJ90" s="13"/>
      <c r="BK90" s="13"/>
      <c r="BL90" s="13"/>
      <c r="BM90" s="13"/>
      <c r="BN90" s="13"/>
    </row>
    <row r="91" spans="1:66" x14ac:dyDescent="0.25">
      <c r="A91" s="22">
        <v>89</v>
      </c>
      <c r="B91" s="23">
        <v>400.21221619699583</v>
      </c>
      <c r="C91" s="24">
        <v>2334.5238150012565</v>
      </c>
      <c r="AK91" s="13">
        <v>2350</v>
      </c>
      <c r="AM91" s="13">
        <v>598</v>
      </c>
      <c r="BC91" s="13"/>
      <c r="BD91" s="13"/>
      <c r="BE91" s="13"/>
      <c r="BF91" s="13"/>
      <c r="BG91" s="13"/>
      <c r="BH91" s="13"/>
      <c r="BI91" s="13"/>
      <c r="BJ91" s="13"/>
      <c r="BK91" s="13"/>
      <c r="BL91" s="13"/>
      <c r="BM91" s="13"/>
      <c r="BN91" s="13"/>
    </row>
    <row r="92" spans="1:66" x14ac:dyDescent="0.25">
      <c r="A92" s="22">
        <v>90</v>
      </c>
      <c r="B92" s="23">
        <v>317.97556067906731</v>
      </c>
      <c r="C92" s="24">
        <v>2209.709086472476</v>
      </c>
      <c r="AK92" s="13">
        <v>2400</v>
      </c>
      <c r="AM92" s="13">
        <v>598</v>
      </c>
      <c r="BC92" s="13"/>
      <c r="BD92" s="13"/>
      <c r="BE92" s="13"/>
      <c r="BF92" s="13"/>
      <c r="BG92" s="13"/>
      <c r="BH92" s="13"/>
      <c r="BI92" s="13"/>
      <c r="BJ92" s="13"/>
      <c r="BK92" s="13"/>
      <c r="BL92" s="13"/>
      <c r="BM92" s="13"/>
      <c r="BN92" s="13"/>
    </row>
    <row r="93" spans="1:66" x14ac:dyDescent="0.25">
      <c r="A93" s="22">
        <v>91</v>
      </c>
      <c r="B93" s="23">
        <v>413.73041033806862</v>
      </c>
      <c r="C93" s="24">
        <v>2555.0344353654696</v>
      </c>
      <c r="AK93" s="13">
        <v>2400</v>
      </c>
      <c r="AM93" s="13">
        <v>568</v>
      </c>
      <c r="BC93" s="13"/>
      <c r="BD93" s="13"/>
      <c r="BE93" s="13"/>
      <c r="BF93" s="13"/>
      <c r="BG93" s="13"/>
      <c r="BH93" s="13"/>
      <c r="BI93" s="13"/>
      <c r="BJ93" s="13"/>
      <c r="BK93" s="13"/>
      <c r="BL93" s="13"/>
      <c r="BM93" s="13"/>
      <c r="BN93" s="13"/>
    </row>
    <row r="94" spans="1:66" x14ac:dyDescent="0.25">
      <c r="A94" s="22">
        <v>92</v>
      </c>
      <c r="B94" s="23">
        <v>338.26673836964176</v>
      </c>
      <c r="C94" s="24">
        <v>2578.6101414715408</v>
      </c>
      <c r="AK94" s="13">
        <v>2450</v>
      </c>
      <c r="AM94" s="13">
        <v>568</v>
      </c>
      <c r="BC94" s="13"/>
      <c r="BD94" s="13"/>
      <c r="BE94" s="13"/>
      <c r="BF94" s="13"/>
      <c r="BG94" s="13"/>
      <c r="BH94" s="13"/>
      <c r="BI94" s="13"/>
      <c r="BJ94" s="13"/>
      <c r="BK94" s="13"/>
      <c r="BL94" s="13"/>
      <c r="BM94" s="13"/>
      <c r="BN94" s="13"/>
    </row>
    <row r="95" spans="1:66" x14ac:dyDescent="0.25">
      <c r="A95" s="22">
        <v>93</v>
      </c>
      <c r="B95" s="23">
        <v>275.07682257669302</v>
      </c>
      <c r="C95" s="24">
        <v>2361.9167737251528</v>
      </c>
      <c r="AK95" s="13">
        <v>2450</v>
      </c>
      <c r="AM95" s="13">
        <v>530</v>
      </c>
      <c r="BC95" s="13"/>
      <c r="BD95" s="13"/>
      <c r="BE95" s="13"/>
      <c r="BF95" s="13"/>
      <c r="BG95" s="13"/>
      <c r="BH95" s="13"/>
      <c r="BI95" s="13"/>
      <c r="BJ95" s="13"/>
      <c r="BK95" s="13"/>
      <c r="BL95" s="13"/>
      <c r="BM95" s="13"/>
      <c r="BN95" s="13"/>
    </row>
    <row r="96" spans="1:66" x14ac:dyDescent="0.25">
      <c r="A96" s="22">
        <v>94</v>
      </c>
      <c r="B96" s="23">
        <v>307.98163920772441</v>
      </c>
      <c r="C96" s="24">
        <v>3087.2665998681673</v>
      </c>
      <c r="AK96" s="13">
        <v>2500</v>
      </c>
      <c r="AM96" s="13">
        <v>530</v>
      </c>
      <c r="BC96" s="13"/>
      <c r="BD96" s="13"/>
      <c r="BE96" s="13"/>
      <c r="BF96" s="13"/>
      <c r="BG96" s="13"/>
      <c r="BH96" s="13"/>
      <c r="BI96" s="13"/>
      <c r="BJ96" s="13"/>
      <c r="BK96" s="13"/>
      <c r="BL96" s="13"/>
      <c r="BM96" s="13"/>
      <c r="BN96" s="13"/>
    </row>
    <row r="97" spans="1:66" x14ac:dyDescent="0.25">
      <c r="A97" s="22">
        <v>95</v>
      </c>
      <c r="B97" s="23">
        <v>385.15896673433576</v>
      </c>
      <c r="C97" s="24">
        <v>2047.1437881891347</v>
      </c>
      <c r="AK97" s="13">
        <v>2500</v>
      </c>
      <c r="AM97" s="13">
        <v>494</v>
      </c>
      <c r="BC97" s="13"/>
      <c r="BD97" s="13"/>
      <c r="BE97" s="13"/>
      <c r="BF97" s="13"/>
      <c r="BG97" s="13"/>
      <c r="BH97" s="13"/>
      <c r="BI97" s="13"/>
      <c r="BJ97" s="13"/>
      <c r="BK97" s="13"/>
      <c r="BL97" s="13"/>
      <c r="BM97" s="13"/>
      <c r="BN97" s="13"/>
    </row>
    <row r="98" spans="1:66" x14ac:dyDescent="0.25">
      <c r="A98" s="22">
        <v>96</v>
      </c>
      <c r="B98" s="23">
        <v>275.74356112830139</v>
      </c>
      <c r="C98" s="24">
        <v>2065.7635088014067</v>
      </c>
      <c r="AK98" s="13">
        <v>2550</v>
      </c>
      <c r="AM98" s="13">
        <v>494</v>
      </c>
      <c r="BC98" s="13"/>
      <c r="BD98" s="13"/>
      <c r="BE98" s="13"/>
      <c r="BF98" s="13"/>
      <c r="BG98" s="13"/>
      <c r="BH98" s="13"/>
      <c r="BI98" s="13"/>
      <c r="BJ98" s="13"/>
      <c r="BK98" s="13"/>
      <c r="BL98" s="13"/>
      <c r="BM98" s="13"/>
      <c r="BN98" s="13"/>
    </row>
    <row r="99" spans="1:66" x14ac:dyDescent="0.25">
      <c r="A99" s="22">
        <v>97</v>
      </c>
      <c r="B99" s="23">
        <v>353.72637957636988</v>
      </c>
      <c r="C99" s="24">
        <v>2731.6314326335355</v>
      </c>
      <c r="AK99" s="13">
        <v>2550</v>
      </c>
      <c r="AM99" s="13">
        <v>421</v>
      </c>
      <c r="BC99" s="13"/>
      <c r="BD99" s="13"/>
      <c r="BE99" s="13"/>
      <c r="BF99" s="13"/>
      <c r="BG99" s="13"/>
      <c r="BH99" s="13"/>
      <c r="BI99" s="13"/>
      <c r="BJ99" s="13"/>
      <c r="BK99" s="13"/>
      <c r="BL99" s="13"/>
      <c r="BM99" s="13"/>
      <c r="BN99" s="13"/>
    </row>
    <row r="100" spans="1:66" x14ac:dyDescent="0.25">
      <c r="A100" s="22">
        <v>98</v>
      </c>
      <c r="B100" s="23">
        <v>337.95412788697894</v>
      </c>
      <c r="C100" s="24">
        <v>1986.9310777018782</v>
      </c>
      <c r="AK100" s="13">
        <v>2600</v>
      </c>
      <c r="AM100" s="13">
        <v>421</v>
      </c>
      <c r="BC100" s="13"/>
      <c r="BD100" s="13"/>
      <c r="BE100" s="13"/>
      <c r="BF100" s="13"/>
      <c r="BG100" s="13"/>
      <c r="BH100" s="13"/>
      <c r="BI100" s="13"/>
      <c r="BJ100" s="13"/>
      <c r="BK100" s="13"/>
      <c r="BL100" s="13"/>
      <c r="BM100" s="13"/>
      <c r="BN100" s="13"/>
    </row>
    <row r="101" spans="1:66" x14ac:dyDescent="0.25">
      <c r="A101" s="22">
        <v>99</v>
      </c>
      <c r="B101" s="23">
        <v>367.36409511573618</v>
      </c>
      <c r="C101" s="24">
        <v>2721.4103088152588</v>
      </c>
      <c r="AK101" s="13">
        <v>2600</v>
      </c>
      <c r="AM101" s="13">
        <v>348</v>
      </c>
      <c r="BC101" s="13"/>
      <c r="BD101" s="13"/>
      <c r="BE101" s="13"/>
      <c r="BF101" s="13"/>
      <c r="BG101" s="13"/>
      <c r="BH101" s="13"/>
      <c r="BI101" s="13"/>
      <c r="BJ101" s="13"/>
      <c r="BK101" s="13"/>
      <c r="BL101" s="13"/>
      <c r="BM101" s="13"/>
      <c r="BN101" s="13"/>
    </row>
    <row r="102" spans="1:66" x14ac:dyDescent="0.25">
      <c r="A102" s="22">
        <v>100</v>
      </c>
      <c r="B102" s="23">
        <v>484.74634906747406</v>
      </c>
      <c r="C102" s="24">
        <v>2140.8787561914587</v>
      </c>
      <c r="AK102" s="13">
        <v>2650</v>
      </c>
      <c r="AM102" s="13">
        <v>348</v>
      </c>
      <c r="BC102" s="13"/>
      <c r="BD102" s="13"/>
      <c r="BE102" s="13"/>
      <c r="BF102" s="13"/>
      <c r="BG102" s="13"/>
      <c r="BH102" s="13"/>
      <c r="BI102" s="13"/>
      <c r="BJ102" s="13"/>
      <c r="BK102" s="13"/>
      <c r="BL102" s="13"/>
      <c r="BM102" s="13"/>
      <c r="BN102" s="13"/>
    </row>
    <row r="103" spans="1:66" x14ac:dyDescent="0.25">
      <c r="A103" s="55" t="s">
        <v>29</v>
      </c>
      <c r="AK103" s="13">
        <v>2650</v>
      </c>
      <c r="AM103" s="13">
        <v>267</v>
      </c>
    </row>
    <row r="104" spans="1:66" x14ac:dyDescent="0.25">
      <c r="AK104" s="13">
        <v>2700</v>
      </c>
      <c r="AM104" s="13">
        <v>267</v>
      </c>
    </row>
    <row r="105" spans="1:66" x14ac:dyDescent="0.25">
      <c r="AK105" s="13">
        <v>2700</v>
      </c>
      <c r="AM105" s="13">
        <v>262</v>
      </c>
    </row>
    <row r="106" spans="1:66" x14ac:dyDescent="0.25">
      <c r="AK106" s="13">
        <v>2750</v>
      </c>
      <c r="AM106" s="13">
        <v>262</v>
      </c>
    </row>
    <row r="107" spans="1:66" x14ac:dyDescent="0.25">
      <c r="AK107" s="13">
        <v>2750</v>
      </c>
      <c r="AM107" s="13">
        <v>200</v>
      </c>
    </row>
    <row r="108" spans="1:66" x14ac:dyDescent="0.25">
      <c r="AK108" s="13">
        <v>2800</v>
      </c>
      <c r="AM108" s="13">
        <v>200</v>
      </c>
    </row>
    <row r="109" spans="1:66" x14ac:dyDescent="0.25">
      <c r="AK109" s="13">
        <v>2800</v>
      </c>
      <c r="AM109" s="13">
        <v>153</v>
      </c>
    </row>
    <row r="110" spans="1:66" x14ac:dyDescent="0.25">
      <c r="AK110" s="13">
        <v>2850</v>
      </c>
      <c r="AM110" s="13">
        <v>153</v>
      </c>
    </row>
    <row r="111" spans="1:66" x14ac:dyDescent="0.25">
      <c r="AK111" s="13">
        <v>2850</v>
      </c>
      <c r="AM111" s="13">
        <v>110</v>
      </c>
    </row>
    <row r="112" spans="1:66" x14ac:dyDescent="0.25">
      <c r="AK112" s="13">
        <v>2900</v>
      </c>
      <c r="AM112" s="13">
        <v>110</v>
      </c>
    </row>
    <row r="113" spans="37:39" x14ac:dyDescent="0.25">
      <c r="AK113" s="13">
        <v>2900</v>
      </c>
      <c r="AM113" s="13">
        <v>101</v>
      </c>
    </row>
    <row r="114" spans="37:39" x14ac:dyDescent="0.25">
      <c r="AK114" s="13">
        <v>2950</v>
      </c>
      <c r="AM114" s="13">
        <v>101</v>
      </c>
    </row>
    <row r="115" spans="37:39" x14ac:dyDescent="0.25">
      <c r="AK115" s="13">
        <v>2950</v>
      </c>
      <c r="AM115" s="13">
        <v>71</v>
      </c>
    </row>
    <row r="116" spans="37:39" x14ac:dyDescent="0.25">
      <c r="AK116" s="13">
        <v>3000</v>
      </c>
      <c r="AM116" s="13">
        <v>71</v>
      </c>
    </row>
    <row r="117" spans="37:39" x14ac:dyDescent="0.25">
      <c r="AK117" s="13">
        <v>3000</v>
      </c>
      <c r="AM117" s="13">
        <v>56</v>
      </c>
    </row>
    <row r="118" spans="37:39" x14ac:dyDescent="0.25">
      <c r="AK118" s="13">
        <v>3050</v>
      </c>
      <c r="AM118" s="13">
        <v>56</v>
      </c>
    </row>
    <row r="119" spans="37:39" x14ac:dyDescent="0.25">
      <c r="AK119" s="13">
        <v>3050</v>
      </c>
      <c r="AM119" s="13">
        <v>43</v>
      </c>
    </row>
    <row r="120" spans="37:39" x14ac:dyDescent="0.25">
      <c r="AK120" s="13">
        <v>3100</v>
      </c>
      <c r="AM120" s="13">
        <v>43</v>
      </c>
    </row>
    <row r="121" spans="37:39" x14ac:dyDescent="0.25">
      <c r="AK121" s="13">
        <v>3100</v>
      </c>
      <c r="AM121" s="13">
        <v>27</v>
      </c>
    </row>
    <row r="122" spans="37:39" x14ac:dyDescent="0.25">
      <c r="AK122" s="13">
        <v>3150</v>
      </c>
      <c r="AM122" s="13">
        <v>27</v>
      </c>
    </row>
    <row r="123" spans="37:39" x14ac:dyDescent="0.25">
      <c r="AK123" s="13">
        <v>3150</v>
      </c>
      <c r="AM123" s="13">
        <v>23</v>
      </c>
    </row>
    <row r="124" spans="37:39" x14ac:dyDescent="0.25">
      <c r="AK124" s="13">
        <v>3200</v>
      </c>
      <c r="AM124" s="13">
        <v>23</v>
      </c>
    </row>
    <row r="125" spans="37:39" x14ac:dyDescent="0.25">
      <c r="AK125" s="13">
        <v>3200</v>
      </c>
      <c r="AM125" s="13">
        <v>14</v>
      </c>
    </row>
    <row r="126" spans="37:39" x14ac:dyDescent="0.25">
      <c r="AK126" s="13">
        <v>3250</v>
      </c>
      <c r="AM126" s="13">
        <v>14</v>
      </c>
    </row>
    <row r="127" spans="37:39" x14ac:dyDescent="0.25">
      <c r="AK127" s="13">
        <v>3250</v>
      </c>
      <c r="AM127" s="13">
        <v>14</v>
      </c>
    </row>
    <row r="128" spans="37:39" x14ac:dyDescent="0.25">
      <c r="AK128" s="13">
        <v>3300</v>
      </c>
      <c r="AM128" s="13">
        <v>14</v>
      </c>
    </row>
    <row r="129" spans="37:39" x14ac:dyDescent="0.25">
      <c r="AK129" s="13">
        <v>3300</v>
      </c>
      <c r="AM129" s="13">
        <v>7</v>
      </c>
    </row>
    <row r="130" spans="37:39" x14ac:dyDescent="0.25">
      <c r="AK130" s="13">
        <v>3350</v>
      </c>
      <c r="AM130" s="13">
        <v>7</v>
      </c>
    </row>
    <row r="131" spans="37:39" x14ac:dyDescent="0.25">
      <c r="AK131" s="13">
        <v>3350</v>
      </c>
      <c r="AM131" s="13">
        <v>9</v>
      </c>
    </row>
    <row r="132" spans="37:39" x14ac:dyDescent="0.25">
      <c r="AK132" s="13">
        <v>3400</v>
      </c>
      <c r="AM132" s="13">
        <v>9</v>
      </c>
    </row>
    <row r="133" spans="37:39" x14ac:dyDescent="0.25">
      <c r="AK133" s="13">
        <v>3400</v>
      </c>
      <c r="AM133" s="13">
        <v>2</v>
      </c>
    </row>
    <row r="134" spans="37:39" x14ac:dyDescent="0.25">
      <c r="AK134" s="13">
        <v>3450</v>
      </c>
      <c r="AM134" s="13">
        <v>2</v>
      </c>
    </row>
    <row r="135" spans="37:39" x14ac:dyDescent="0.25">
      <c r="AK135" s="13">
        <v>3450</v>
      </c>
      <c r="AM135" s="13">
        <v>2</v>
      </c>
    </row>
    <row r="136" spans="37:39" x14ac:dyDescent="0.25">
      <c r="AK136" s="13">
        <v>3500</v>
      </c>
      <c r="AM136" s="13">
        <v>2</v>
      </c>
    </row>
    <row r="137" spans="37:39" x14ac:dyDescent="0.25">
      <c r="AK137" s="13">
        <v>3500</v>
      </c>
      <c r="AM137" s="13">
        <v>1</v>
      </c>
    </row>
    <row r="138" spans="37:39" x14ac:dyDescent="0.25">
      <c r="AK138" s="13">
        <v>3550</v>
      </c>
      <c r="AM138" s="13">
        <v>1</v>
      </c>
    </row>
    <row r="139" spans="37:39" x14ac:dyDescent="0.25">
      <c r="AK139" s="13">
        <v>3550</v>
      </c>
      <c r="AM139" s="13">
        <v>1</v>
      </c>
    </row>
    <row r="140" spans="37:39" x14ac:dyDescent="0.25">
      <c r="AK140" s="13">
        <v>3600</v>
      </c>
      <c r="AM140" s="13">
        <v>1</v>
      </c>
    </row>
    <row r="141" spans="37:39" x14ac:dyDescent="0.25">
      <c r="AK141" s="13">
        <v>3600</v>
      </c>
      <c r="AM141" s="13">
        <v>1</v>
      </c>
    </row>
    <row r="142" spans="37:39" x14ac:dyDescent="0.25">
      <c r="AK142" s="13">
        <v>3650</v>
      </c>
      <c r="AM142" s="13">
        <v>1</v>
      </c>
    </row>
    <row r="143" spans="37:39" x14ac:dyDescent="0.25">
      <c r="AK143" s="13">
        <v>3650</v>
      </c>
      <c r="AM143" s="13">
        <v>0</v>
      </c>
    </row>
  </sheetData>
  <dataConsolidate/>
  <mergeCells count="4">
    <mergeCell ref="F2:G2"/>
    <mergeCell ref="I4:J4"/>
    <mergeCell ref="K4:L4"/>
    <mergeCell ref="M4:N4"/>
  </mergeCells>
  <pageMargins left="0.75" right="0.75" top="1" bottom="1" header="0.5" footer="0.5"/>
  <pageSetup orientation="portrait" horizontalDpi="200" verticalDpi="200"/>
  <headerFooter alignWithMargins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BN103"/>
  <sheetViews>
    <sheetView showGridLines="0" workbookViewId="0">
      <selection activeCell="O10" sqref="O10"/>
    </sheetView>
  </sheetViews>
  <sheetFormatPr defaultRowHeight="15.75" x14ac:dyDescent="0.25"/>
  <cols>
    <col min="1" max="1" width="8" style="22" customWidth="1"/>
    <col min="2" max="2" width="10.625" style="11" customWidth="1"/>
    <col min="3" max="3" width="10.625" style="12" customWidth="1"/>
    <col min="4" max="4" width="7.625" style="13" customWidth="1"/>
    <col min="5" max="5" width="7.625" style="14" customWidth="1"/>
    <col min="6" max="6" width="11.625" style="15" customWidth="1"/>
    <col min="7" max="7" width="9" style="14"/>
    <col min="8" max="8" width="6.625" style="14" customWidth="1"/>
    <col min="9" max="14" width="10.125" style="14" customWidth="1"/>
    <col min="15" max="17" width="9" style="14"/>
    <col min="18" max="19" width="9" style="13"/>
    <col min="20" max="20" width="14.25" style="13" customWidth="1"/>
    <col min="21" max="22" width="11.25" style="13" customWidth="1"/>
    <col min="23" max="54" width="9" style="13"/>
    <col min="55" max="256" width="9" style="14"/>
    <col min="257" max="257" width="8" style="14" customWidth="1"/>
    <col min="258" max="259" width="10.625" style="14" customWidth="1"/>
    <col min="260" max="261" width="7.625" style="14" customWidth="1"/>
    <col min="262" max="262" width="11.625" style="14" customWidth="1"/>
    <col min="263" max="263" width="9" style="14"/>
    <col min="264" max="264" width="6.625" style="14" customWidth="1"/>
    <col min="265" max="270" width="10.125" style="14" customWidth="1"/>
    <col min="271" max="275" width="9" style="14"/>
    <col min="276" max="276" width="14.25" style="14" customWidth="1"/>
    <col min="277" max="278" width="11.25" style="14" customWidth="1"/>
    <col min="279" max="512" width="9" style="14"/>
    <col min="513" max="513" width="8" style="14" customWidth="1"/>
    <col min="514" max="515" width="10.625" style="14" customWidth="1"/>
    <col min="516" max="517" width="7.625" style="14" customWidth="1"/>
    <col min="518" max="518" width="11.625" style="14" customWidth="1"/>
    <col min="519" max="519" width="9" style="14"/>
    <col min="520" max="520" width="6.625" style="14" customWidth="1"/>
    <col min="521" max="526" width="10.125" style="14" customWidth="1"/>
    <col min="527" max="531" width="9" style="14"/>
    <col min="532" max="532" width="14.25" style="14" customWidth="1"/>
    <col min="533" max="534" width="11.25" style="14" customWidth="1"/>
    <col min="535" max="768" width="9" style="14"/>
    <col min="769" max="769" width="8" style="14" customWidth="1"/>
    <col min="770" max="771" width="10.625" style="14" customWidth="1"/>
    <col min="772" max="773" width="7.625" style="14" customWidth="1"/>
    <col min="774" max="774" width="11.625" style="14" customWidth="1"/>
    <col min="775" max="775" width="9" style="14"/>
    <col min="776" max="776" width="6.625" style="14" customWidth="1"/>
    <col min="777" max="782" width="10.125" style="14" customWidth="1"/>
    <col min="783" max="787" width="9" style="14"/>
    <col min="788" max="788" width="14.25" style="14" customWidth="1"/>
    <col min="789" max="790" width="11.25" style="14" customWidth="1"/>
    <col min="791" max="1024" width="9" style="14"/>
    <col min="1025" max="1025" width="8" style="14" customWidth="1"/>
    <col min="1026" max="1027" width="10.625" style="14" customWidth="1"/>
    <col min="1028" max="1029" width="7.625" style="14" customWidth="1"/>
    <col min="1030" max="1030" width="11.625" style="14" customWidth="1"/>
    <col min="1031" max="1031" width="9" style="14"/>
    <col min="1032" max="1032" width="6.625" style="14" customWidth="1"/>
    <col min="1033" max="1038" width="10.125" style="14" customWidth="1"/>
    <col min="1039" max="1043" width="9" style="14"/>
    <col min="1044" max="1044" width="14.25" style="14" customWidth="1"/>
    <col min="1045" max="1046" width="11.25" style="14" customWidth="1"/>
    <col min="1047" max="1280" width="9" style="14"/>
    <col min="1281" max="1281" width="8" style="14" customWidth="1"/>
    <col min="1282" max="1283" width="10.625" style="14" customWidth="1"/>
    <col min="1284" max="1285" width="7.625" style="14" customWidth="1"/>
    <col min="1286" max="1286" width="11.625" style="14" customWidth="1"/>
    <col min="1287" max="1287" width="9" style="14"/>
    <col min="1288" max="1288" width="6.625" style="14" customWidth="1"/>
    <col min="1289" max="1294" width="10.125" style="14" customWidth="1"/>
    <col min="1295" max="1299" width="9" style="14"/>
    <col min="1300" max="1300" width="14.25" style="14" customWidth="1"/>
    <col min="1301" max="1302" width="11.25" style="14" customWidth="1"/>
    <col min="1303" max="1536" width="9" style="14"/>
    <col min="1537" max="1537" width="8" style="14" customWidth="1"/>
    <col min="1538" max="1539" width="10.625" style="14" customWidth="1"/>
    <col min="1540" max="1541" width="7.625" style="14" customWidth="1"/>
    <col min="1542" max="1542" width="11.625" style="14" customWidth="1"/>
    <col min="1543" max="1543" width="9" style="14"/>
    <col min="1544" max="1544" width="6.625" style="14" customWidth="1"/>
    <col min="1545" max="1550" width="10.125" style="14" customWidth="1"/>
    <col min="1551" max="1555" width="9" style="14"/>
    <col min="1556" max="1556" width="14.25" style="14" customWidth="1"/>
    <col min="1557" max="1558" width="11.25" style="14" customWidth="1"/>
    <col min="1559" max="1792" width="9" style="14"/>
    <col min="1793" max="1793" width="8" style="14" customWidth="1"/>
    <col min="1794" max="1795" width="10.625" style="14" customWidth="1"/>
    <col min="1796" max="1797" width="7.625" style="14" customWidth="1"/>
    <col min="1798" max="1798" width="11.625" style="14" customWidth="1"/>
    <col min="1799" max="1799" width="9" style="14"/>
    <col min="1800" max="1800" width="6.625" style="14" customWidth="1"/>
    <col min="1801" max="1806" width="10.125" style="14" customWidth="1"/>
    <col min="1807" max="1811" width="9" style="14"/>
    <col min="1812" max="1812" width="14.25" style="14" customWidth="1"/>
    <col min="1813" max="1814" width="11.25" style="14" customWidth="1"/>
    <col min="1815" max="2048" width="9" style="14"/>
    <col min="2049" max="2049" width="8" style="14" customWidth="1"/>
    <col min="2050" max="2051" width="10.625" style="14" customWidth="1"/>
    <col min="2052" max="2053" width="7.625" style="14" customWidth="1"/>
    <col min="2054" max="2054" width="11.625" style="14" customWidth="1"/>
    <col min="2055" max="2055" width="9" style="14"/>
    <col min="2056" max="2056" width="6.625" style="14" customWidth="1"/>
    <col min="2057" max="2062" width="10.125" style="14" customWidth="1"/>
    <col min="2063" max="2067" width="9" style="14"/>
    <col min="2068" max="2068" width="14.25" style="14" customWidth="1"/>
    <col min="2069" max="2070" width="11.25" style="14" customWidth="1"/>
    <col min="2071" max="2304" width="9" style="14"/>
    <col min="2305" max="2305" width="8" style="14" customWidth="1"/>
    <col min="2306" max="2307" width="10.625" style="14" customWidth="1"/>
    <col min="2308" max="2309" width="7.625" style="14" customWidth="1"/>
    <col min="2310" max="2310" width="11.625" style="14" customWidth="1"/>
    <col min="2311" max="2311" width="9" style="14"/>
    <col min="2312" max="2312" width="6.625" style="14" customWidth="1"/>
    <col min="2313" max="2318" width="10.125" style="14" customWidth="1"/>
    <col min="2319" max="2323" width="9" style="14"/>
    <col min="2324" max="2324" width="14.25" style="14" customWidth="1"/>
    <col min="2325" max="2326" width="11.25" style="14" customWidth="1"/>
    <col min="2327" max="2560" width="9" style="14"/>
    <col min="2561" max="2561" width="8" style="14" customWidth="1"/>
    <col min="2562" max="2563" width="10.625" style="14" customWidth="1"/>
    <col min="2564" max="2565" width="7.625" style="14" customWidth="1"/>
    <col min="2566" max="2566" width="11.625" style="14" customWidth="1"/>
    <col min="2567" max="2567" width="9" style="14"/>
    <col min="2568" max="2568" width="6.625" style="14" customWidth="1"/>
    <col min="2569" max="2574" width="10.125" style="14" customWidth="1"/>
    <col min="2575" max="2579" width="9" style="14"/>
    <col min="2580" max="2580" width="14.25" style="14" customWidth="1"/>
    <col min="2581" max="2582" width="11.25" style="14" customWidth="1"/>
    <col min="2583" max="2816" width="9" style="14"/>
    <col min="2817" max="2817" width="8" style="14" customWidth="1"/>
    <col min="2818" max="2819" width="10.625" style="14" customWidth="1"/>
    <col min="2820" max="2821" width="7.625" style="14" customWidth="1"/>
    <col min="2822" max="2822" width="11.625" style="14" customWidth="1"/>
    <col min="2823" max="2823" width="9" style="14"/>
    <col min="2824" max="2824" width="6.625" style="14" customWidth="1"/>
    <col min="2825" max="2830" width="10.125" style="14" customWidth="1"/>
    <col min="2831" max="2835" width="9" style="14"/>
    <col min="2836" max="2836" width="14.25" style="14" customWidth="1"/>
    <col min="2837" max="2838" width="11.25" style="14" customWidth="1"/>
    <col min="2839" max="3072" width="9" style="14"/>
    <col min="3073" max="3073" width="8" style="14" customWidth="1"/>
    <col min="3074" max="3075" width="10.625" style="14" customWidth="1"/>
    <col min="3076" max="3077" width="7.625" style="14" customWidth="1"/>
    <col min="3078" max="3078" width="11.625" style="14" customWidth="1"/>
    <col min="3079" max="3079" width="9" style="14"/>
    <col min="3080" max="3080" width="6.625" style="14" customWidth="1"/>
    <col min="3081" max="3086" width="10.125" style="14" customWidth="1"/>
    <col min="3087" max="3091" width="9" style="14"/>
    <col min="3092" max="3092" width="14.25" style="14" customWidth="1"/>
    <col min="3093" max="3094" width="11.25" style="14" customWidth="1"/>
    <col min="3095" max="3328" width="9" style="14"/>
    <col min="3329" max="3329" width="8" style="14" customWidth="1"/>
    <col min="3330" max="3331" width="10.625" style="14" customWidth="1"/>
    <col min="3332" max="3333" width="7.625" style="14" customWidth="1"/>
    <col min="3334" max="3334" width="11.625" style="14" customWidth="1"/>
    <col min="3335" max="3335" width="9" style="14"/>
    <col min="3336" max="3336" width="6.625" style="14" customWidth="1"/>
    <col min="3337" max="3342" width="10.125" style="14" customWidth="1"/>
    <col min="3343" max="3347" width="9" style="14"/>
    <col min="3348" max="3348" width="14.25" style="14" customWidth="1"/>
    <col min="3349" max="3350" width="11.25" style="14" customWidth="1"/>
    <col min="3351" max="3584" width="9" style="14"/>
    <col min="3585" max="3585" width="8" style="14" customWidth="1"/>
    <col min="3586" max="3587" width="10.625" style="14" customWidth="1"/>
    <col min="3588" max="3589" width="7.625" style="14" customWidth="1"/>
    <col min="3590" max="3590" width="11.625" style="14" customWidth="1"/>
    <col min="3591" max="3591" width="9" style="14"/>
    <col min="3592" max="3592" width="6.625" style="14" customWidth="1"/>
    <col min="3593" max="3598" width="10.125" style="14" customWidth="1"/>
    <col min="3599" max="3603" width="9" style="14"/>
    <col min="3604" max="3604" width="14.25" style="14" customWidth="1"/>
    <col min="3605" max="3606" width="11.25" style="14" customWidth="1"/>
    <col min="3607" max="3840" width="9" style="14"/>
    <col min="3841" max="3841" width="8" style="14" customWidth="1"/>
    <col min="3842" max="3843" width="10.625" style="14" customWidth="1"/>
    <col min="3844" max="3845" width="7.625" style="14" customWidth="1"/>
    <col min="3846" max="3846" width="11.625" style="14" customWidth="1"/>
    <col min="3847" max="3847" width="9" style="14"/>
    <col min="3848" max="3848" width="6.625" style="14" customWidth="1"/>
    <col min="3849" max="3854" width="10.125" style="14" customWidth="1"/>
    <col min="3855" max="3859" width="9" style="14"/>
    <col min="3860" max="3860" width="14.25" style="14" customWidth="1"/>
    <col min="3861" max="3862" width="11.25" style="14" customWidth="1"/>
    <col min="3863" max="4096" width="9" style="14"/>
    <col min="4097" max="4097" width="8" style="14" customWidth="1"/>
    <col min="4098" max="4099" width="10.625" style="14" customWidth="1"/>
    <col min="4100" max="4101" width="7.625" style="14" customWidth="1"/>
    <col min="4102" max="4102" width="11.625" style="14" customWidth="1"/>
    <col min="4103" max="4103" width="9" style="14"/>
    <col min="4104" max="4104" width="6.625" style="14" customWidth="1"/>
    <col min="4105" max="4110" width="10.125" style="14" customWidth="1"/>
    <col min="4111" max="4115" width="9" style="14"/>
    <col min="4116" max="4116" width="14.25" style="14" customWidth="1"/>
    <col min="4117" max="4118" width="11.25" style="14" customWidth="1"/>
    <col min="4119" max="4352" width="9" style="14"/>
    <col min="4353" max="4353" width="8" style="14" customWidth="1"/>
    <col min="4354" max="4355" width="10.625" style="14" customWidth="1"/>
    <col min="4356" max="4357" width="7.625" style="14" customWidth="1"/>
    <col min="4358" max="4358" width="11.625" style="14" customWidth="1"/>
    <col min="4359" max="4359" width="9" style="14"/>
    <col min="4360" max="4360" width="6.625" style="14" customWidth="1"/>
    <col min="4361" max="4366" width="10.125" style="14" customWidth="1"/>
    <col min="4367" max="4371" width="9" style="14"/>
    <col min="4372" max="4372" width="14.25" style="14" customWidth="1"/>
    <col min="4373" max="4374" width="11.25" style="14" customWidth="1"/>
    <col min="4375" max="4608" width="9" style="14"/>
    <col min="4609" max="4609" width="8" style="14" customWidth="1"/>
    <col min="4610" max="4611" width="10.625" style="14" customWidth="1"/>
    <col min="4612" max="4613" width="7.625" style="14" customWidth="1"/>
    <col min="4614" max="4614" width="11.625" style="14" customWidth="1"/>
    <col min="4615" max="4615" width="9" style="14"/>
    <col min="4616" max="4616" width="6.625" style="14" customWidth="1"/>
    <col min="4617" max="4622" width="10.125" style="14" customWidth="1"/>
    <col min="4623" max="4627" width="9" style="14"/>
    <col min="4628" max="4628" width="14.25" style="14" customWidth="1"/>
    <col min="4629" max="4630" width="11.25" style="14" customWidth="1"/>
    <col min="4631" max="4864" width="9" style="14"/>
    <col min="4865" max="4865" width="8" style="14" customWidth="1"/>
    <col min="4866" max="4867" width="10.625" style="14" customWidth="1"/>
    <col min="4868" max="4869" width="7.625" style="14" customWidth="1"/>
    <col min="4870" max="4870" width="11.625" style="14" customWidth="1"/>
    <col min="4871" max="4871" width="9" style="14"/>
    <col min="4872" max="4872" width="6.625" style="14" customWidth="1"/>
    <col min="4873" max="4878" width="10.125" style="14" customWidth="1"/>
    <col min="4879" max="4883" width="9" style="14"/>
    <col min="4884" max="4884" width="14.25" style="14" customWidth="1"/>
    <col min="4885" max="4886" width="11.25" style="14" customWidth="1"/>
    <col min="4887" max="5120" width="9" style="14"/>
    <col min="5121" max="5121" width="8" style="14" customWidth="1"/>
    <col min="5122" max="5123" width="10.625" style="14" customWidth="1"/>
    <col min="5124" max="5125" width="7.625" style="14" customWidth="1"/>
    <col min="5126" max="5126" width="11.625" style="14" customWidth="1"/>
    <col min="5127" max="5127" width="9" style="14"/>
    <col min="5128" max="5128" width="6.625" style="14" customWidth="1"/>
    <col min="5129" max="5134" width="10.125" style="14" customWidth="1"/>
    <col min="5135" max="5139" width="9" style="14"/>
    <col min="5140" max="5140" width="14.25" style="14" customWidth="1"/>
    <col min="5141" max="5142" width="11.25" style="14" customWidth="1"/>
    <col min="5143" max="5376" width="9" style="14"/>
    <col min="5377" max="5377" width="8" style="14" customWidth="1"/>
    <col min="5378" max="5379" width="10.625" style="14" customWidth="1"/>
    <col min="5380" max="5381" width="7.625" style="14" customWidth="1"/>
    <col min="5382" max="5382" width="11.625" style="14" customWidth="1"/>
    <col min="5383" max="5383" width="9" style="14"/>
    <col min="5384" max="5384" width="6.625" style="14" customWidth="1"/>
    <col min="5385" max="5390" width="10.125" style="14" customWidth="1"/>
    <col min="5391" max="5395" width="9" style="14"/>
    <col min="5396" max="5396" width="14.25" style="14" customWidth="1"/>
    <col min="5397" max="5398" width="11.25" style="14" customWidth="1"/>
    <col min="5399" max="5632" width="9" style="14"/>
    <col min="5633" max="5633" width="8" style="14" customWidth="1"/>
    <col min="5634" max="5635" width="10.625" style="14" customWidth="1"/>
    <col min="5636" max="5637" width="7.625" style="14" customWidth="1"/>
    <col min="5638" max="5638" width="11.625" style="14" customWidth="1"/>
    <col min="5639" max="5639" width="9" style="14"/>
    <col min="5640" max="5640" width="6.625" style="14" customWidth="1"/>
    <col min="5641" max="5646" width="10.125" style="14" customWidth="1"/>
    <col min="5647" max="5651" width="9" style="14"/>
    <col min="5652" max="5652" width="14.25" style="14" customWidth="1"/>
    <col min="5653" max="5654" width="11.25" style="14" customWidth="1"/>
    <col min="5655" max="5888" width="9" style="14"/>
    <col min="5889" max="5889" width="8" style="14" customWidth="1"/>
    <col min="5890" max="5891" width="10.625" style="14" customWidth="1"/>
    <col min="5892" max="5893" width="7.625" style="14" customWidth="1"/>
    <col min="5894" max="5894" width="11.625" style="14" customWidth="1"/>
    <col min="5895" max="5895" width="9" style="14"/>
    <col min="5896" max="5896" width="6.625" style="14" customWidth="1"/>
    <col min="5897" max="5902" width="10.125" style="14" customWidth="1"/>
    <col min="5903" max="5907" width="9" style="14"/>
    <col min="5908" max="5908" width="14.25" style="14" customWidth="1"/>
    <col min="5909" max="5910" width="11.25" style="14" customWidth="1"/>
    <col min="5911" max="6144" width="9" style="14"/>
    <col min="6145" max="6145" width="8" style="14" customWidth="1"/>
    <col min="6146" max="6147" width="10.625" style="14" customWidth="1"/>
    <col min="6148" max="6149" width="7.625" style="14" customWidth="1"/>
    <col min="6150" max="6150" width="11.625" style="14" customWidth="1"/>
    <col min="6151" max="6151" width="9" style="14"/>
    <col min="6152" max="6152" width="6.625" style="14" customWidth="1"/>
    <col min="6153" max="6158" width="10.125" style="14" customWidth="1"/>
    <col min="6159" max="6163" width="9" style="14"/>
    <col min="6164" max="6164" width="14.25" style="14" customWidth="1"/>
    <col min="6165" max="6166" width="11.25" style="14" customWidth="1"/>
    <col min="6167" max="6400" width="9" style="14"/>
    <col min="6401" max="6401" width="8" style="14" customWidth="1"/>
    <col min="6402" max="6403" width="10.625" style="14" customWidth="1"/>
    <col min="6404" max="6405" width="7.625" style="14" customWidth="1"/>
    <col min="6406" max="6406" width="11.625" style="14" customWidth="1"/>
    <col min="6407" max="6407" width="9" style="14"/>
    <col min="6408" max="6408" width="6.625" style="14" customWidth="1"/>
    <col min="6409" max="6414" width="10.125" style="14" customWidth="1"/>
    <col min="6415" max="6419" width="9" style="14"/>
    <col min="6420" max="6420" width="14.25" style="14" customWidth="1"/>
    <col min="6421" max="6422" width="11.25" style="14" customWidth="1"/>
    <col min="6423" max="6656" width="9" style="14"/>
    <col min="6657" max="6657" width="8" style="14" customWidth="1"/>
    <col min="6658" max="6659" width="10.625" style="14" customWidth="1"/>
    <col min="6660" max="6661" width="7.625" style="14" customWidth="1"/>
    <col min="6662" max="6662" width="11.625" style="14" customWidth="1"/>
    <col min="6663" max="6663" width="9" style="14"/>
    <col min="6664" max="6664" width="6.625" style="14" customWidth="1"/>
    <col min="6665" max="6670" width="10.125" style="14" customWidth="1"/>
    <col min="6671" max="6675" width="9" style="14"/>
    <col min="6676" max="6676" width="14.25" style="14" customWidth="1"/>
    <col min="6677" max="6678" width="11.25" style="14" customWidth="1"/>
    <col min="6679" max="6912" width="9" style="14"/>
    <col min="6913" max="6913" width="8" style="14" customWidth="1"/>
    <col min="6914" max="6915" width="10.625" style="14" customWidth="1"/>
    <col min="6916" max="6917" width="7.625" style="14" customWidth="1"/>
    <col min="6918" max="6918" width="11.625" style="14" customWidth="1"/>
    <col min="6919" max="6919" width="9" style="14"/>
    <col min="6920" max="6920" width="6.625" style="14" customWidth="1"/>
    <col min="6921" max="6926" width="10.125" style="14" customWidth="1"/>
    <col min="6927" max="6931" width="9" style="14"/>
    <col min="6932" max="6932" width="14.25" style="14" customWidth="1"/>
    <col min="6933" max="6934" width="11.25" style="14" customWidth="1"/>
    <col min="6935" max="7168" width="9" style="14"/>
    <col min="7169" max="7169" width="8" style="14" customWidth="1"/>
    <col min="7170" max="7171" width="10.625" style="14" customWidth="1"/>
    <col min="7172" max="7173" width="7.625" style="14" customWidth="1"/>
    <col min="7174" max="7174" width="11.625" style="14" customWidth="1"/>
    <col min="7175" max="7175" width="9" style="14"/>
    <col min="7176" max="7176" width="6.625" style="14" customWidth="1"/>
    <col min="7177" max="7182" width="10.125" style="14" customWidth="1"/>
    <col min="7183" max="7187" width="9" style="14"/>
    <col min="7188" max="7188" width="14.25" style="14" customWidth="1"/>
    <col min="7189" max="7190" width="11.25" style="14" customWidth="1"/>
    <col min="7191" max="7424" width="9" style="14"/>
    <col min="7425" max="7425" width="8" style="14" customWidth="1"/>
    <col min="7426" max="7427" width="10.625" style="14" customWidth="1"/>
    <col min="7428" max="7429" width="7.625" style="14" customWidth="1"/>
    <col min="7430" max="7430" width="11.625" style="14" customWidth="1"/>
    <col min="7431" max="7431" width="9" style="14"/>
    <col min="7432" max="7432" width="6.625" style="14" customWidth="1"/>
    <col min="7433" max="7438" width="10.125" style="14" customWidth="1"/>
    <col min="7439" max="7443" width="9" style="14"/>
    <col min="7444" max="7444" width="14.25" style="14" customWidth="1"/>
    <col min="7445" max="7446" width="11.25" style="14" customWidth="1"/>
    <col min="7447" max="7680" width="9" style="14"/>
    <col min="7681" max="7681" width="8" style="14" customWidth="1"/>
    <col min="7682" max="7683" width="10.625" style="14" customWidth="1"/>
    <col min="7684" max="7685" width="7.625" style="14" customWidth="1"/>
    <col min="7686" max="7686" width="11.625" style="14" customWidth="1"/>
    <col min="7687" max="7687" width="9" style="14"/>
    <col min="7688" max="7688" width="6.625" style="14" customWidth="1"/>
    <col min="7689" max="7694" width="10.125" style="14" customWidth="1"/>
    <col min="7695" max="7699" width="9" style="14"/>
    <col min="7700" max="7700" width="14.25" style="14" customWidth="1"/>
    <col min="7701" max="7702" width="11.25" style="14" customWidth="1"/>
    <col min="7703" max="7936" width="9" style="14"/>
    <col min="7937" max="7937" width="8" style="14" customWidth="1"/>
    <col min="7938" max="7939" width="10.625" style="14" customWidth="1"/>
    <col min="7940" max="7941" width="7.625" style="14" customWidth="1"/>
    <col min="7942" max="7942" width="11.625" style="14" customWidth="1"/>
    <col min="7943" max="7943" width="9" style="14"/>
    <col min="7944" max="7944" width="6.625" style="14" customWidth="1"/>
    <col min="7945" max="7950" width="10.125" style="14" customWidth="1"/>
    <col min="7951" max="7955" width="9" style="14"/>
    <col min="7956" max="7956" width="14.25" style="14" customWidth="1"/>
    <col min="7957" max="7958" width="11.25" style="14" customWidth="1"/>
    <col min="7959" max="8192" width="9" style="14"/>
    <col min="8193" max="8193" width="8" style="14" customWidth="1"/>
    <col min="8194" max="8195" width="10.625" style="14" customWidth="1"/>
    <col min="8196" max="8197" width="7.625" style="14" customWidth="1"/>
    <col min="8198" max="8198" width="11.625" style="14" customWidth="1"/>
    <col min="8199" max="8199" width="9" style="14"/>
    <col min="8200" max="8200" width="6.625" style="14" customWidth="1"/>
    <col min="8201" max="8206" width="10.125" style="14" customWidth="1"/>
    <col min="8207" max="8211" width="9" style="14"/>
    <col min="8212" max="8212" width="14.25" style="14" customWidth="1"/>
    <col min="8213" max="8214" width="11.25" style="14" customWidth="1"/>
    <col min="8215" max="8448" width="9" style="14"/>
    <col min="8449" max="8449" width="8" style="14" customWidth="1"/>
    <col min="8450" max="8451" width="10.625" style="14" customWidth="1"/>
    <col min="8452" max="8453" width="7.625" style="14" customWidth="1"/>
    <col min="8454" max="8454" width="11.625" style="14" customWidth="1"/>
    <col min="8455" max="8455" width="9" style="14"/>
    <col min="8456" max="8456" width="6.625" style="14" customWidth="1"/>
    <col min="8457" max="8462" width="10.125" style="14" customWidth="1"/>
    <col min="8463" max="8467" width="9" style="14"/>
    <col min="8468" max="8468" width="14.25" style="14" customWidth="1"/>
    <col min="8469" max="8470" width="11.25" style="14" customWidth="1"/>
    <col min="8471" max="8704" width="9" style="14"/>
    <col min="8705" max="8705" width="8" style="14" customWidth="1"/>
    <col min="8706" max="8707" width="10.625" style="14" customWidth="1"/>
    <col min="8708" max="8709" width="7.625" style="14" customWidth="1"/>
    <col min="8710" max="8710" width="11.625" style="14" customWidth="1"/>
    <col min="8711" max="8711" width="9" style="14"/>
    <col min="8712" max="8712" width="6.625" style="14" customWidth="1"/>
    <col min="8713" max="8718" width="10.125" style="14" customWidth="1"/>
    <col min="8719" max="8723" width="9" style="14"/>
    <col min="8724" max="8724" width="14.25" style="14" customWidth="1"/>
    <col min="8725" max="8726" width="11.25" style="14" customWidth="1"/>
    <col min="8727" max="8960" width="9" style="14"/>
    <col min="8961" max="8961" width="8" style="14" customWidth="1"/>
    <col min="8962" max="8963" width="10.625" style="14" customWidth="1"/>
    <col min="8964" max="8965" width="7.625" style="14" customWidth="1"/>
    <col min="8966" max="8966" width="11.625" style="14" customWidth="1"/>
    <col min="8967" max="8967" width="9" style="14"/>
    <col min="8968" max="8968" width="6.625" style="14" customWidth="1"/>
    <col min="8969" max="8974" width="10.125" style="14" customWidth="1"/>
    <col min="8975" max="8979" width="9" style="14"/>
    <col min="8980" max="8980" width="14.25" style="14" customWidth="1"/>
    <col min="8981" max="8982" width="11.25" style="14" customWidth="1"/>
    <col min="8983" max="9216" width="9" style="14"/>
    <col min="9217" max="9217" width="8" style="14" customWidth="1"/>
    <col min="9218" max="9219" width="10.625" style="14" customWidth="1"/>
    <col min="9220" max="9221" width="7.625" style="14" customWidth="1"/>
    <col min="9222" max="9222" width="11.625" style="14" customWidth="1"/>
    <col min="9223" max="9223" width="9" style="14"/>
    <col min="9224" max="9224" width="6.625" style="14" customWidth="1"/>
    <col min="9225" max="9230" width="10.125" style="14" customWidth="1"/>
    <col min="9231" max="9235" width="9" style="14"/>
    <col min="9236" max="9236" width="14.25" style="14" customWidth="1"/>
    <col min="9237" max="9238" width="11.25" style="14" customWidth="1"/>
    <col min="9239" max="9472" width="9" style="14"/>
    <col min="9473" max="9473" width="8" style="14" customWidth="1"/>
    <col min="9474" max="9475" width="10.625" style="14" customWidth="1"/>
    <col min="9476" max="9477" width="7.625" style="14" customWidth="1"/>
    <col min="9478" max="9478" width="11.625" style="14" customWidth="1"/>
    <col min="9479" max="9479" width="9" style="14"/>
    <col min="9480" max="9480" width="6.625" style="14" customWidth="1"/>
    <col min="9481" max="9486" width="10.125" style="14" customWidth="1"/>
    <col min="9487" max="9491" width="9" style="14"/>
    <col min="9492" max="9492" width="14.25" style="14" customWidth="1"/>
    <col min="9493" max="9494" width="11.25" style="14" customWidth="1"/>
    <col min="9495" max="9728" width="9" style="14"/>
    <col min="9729" max="9729" width="8" style="14" customWidth="1"/>
    <col min="9730" max="9731" width="10.625" style="14" customWidth="1"/>
    <col min="9732" max="9733" width="7.625" style="14" customWidth="1"/>
    <col min="9734" max="9734" width="11.625" style="14" customWidth="1"/>
    <col min="9735" max="9735" width="9" style="14"/>
    <col min="9736" max="9736" width="6.625" style="14" customWidth="1"/>
    <col min="9737" max="9742" width="10.125" style="14" customWidth="1"/>
    <col min="9743" max="9747" width="9" style="14"/>
    <col min="9748" max="9748" width="14.25" style="14" customWidth="1"/>
    <col min="9749" max="9750" width="11.25" style="14" customWidth="1"/>
    <col min="9751" max="9984" width="9" style="14"/>
    <col min="9985" max="9985" width="8" style="14" customWidth="1"/>
    <col min="9986" max="9987" width="10.625" style="14" customWidth="1"/>
    <col min="9988" max="9989" width="7.625" style="14" customWidth="1"/>
    <col min="9990" max="9990" width="11.625" style="14" customWidth="1"/>
    <col min="9991" max="9991" width="9" style="14"/>
    <col min="9992" max="9992" width="6.625" style="14" customWidth="1"/>
    <col min="9993" max="9998" width="10.125" style="14" customWidth="1"/>
    <col min="9999" max="10003" width="9" style="14"/>
    <col min="10004" max="10004" width="14.25" style="14" customWidth="1"/>
    <col min="10005" max="10006" width="11.25" style="14" customWidth="1"/>
    <col min="10007" max="10240" width="9" style="14"/>
    <col min="10241" max="10241" width="8" style="14" customWidth="1"/>
    <col min="10242" max="10243" width="10.625" style="14" customWidth="1"/>
    <col min="10244" max="10245" width="7.625" style="14" customWidth="1"/>
    <col min="10246" max="10246" width="11.625" style="14" customWidth="1"/>
    <col min="10247" max="10247" width="9" style="14"/>
    <col min="10248" max="10248" width="6.625" style="14" customWidth="1"/>
    <col min="10249" max="10254" width="10.125" style="14" customWidth="1"/>
    <col min="10255" max="10259" width="9" style="14"/>
    <col min="10260" max="10260" width="14.25" style="14" customWidth="1"/>
    <col min="10261" max="10262" width="11.25" style="14" customWidth="1"/>
    <col min="10263" max="10496" width="9" style="14"/>
    <col min="10497" max="10497" width="8" style="14" customWidth="1"/>
    <col min="10498" max="10499" width="10.625" style="14" customWidth="1"/>
    <col min="10500" max="10501" width="7.625" style="14" customWidth="1"/>
    <col min="10502" max="10502" width="11.625" style="14" customWidth="1"/>
    <col min="10503" max="10503" width="9" style="14"/>
    <col min="10504" max="10504" width="6.625" style="14" customWidth="1"/>
    <col min="10505" max="10510" width="10.125" style="14" customWidth="1"/>
    <col min="10511" max="10515" width="9" style="14"/>
    <col min="10516" max="10516" width="14.25" style="14" customWidth="1"/>
    <col min="10517" max="10518" width="11.25" style="14" customWidth="1"/>
    <col min="10519" max="10752" width="9" style="14"/>
    <col min="10753" max="10753" width="8" style="14" customWidth="1"/>
    <col min="10754" max="10755" width="10.625" style="14" customWidth="1"/>
    <col min="10756" max="10757" width="7.625" style="14" customWidth="1"/>
    <col min="10758" max="10758" width="11.625" style="14" customWidth="1"/>
    <col min="10759" max="10759" width="9" style="14"/>
    <col min="10760" max="10760" width="6.625" style="14" customWidth="1"/>
    <col min="10761" max="10766" width="10.125" style="14" customWidth="1"/>
    <col min="10767" max="10771" width="9" style="14"/>
    <col min="10772" max="10772" width="14.25" style="14" customWidth="1"/>
    <col min="10773" max="10774" width="11.25" style="14" customWidth="1"/>
    <col min="10775" max="11008" width="9" style="14"/>
    <col min="11009" max="11009" width="8" style="14" customWidth="1"/>
    <col min="11010" max="11011" width="10.625" style="14" customWidth="1"/>
    <col min="11012" max="11013" width="7.625" style="14" customWidth="1"/>
    <col min="11014" max="11014" width="11.625" style="14" customWidth="1"/>
    <col min="11015" max="11015" width="9" style="14"/>
    <col min="11016" max="11016" width="6.625" style="14" customWidth="1"/>
    <col min="11017" max="11022" width="10.125" style="14" customWidth="1"/>
    <col min="11023" max="11027" width="9" style="14"/>
    <col min="11028" max="11028" width="14.25" style="14" customWidth="1"/>
    <col min="11029" max="11030" width="11.25" style="14" customWidth="1"/>
    <col min="11031" max="11264" width="9" style="14"/>
    <col min="11265" max="11265" width="8" style="14" customWidth="1"/>
    <col min="11266" max="11267" width="10.625" style="14" customWidth="1"/>
    <col min="11268" max="11269" width="7.625" style="14" customWidth="1"/>
    <col min="11270" max="11270" width="11.625" style="14" customWidth="1"/>
    <col min="11271" max="11271" width="9" style="14"/>
    <col min="11272" max="11272" width="6.625" style="14" customWidth="1"/>
    <col min="11273" max="11278" width="10.125" style="14" customWidth="1"/>
    <col min="11279" max="11283" width="9" style="14"/>
    <col min="11284" max="11284" width="14.25" style="14" customWidth="1"/>
    <col min="11285" max="11286" width="11.25" style="14" customWidth="1"/>
    <col min="11287" max="11520" width="9" style="14"/>
    <col min="11521" max="11521" width="8" style="14" customWidth="1"/>
    <col min="11522" max="11523" width="10.625" style="14" customWidth="1"/>
    <col min="11524" max="11525" width="7.625" style="14" customWidth="1"/>
    <col min="11526" max="11526" width="11.625" style="14" customWidth="1"/>
    <col min="11527" max="11527" width="9" style="14"/>
    <col min="11528" max="11528" width="6.625" style="14" customWidth="1"/>
    <col min="11529" max="11534" width="10.125" style="14" customWidth="1"/>
    <col min="11535" max="11539" width="9" style="14"/>
    <col min="11540" max="11540" width="14.25" style="14" customWidth="1"/>
    <col min="11541" max="11542" width="11.25" style="14" customWidth="1"/>
    <col min="11543" max="11776" width="9" style="14"/>
    <col min="11777" max="11777" width="8" style="14" customWidth="1"/>
    <col min="11778" max="11779" width="10.625" style="14" customWidth="1"/>
    <col min="11780" max="11781" width="7.625" style="14" customWidth="1"/>
    <col min="11782" max="11782" width="11.625" style="14" customWidth="1"/>
    <col min="11783" max="11783" width="9" style="14"/>
    <col min="11784" max="11784" width="6.625" style="14" customWidth="1"/>
    <col min="11785" max="11790" width="10.125" style="14" customWidth="1"/>
    <col min="11791" max="11795" width="9" style="14"/>
    <col min="11796" max="11796" width="14.25" style="14" customWidth="1"/>
    <col min="11797" max="11798" width="11.25" style="14" customWidth="1"/>
    <col min="11799" max="12032" width="9" style="14"/>
    <col min="12033" max="12033" width="8" style="14" customWidth="1"/>
    <col min="12034" max="12035" width="10.625" style="14" customWidth="1"/>
    <col min="12036" max="12037" width="7.625" style="14" customWidth="1"/>
    <col min="12038" max="12038" width="11.625" style="14" customWidth="1"/>
    <col min="12039" max="12039" width="9" style="14"/>
    <col min="12040" max="12040" width="6.625" style="14" customWidth="1"/>
    <col min="12041" max="12046" width="10.125" style="14" customWidth="1"/>
    <col min="12047" max="12051" width="9" style="14"/>
    <col min="12052" max="12052" width="14.25" style="14" customWidth="1"/>
    <col min="12053" max="12054" width="11.25" style="14" customWidth="1"/>
    <col min="12055" max="12288" width="9" style="14"/>
    <col min="12289" max="12289" width="8" style="14" customWidth="1"/>
    <col min="12290" max="12291" width="10.625" style="14" customWidth="1"/>
    <col min="12292" max="12293" width="7.625" style="14" customWidth="1"/>
    <col min="12294" max="12294" width="11.625" style="14" customWidth="1"/>
    <col min="12295" max="12295" width="9" style="14"/>
    <col min="12296" max="12296" width="6.625" style="14" customWidth="1"/>
    <col min="12297" max="12302" width="10.125" style="14" customWidth="1"/>
    <col min="12303" max="12307" width="9" style="14"/>
    <col min="12308" max="12308" width="14.25" style="14" customWidth="1"/>
    <col min="12309" max="12310" width="11.25" style="14" customWidth="1"/>
    <col min="12311" max="12544" width="9" style="14"/>
    <col min="12545" max="12545" width="8" style="14" customWidth="1"/>
    <col min="12546" max="12547" width="10.625" style="14" customWidth="1"/>
    <col min="12548" max="12549" width="7.625" style="14" customWidth="1"/>
    <col min="12550" max="12550" width="11.625" style="14" customWidth="1"/>
    <col min="12551" max="12551" width="9" style="14"/>
    <col min="12552" max="12552" width="6.625" style="14" customWidth="1"/>
    <col min="12553" max="12558" width="10.125" style="14" customWidth="1"/>
    <col min="12559" max="12563" width="9" style="14"/>
    <col min="12564" max="12564" width="14.25" style="14" customWidth="1"/>
    <col min="12565" max="12566" width="11.25" style="14" customWidth="1"/>
    <col min="12567" max="12800" width="9" style="14"/>
    <col min="12801" max="12801" width="8" style="14" customWidth="1"/>
    <col min="12802" max="12803" width="10.625" style="14" customWidth="1"/>
    <col min="12804" max="12805" width="7.625" style="14" customWidth="1"/>
    <col min="12806" max="12806" width="11.625" style="14" customWidth="1"/>
    <col min="12807" max="12807" width="9" style="14"/>
    <col min="12808" max="12808" width="6.625" style="14" customWidth="1"/>
    <col min="12809" max="12814" width="10.125" style="14" customWidth="1"/>
    <col min="12815" max="12819" width="9" style="14"/>
    <col min="12820" max="12820" width="14.25" style="14" customWidth="1"/>
    <col min="12821" max="12822" width="11.25" style="14" customWidth="1"/>
    <col min="12823" max="13056" width="9" style="14"/>
    <col min="13057" max="13057" width="8" style="14" customWidth="1"/>
    <col min="13058" max="13059" width="10.625" style="14" customWidth="1"/>
    <col min="13060" max="13061" width="7.625" style="14" customWidth="1"/>
    <col min="13062" max="13062" width="11.625" style="14" customWidth="1"/>
    <col min="13063" max="13063" width="9" style="14"/>
    <col min="13064" max="13064" width="6.625" style="14" customWidth="1"/>
    <col min="13065" max="13070" width="10.125" style="14" customWidth="1"/>
    <col min="13071" max="13075" width="9" style="14"/>
    <col min="13076" max="13076" width="14.25" style="14" customWidth="1"/>
    <col min="13077" max="13078" width="11.25" style="14" customWidth="1"/>
    <col min="13079" max="13312" width="9" style="14"/>
    <col min="13313" max="13313" width="8" style="14" customWidth="1"/>
    <col min="13314" max="13315" width="10.625" style="14" customWidth="1"/>
    <col min="13316" max="13317" width="7.625" style="14" customWidth="1"/>
    <col min="13318" max="13318" width="11.625" style="14" customWidth="1"/>
    <col min="13319" max="13319" width="9" style="14"/>
    <col min="13320" max="13320" width="6.625" style="14" customWidth="1"/>
    <col min="13321" max="13326" width="10.125" style="14" customWidth="1"/>
    <col min="13327" max="13331" width="9" style="14"/>
    <col min="13332" max="13332" width="14.25" style="14" customWidth="1"/>
    <col min="13333" max="13334" width="11.25" style="14" customWidth="1"/>
    <col min="13335" max="13568" width="9" style="14"/>
    <col min="13569" max="13569" width="8" style="14" customWidth="1"/>
    <col min="13570" max="13571" width="10.625" style="14" customWidth="1"/>
    <col min="13572" max="13573" width="7.625" style="14" customWidth="1"/>
    <col min="13574" max="13574" width="11.625" style="14" customWidth="1"/>
    <col min="13575" max="13575" width="9" style="14"/>
    <col min="13576" max="13576" width="6.625" style="14" customWidth="1"/>
    <col min="13577" max="13582" width="10.125" style="14" customWidth="1"/>
    <col min="13583" max="13587" width="9" style="14"/>
    <col min="13588" max="13588" width="14.25" style="14" customWidth="1"/>
    <col min="13589" max="13590" width="11.25" style="14" customWidth="1"/>
    <col min="13591" max="13824" width="9" style="14"/>
    <col min="13825" max="13825" width="8" style="14" customWidth="1"/>
    <col min="13826" max="13827" width="10.625" style="14" customWidth="1"/>
    <col min="13828" max="13829" width="7.625" style="14" customWidth="1"/>
    <col min="13830" max="13830" width="11.625" style="14" customWidth="1"/>
    <col min="13831" max="13831" width="9" style="14"/>
    <col min="13832" max="13832" width="6.625" style="14" customWidth="1"/>
    <col min="13833" max="13838" width="10.125" style="14" customWidth="1"/>
    <col min="13839" max="13843" width="9" style="14"/>
    <col min="13844" max="13844" width="14.25" style="14" customWidth="1"/>
    <col min="13845" max="13846" width="11.25" style="14" customWidth="1"/>
    <col min="13847" max="14080" width="9" style="14"/>
    <col min="14081" max="14081" width="8" style="14" customWidth="1"/>
    <col min="14082" max="14083" width="10.625" style="14" customWidth="1"/>
    <col min="14084" max="14085" width="7.625" style="14" customWidth="1"/>
    <col min="14086" max="14086" width="11.625" style="14" customWidth="1"/>
    <col min="14087" max="14087" width="9" style="14"/>
    <col min="14088" max="14088" width="6.625" style="14" customWidth="1"/>
    <col min="14089" max="14094" width="10.125" style="14" customWidth="1"/>
    <col min="14095" max="14099" width="9" style="14"/>
    <col min="14100" max="14100" width="14.25" style="14" customWidth="1"/>
    <col min="14101" max="14102" width="11.25" style="14" customWidth="1"/>
    <col min="14103" max="14336" width="9" style="14"/>
    <col min="14337" max="14337" width="8" style="14" customWidth="1"/>
    <col min="14338" max="14339" width="10.625" style="14" customWidth="1"/>
    <col min="14340" max="14341" width="7.625" style="14" customWidth="1"/>
    <col min="14342" max="14342" width="11.625" style="14" customWidth="1"/>
    <col min="14343" max="14343" width="9" style="14"/>
    <col min="14344" max="14344" width="6.625" style="14" customWidth="1"/>
    <col min="14345" max="14350" width="10.125" style="14" customWidth="1"/>
    <col min="14351" max="14355" width="9" style="14"/>
    <col min="14356" max="14356" width="14.25" style="14" customWidth="1"/>
    <col min="14357" max="14358" width="11.25" style="14" customWidth="1"/>
    <col min="14359" max="14592" width="9" style="14"/>
    <col min="14593" max="14593" width="8" style="14" customWidth="1"/>
    <col min="14594" max="14595" width="10.625" style="14" customWidth="1"/>
    <col min="14596" max="14597" width="7.625" style="14" customWidth="1"/>
    <col min="14598" max="14598" width="11.625" style="14" customWidth="1"/>
    <col min="14599" max="14599" width="9" style="14"/>
    <col min="14600" max="14600" width="6.625" style="14" customWidth="1"/>
    <col min="14601" max="14606" width="10.125" style="14" customWidth="1"/>
    <col min="14607" max="14611" width="9" style="14"/>
    <col min="14612" max="14612" width="14.25" style="14" customWidth="1"/>
    <col min="14613" max="14614" width="11.25" style="14" customWidth="1"/>
    <col min="14615" max="14848" width="9" style="14"/>
    <col min="14849" max="14849" width="8" style="14" customWidth="1"/>
    <col min="14850" max="14851" width="10.625" style="14" customWidth="1"/>
    <col min="14852" max="14853" width="7.625" style="14" customWidth="1"/>
    <col min="14854" max="14854" width="11.625" style="14" customWidth="1"/>
    <col min="14855" max="14855" width="9" style="14"/>
    <col min="14856" max="14856" width="6.625" style="14" customWidth="1"/>
    <col min="14857" max="14862" width="10.125" style="14" customWidth="1"/>
    <col min="14863" max="14867" width="9" style="14"/>
    <col min="14868" max="14868" width="14.25" style="14" customWidth="1"/>
    <col min="14869" max="14870" width="11.25" style="14" customWidth="1"/>
    <col min="14871" max="15104" width="9" style="14"/>
    <col min="15105" max="15105" width="8" style="14" customWidth="1"/>
    <col min="15106" max="15107" width="10.625" style="14" customWidth="1"/>
    <col min="15108" max="15109" width="7.625" style="14" customWidth="1"/>
    <col min="15110" max="15110" width="11.625" style="14" customWidth="1"/>
    <col min="15111" max="15111" width="9" style="14"/>
    <col min="15112" max="15112" width="6.625" style="14" customWidth="1"/>
    <col min="15113" max="15118" width="10.125" style="14" customWidth="1"/>
    <col min="15119" max="15123" width="9" style="14"/>
    <col min="15124" max="15124" width="14.25" style="14" customWidth="1"/>
    <col min="15125" max="15126" width="11.25" style="14" customWidth="1"/>
    <col min="15127" max="15360" width="9" style="14"/>
    <col min="15361" max="15361" width="8" style="14" customWidth="1"/>
    <col min="15362" max="15363" width="10.625" style="14" customWidth="1"/>
    <col min="15364" max="15365" width="7.625" style="14" customWidth="1"/>
    <col min="15366" max="15366" width="11.625" style="14" customWidth="1"/>
    <col min="15367" max="15367" width="9" style="14"/>
    <col min="15368" max="15368" width="6.625" style="14" customWidth="1"/>
    <col min="15369" max="15374" width="10.125" style="14" customWidth="1"/>
    <col min="15375" max="15379" width="9" style="14"/>
    <col min="15380" max="15380" width="14.25" style="14" customWidth="1"/>
    <col min="15381" max="15382" width="11.25" style="14" customWidth="1"/>
    <col min="15383" max="15616" width="9" style="14"/>
    <col min="15617" max="15617" width="8" style="14" customWidth="1"/>
    <col min="15618" max="15619" width="10.625" style="14" customWidth="1"/>
    <col min="15620" max="15621" width="7.625" style="14" customWidth="1"/>
    <col min="15622" max="15622" width="11.625" style="14" customWidth="1"/>
    <col min="15623" max="15623" width="9" style="14"/>
    <col min="15624" max="15624" width="6.625" style="14" customWidth="1"/>
    <col min="15625" max="15630" width="10.125" style="14" customWidth="1"/>
    <col min="15631" max="15635" width="9" style="14"/>
    <col min="15636" max="15636" width="14.25" style="14" customWidth="1"/>
    <col min="15637" max="15638" width="11.25" style="14" customWidth="1"/>
    <col min="15639" max="15872" width="9" style="14"/>
    <col min="15873" max="15873" width="8" style="14" customWidth="1"/>
    <col min="15874" max="15875" width="10.625" style="14" customWidth="1"/>
    <col min="15876" max="15877" width="7.625" style="14" customWidth="1"/>
    <col min="15878" max="15878" width="11.625" style="14" customWidth="1"/>
    <col min="15879" max="15879" width="9" style="14"/>
    <col min="15880" max="15880" width="6.625" style="14" customWidth="1"/>
    <col min="15881" max="15886" width="10.125" style="14" customWidth="1"/>
    <col min="15887" max="15891" width="9" style="14"/>
    <col min="15892" max="15892" width="14.25" style="14" customWidth="1"/>
    <col min="15893" max="15894" width="11.25" style="14" customWidth="1"/>
    <col min="15895" max="16128" width="9" style="14"/>
    <col min="16129" max="16129" width="8" style="14" customWidth="1"/>
    <col min="16130" max="16131" width="10.625" style="14" customWidth="1"/>
    <col min="16132" max="16133" width="7.625" style="14" customWidth="1"/>
    <col min="16134" max="16134" width="11.625" style="14" customWidth="1"/>
    <col min="16135" max="16135" width="9" style="14"/>
    <col min="16136" max="16136" width="6.625" style="14" customWidth="1"/>
    <col min="16137" max="16142" width="10.125" style="14" customWidth="1"/>
    <col min="16143" max="16147" width="9" style="14"/>
    <col min="16148" max="16148" width="14.25" style="14" customWidth="1"/>
    <col min="16149" max="16150" width="11.25" style="14" customWidth="1"/>
    <col min="16151" max="16384" width="9" style="14"/>
  </cols>
  <sheetData>
    <row r="1" spans="1:66" ht="31.5" thickBot="1" x14ac:dyDescent="0.5">
      <c r="A1" s="10" t="s">
        <v>19</v>
      </c>
      <c r="I1" s="13"/>
      <c r="J1" s="13"/>
      <c r="K1" s="13"/>
      <c r="L1" s="13"/>
      <c r="M1" s="13"/>
      <c r="N1" s="13"/>
      <c r="O1" s="13"/>
      <c r="Q1" s="13"/>
      <c r="AH1" s="16"/>
      <c r="AI1" s="16"/>
      <c r="AJ1" s="16"/>
      <c r="AK1" s="16"/>
      <c r="AL1" s="58" t="s">
        <v>45</v>
      </c>
      <c r="AM1" s="58" t="s">
        <v>46</v>
      </c>
      <c r="AN1" s="16"/>
      <c r="BC1" s="13"/>
      <c r="BD1" s="13"/>
      <c r="BE1" s="13"/>
      <c r="BF1" s="13"/>
      <c r="BG1" s="13"/>
      <c r="BH1" s="13"/>
      <c r="BI1" s="13"/>
      <c r="BJ1" s="13"/>
      <c r="BK1" s="13"/>
      <c r="BL1" s="13"/>
      <c r="BM1" s="13"/>
      <c r="BN1" s="13"/>
    </row>
    <row r="2" spans="1:66" s="20" customFormat="1" ht="39.75" customHeight="1" thickBot="1" x14ac:dyDescent="0.35">
      <c r="A2" s="17" t="s">
        <v>20</v>
      </c>
      <c r="B2" s="56" t="s">
        <v>45</v>
      </c>
      <c r="C2" s="57" t="s">
        <v>46</v>
      </c>
      <c r="D2" s="13"/>
      <c r="E2" s="19"/>
      <c r="F2" s="59" t="s">
        <v>21</v>
      </c>
      <c r="G2" s="60"/>
      <c r="I2" s="21"/>
      <c r="J2" s="21"/>
      <c r="K2" s="21"/>
      <c r="L2" s="21"/>
      <c r="M2" s="21"/>
      <c r="N2" s="21"/>
      <c r="O2" s="21"/>
      <c r="Q2" s="21"/>
      <c r="R2" s="13"/>
      <c r="S2" s="13"/>
      <c r="T2" s="13"/>
      <c r="U2" s="13"/>
      <c r="V2" s="13"/>
      <c r="W2" s="21"/>
      <c r="X2" s="21"/>
      <c r="Y2" s="13"/>
      <c r="Z2" s="13"/>
      <c r="AA2" s="13"/>
      <c r="AB2" s="13"/>
      <c r="AC2" s="13"/>
      <c r="AD2" s="13"/>
      <c r="AE2" s="13"/>
      <c r="AF2" s="13"/>
      <c r="AG2" s="13"/>
      <c r="AH2" s="16">
        <v>100</v>
      </c>
      <c r="AI2" s="16"/>
      <c r="AJ2" s="16"/>
      <c r="AK2" s="16">
        <v>100</v>
      </c>
      <c r="AL2" s="16">
        <v>0</v>
      </c>
      <c r="AM2" s="16">
        <v>0</v>
      </c>
      <c r="AN2" s="16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21"/>
      <c r="BD2" s="21"/>
      <c r="BE2" s="21"/>
      <c r="BF2" s="21"/>
      <c r="BG2" s="21"/>
      <c r="BH2" s="21"/>
      <c r="BI2" s="21"/>
      <c r="BJ2" s="21"/>
      <c r="BK2" s="21"/>
      <c r="BL2" s="21"/>
      <c r="BM2" s="21"/>
      <c r="BN2" s="21"/>
    </row>
    <row r="3" spans="1:66" ht="16.5" thickBot="1" x14ac:dyDescent="0.3">
      <c r="A3" s="22">
        <v>1</v>
      </c>
      <c r="B3" s="23">
        <v>318.60152058086101</v>
      </c>
      <c r="C3" s="24">
        <v>2687.9048054804634</v>
      </c>
      <c r="E3" s="25"/>
      <c r="F3" s="26">
        <v>10000</v>
      </c>
      <c r="G3" s="27" t="s">
        <v>22</v>
      </c>
      <c r="AH3" s="16">
        <v>200</v>
      </c>
      <c r="AI3" s="16"/>
      <c r="AJ3" s="16"/>
      <c r="AK3" s="16">
        <v>100</v>
      </c>
      <c r="AL3" s="16">
        <v>230</v>
      </c>
      <c r="AM3" s="16">
        <v>0</v>
      </c>
      <c r="AN3" s="16"/>
      <c r="BC3" s="13"/>
      <c r="BD3" s="13"/>
      <c r="BE3" s="13"/>
      <c r="BF3" s="13"/>
      <c r="BG3" s="13"/>
      <c r="BH3" s="13"/>
      <c r="BI3" s="13"/>
      <c r="BJ3" s="13"/>
      <c r="BK3" s="13"/>
      <c r="BL3" s="13"/>
      <c r="BM3" s="13"/>
      <c r="BN3" s="13"/>
    </row>
    <row r="4" spans="1:66" ht="16.5" thickBot="1" x14ac:dyDescent="0.3">
      <c r="A4" s="22">
        <v>2</v>
      </c>
      <c r="B4" s="23">
        <v>344.89326458462915</v>
      </c>
      <c r="C4" s="24">
        <v>2031.9924422927004</v>
      </c>
      <c r="E4" s="25"/>
      <c r="F4" s="28">
        <v>58.000000356696546</v>
      </c>
      <c r="G4" s="29" t="s">
        <v>23</v>
      </c>
      <c r="I4" s="61" t="s">
        <v>36</v>
      </c>
      <c r="J4" s="62"/>
      <c r="K4" s="63" t="s">
        <v>37</v>
      </c>
      <c r="L4" s="64"/>
      <c r="M4" s="65" t="s">
        <v>24</v>
      </c>
      <c r="N4" s="66"/>
      <c r="P4" s="30"/>
      <c r="AH4" s="16">
        <v>300</v>
      </c>
      <c r="AI4" s="16"/>
      <c r="AJ4" s="16"/>
      <c r="AK4" s="16">
        <v>200</v>
      </c>
      <c r="AL4" s="16">
        <v>230</v>
      </c>
      <c r="AM4" s="16">
        <v>0</v>
      </c>
      <c r="AN4" s="16"/>
      <c r="BC4" s="13"/>
      <c r="BD4" s="13"/>
      <c r="BE4" s="13"/>
      <c r="BF4" s="13"/>
      <c r="BG4" s="13"/>
      <c r="BH4" s="13"/>
      <c r="BI4" s="13"/>
      <c r="BJ4" s="13"/>
      <c r="BK4" s="13"/>
      <c r="BL4" s="13"/>
      <c r="BM4" s="13"/>
      <c r="BN4" s="13"/>
    </row>
    <row r="5" spans="1:66" x14ac:dyDescent="0.25">
      <c r="A5" s="22">
        <v>3</v>
      </c>
      <c r="B5" s="23">
        <v>260.16921307257167</v>
      </c>
      <c r="C5" s="24">
        <v>2074.2843732981055</v>
      </c>
      <c r="E5" s="31"/>
      <c r="F5" s="32"/>
      <c r="G5" s="31"/>
      <c r="I5" s="33" t="s">
        <v>25</v>
      </c>
      <c r="J5" s="34">
        <v>326.3814426297468</v>
      </c>
      <c r="K5" s="35" t="s">
        <v>25</v>
      </c>
      <c r="L5" s="36">
        <v>2304.943991104974</v>
      </c>
      <c r="M5" s="37"/>
      <c r="N5" s="38"/>
      <c r="P5" s="30"/>
      <c r="AH5" s="16">
        <v>400</v>
      </c>
      <c r="AI5" s="16"/>
      <c r="AJ5" s="16"/>
      <c r="AK5" s="16">
        <v>200</v>
      </c>
      <c r="AL5" s="16">
        <v>3737</v>
      </c>
      <c r="AM5" s="16">
        <v>0</v>
      </c>
      <c r="AN5" s="16"/>
      <c r="BC5" s="13"/>
      <c r="BD5" s="13"/>
      <c r="BE5" s="13"/>
      <c r="BF5" s="13"/>
      <c r="BG5" s="13"/>
      <c r="BH5" s="13"/>
      <c r="BI5" s="13"/>
      <c r="BJ5" s="13"/>
      <c r="BK5" s="13"/>
      <c r="BL5" s="13"/>
      <c r="BM5" s="13"/>
      <c r="BN5" s="13"/>
    </row>
    <row r="6" spans="1:66" x14ac:dyDescent="0.25">
      <c r="A6" s="22">
        <v>4</v>
      </c>
      <c r="B6" s="23">
        <v>331.03065576505804</v>
      </c>
      <c r="C6" s="24">
        <v>2609.1110424254334</v>
      </c>
      <c r="I6" s="33" t="s">
        <v>66</v>
      </c>
      <c r="J6" s="39">
        <v>75.375176092025697</v>
      </c>
      <c r="K6" s="35" t="s">
        <v>26</v>
      </c>
      <c r="L6" s="40">
        <v>424.02035656468144</v>
      </c>
      <c r="M6" s="41"/>
      <c r="N6" s="42"/>
      <c r="AH6" s="16">
        <v>500</v>
      </c>
      <c r="AI6" s="16"/>
      <c r="AJ6" s="16"/>
      <c r="AK6" s="16">
        <v>300</v>
      </c>
      <c r="AL6" s="16">
        <v>3737</v>
      </c>
      <c r="AM6" s="16">
        <v>0</v>
      </c>
      <c r="AN6" s="16"/>
      <c r="BC6" s="13"/>
      <c r="BD6" s="13"/>
      <c r="BE6" s="13"/>
      <c r="BF6" s="13"/>
      <c r="BG6" s="13"/>
      <c r="BH6" s="13"/>
      <c r="BI6" s="13"/>
      <c r="BJ6" s="13"/>
      <c r="BK6" s="13"/>
      <c r="BL6" s="13"/>
      <c r="BM6" s="13"/>
      <c r="BN6" s="13"/>
    </row>
    <row r="7" spans="1:66" x14ac:dyDescent="0.25">
      <c r="A7" s="22">
        <v>5</v>
      </c>
      <c r="B7" s="23">
        <v>246.82160961219554</v>
      </c>
      <c r="C7" s="24">
        <v>2562.0584711336046</v>
      </c>
      <c r="F7" s="43"/>
      <c r="I7" s="33" t="s">
        <v>27</v>
      </c>
      <c r="J7" s="34">
        <v>722.17005795125533</v>
      </c>
      <c r="K7" s="35" t="s">
        <v>27</v>
      </c>
      <c r="L7" s="36">
        <v>4851.3548303193575</v>
      </c>
      <c r="M7" s="25"/>
      <c r="N7" s="44"/>
      <c r="AH7" s="16">
        <v>600</v>
      </c>
      <c r="AI7" s="16"/>
      <c r="AJ7" s="16"/>
      <c r="AK7" s="16">
        <v>300</v>
      </c>
      <c r="AL7" s="16">
        <v>4425</v>
      </c>
      <c r="AM7" s="16">
        <v>0</v>
      </c>
      <c r="AN7" s="16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</row>
    <row r="8" spans="1:66" ht="16.5" thickBot="1" x14ac:dyDescent="0.3">
      <c r="A8" s="22">
        <v>6</v>
      </c>
      <c r="B8" s="23">
        <v>447.33762488372776</v>
      </c>
      <c r="C8" s="24">
        <v>2254.1088106042471</v>
      </c>
      <c r="F8" s="43"/>
      <c r="I8" s="45" t="s">
        <v>28</v>
      </c>
      <c r="J8" s="46">
        <v>123.4335298743168</v>
      </c>
      <c r="K8" s="47" t="s">
        <v>28</v>
      </c>
      <c r="L8" s="48">
        <v>1148.1048025839211</v>
      </c>
      <c r="M8" s="49"/>
      <c r="N8" s="50"/>
      <c r="AH8" s="16">
        <v>700</v>
      </c>
      <c r="AI8" s="16"/>
      <c r="AJ8" s="16"/>
      <c r="AK8" s="16">
        <v>400</v>
      </c>
      <c r="AL8" s="16">
        <v>4425</v>
      </c>
      <c r="AM8" s="16">
        <v>0</v>
      </c>
      <c r="AN8" s="16"/>
      <c r="BC8" s="13"/>
      <c r="BD8" s="13"/>
      <c r="BE8" s="13"/>
      <c r="BF8" s="13"/>
      <c r="BG8" s="13"/>
      <c r="BH8" s="13"/>
      <c r="BI8" s="13"/>
      <c r="BJ8" s="13"/>
      <c r="BK8" s="13"/>
      <c r="BL8" s="13"/>
      <c r="BM8" s="13"/>
      <c r="BN8" s="13"/>
    </row>
    <row r="9" spans="1:66" x14ac:dyDescent="0.25">
      <c r="A9" s="22">
        <v>7</v>
      </c>
      <c r="B9" s="23">
        <v>480.59974612473854</v>
      </c>
      <c r="C9" s="24">
        <v>2126.9988818526185</v>
      </c>
      <c r="F9" s="43"/>
      <c r="I9" s="31"/>
      <c r="J9" s="51"/>
      <c r="K9" s="31"/>
      <c r="L9" s="31"/>
      <c r="M9" s="31"/>
      <c r="N9" s="31"/>
      <c r="AH9" s="16">
        <v>800</v>
      </c>
      <c r="AI9" s="16"/>
      <c r="AJ9" s="16"/>
      <c r="AK9" s="16">
        <v>400</v>
      </c>
      <c r="AL9" s="16">
        <v>1398</v>
      </c>
      <c r="AM9" s="16">
        <v>0</v>
      </c>
      <c r="AN9" s="16"/>
      <c r="BC9" s="13"/>
      <c r="BD9" s="13"/>
      <c r="BE9" s="13"/>
      <c r="BF9" s="13"/>
      <c r="BG9" s="13"/>
      <c r="BH9" s="13"/>
      <c r="BI9" s="13"/>
      <c r="BJ9" s="13"/>
      <c r="BK9" s="13"/>
      <c r="BL9" s="13"/>
      <c r="BM9" s="13"/>
      <c r="BN9" s="13"/>
    </row>
    <row r="10" spans="1:66" x14ac:dyDescent="0.25">
      <c r="A10" s="22">
        <v>8</v>
      </c>
      <c r="B10" s="23">
        <v>374.51285336933779</v>
      </c>
      <c r="C10" s="24">
        <v>1680.4602764687052</v>
      </c>
      <c r="F10" s="43"/>
      <c r="I10" s="25"/>
      <c r="J10" s="51"/>
      <c r="K10" s="31"/>
      <c r="L10" s="31"/>
      <c r="M10" s="31"/>
      <c r="N10" s="31"/>
      <c r="P10" s="30"/>
      <c r="AH10" s="16"/>
      <c r="AI10" s="16"/>
      <c r="AJ10" s="16"/>
      <c r="AK10" s="16">
        <v>500</v>
      </c>
      <c r="AL10" s="16">
        <v>1398</v>
      </c>
      <c r="AM10" s="16">
        <v>0</v>
      </c>
      <c r="AN10" s="16"/>
      <c r="BC10" s="13"/>
      <c r="BD10" s="13"/>
      <c r="BE10" s="13"/>
      <c r="BF10" s="13"/>
      <c r="BG10" s="13"/>
      <c r="BH10" s="13"/>
      <c r="BI10" s="13"/>
      <c r="BJ10" s="13"/>
      <c r="BK10" s="13"/>
      <c r="BL10" s="13"/>
      <c r="BM10" s="13"/>
      <c r="BN10" s="13"/>
    </row>
    <row r="11" spans="1:66" x14ac:dyDescent="0.25">
      <c r="A11" s="22">
        <v>9</v>
      </c>
      <c r="B11" s="23">
        <v>399.13142318293933</v>
      </c>
      <c r="C11" s="24">
        <v>2222.4720595781764</v>
      </c>
      <c r="I11" s="31"/>
      <c r="J11" s="51"/>
      <c r="K11" s="31"/>
      <c r="L11" s="31"/>
      <c r="M11" s="31"/>
      <c r="N11" s="31"/>
      <c r="P11" s="30"/>
      <c r="AH11" s="16"/>
      <c r="AI11" s="16"/>
      <c r="AJ11" s="16"/>
      <c r="AK11" s="16">
        <v>500</v>
      </c>
      <c r="AL11" s="16">
        <v>193</v>
      </c>
      <c r="AM11" s="16">
        <v>0</v>
      </c>
      <c r="AN11" s="16"/>
      <c r="BC11" s="13"/>
      <c r="BD11" s="13"/>
      <c r="BE11" s="13"/>
      <c r="BF11" s="13"/>
      <c r="BG11" s="13"/>
      <c r="BH11" s="13"/>
      <c r="BI11" s="13"/>
      <c r="BJ11" s="13"/>
      <c r="BK11" s="13"/>
      <c r="BL11" s="13"/>
      <c r="BM11" s="13"/>
      <c r="BN11" s="13"/>
    </row>
    <row r="12" spans="1:66" x14ac:dyDescent="0.25">
      <c r="A12" s="22">
        <v>10</v>
      </c>
      <c r="B12" s="23">
        <v>364.72094975171558</v>
      </c>
      <c r="C12" s="24">
        <v>2444.3786533433877</v>
      </c>
      <c r="I12" s="31"/>
      <c r="J12" s="31"/>
      <c r="K12" s="31"/>
      <c r="L12" s="31"/>
      <c r="M12" s="31"/>
      <c r="N12" s="31"/>
      <c r="P12" s="30"/>
      <c r="AH12" s="16"/>
      <c r="AI12" s="16"/>
      <c r="AJ12" s="16"/>
      <c r="AK12" s="16">
        <v>600</v>
      </c>
      <c r="AL12" s="16">
        <v>193</v>
      </c>
      <c r="AM12" s="16">
        <v>0</v>
      </c>
      <c r="AN12" s="16"/>
      <c r="BC12" s="13"/>
      <c r="BD12" s="13"/>
      <c r="BE12" s="13"/>
      <c r="BF12" s="13"/>
      <c r="BG12" s="13"/>
      <c r="BH12" s="13"/>
      <c r="BI12" s="13"/>
      <c r="BJ12" s="13"/>
      <c r="BK12" s="13"/>
      <c r="BL12" s="13"/>
      <c r="BM12" s="13"/>
      <c r="BN12" s="13"/>
    </row>
    <row r="13" spans="1:66" x14ac:dyDescent="0.25">
      <c r="A13" s="22">
        <v>11</v>
      </c>
      <c r="B13" s="23">
        <v>408.87505614918473</v>
      </c>
      <c r="C13" s="24">
        <v>2188.3558975602359</v>
      </c>
      <c r="I13" s="31"/>
      <c r="J13" s="31"/>
      <c r="K13" s="31"/>
      <c r="L13" s="31"/>
      <c r="M13" s="31"/>
      <c r="N13" s="31"/>
      <c r="AH13" s="16"/>
      <c r="AI13" s="16"/>
      <c r="AJ13" s="16"/>
      <c r="AK13" s="16">
        <v>600</v>
      </c>
      <c r="AL13" s="16">
        <v>15</v>
      </c>
      <c r="AM13" s="16">
        <v>0</v>
      </c>
      <c r="AN13" s="16"/>
      <c r="BC13" s="13"/>
      <c r="BD13" s="13"/>
      <c r="BE13" s="13"/>
      <c r="BF13" s="13"/>
      <c r="BG13" s="13"/>
      <c r="BH13" s="13"/>
      <c r="BI13" s="13"/>
      <c r="BJ13" s="13"/>
      <c r="BK13" s="13"/>
      <c r="BL13" s="13"/>
      <c r="BM13" s="13"/>
      <c r="BN13" s="13"/>
    </row>
    <row r="14" spans="1:66" x14ac:dyDescent="0.25">
      <c r="A14" s="22">
        <v>12</v>
      </c>
      <c r="B14" s="23">
        <v>265.22827319661235</v>
      </c>
      <c r="C14" s="24">
        <v>3146.4146451153424</v>
      </c>
      <c r="E14" s="52"/>
      <c r="I14" s="31"/>
      <c r="J14" s="31"/>
      <c r="K14" s="31"/>
      <c r="L14" s="31"/>
      <c r="M14" s="31"/>
      <c r="N14" s="31"/>
      <c r="AH14" s="16"/>
      <c r="AI14" s="16"/>
      <c r="AJ14" s="16"/>
      <c r="AK14" s="16">
        <v>700</v>
      </c>
      <c r="AL14" s="16">
        <v>15</v>
      </c>
      <c r="AM14" s="16">
        <v>0</v>
      </c>
      <c r="AN14" s="16"/>
      <c r="BC14" s="13"/>
      <c r="BD14" s="13"/>
      <c r="BE14" s="13"/>
      <c r="BF14" s="13"/>
      <c r="BG14" s="13"/>
      <c r="BH14" s="13"/>
      <c r="BI14" s="13"/>
      <c r="BJ14" s="13"/>
      <c r="BK14" s="13"/>
      <c r="BL14" s="13"/>
      <c r="BM14" s="13"/>
      <c r="BN14" s="13"/>
    </row>
    <row r="15" spans="1:66" x14ac:dyDescent="0.25">
      <c r="A15" s="22">
        <v>13</v>
      </c>
      <c r="B15" s="23">
        <v>305.61552795789368</v>
      </c>
      <c r="C15" s="24">
        <v>1955.4189272330859</v>
      </c>
      <c r="E15" s="52"/>
      <c r="I15" s="31"/>
      <c r="J15" s="31"/>
      <c r="K15" s="31"/>
      <c r="L15" s="31"/>
      <c r="M15" s="31"/>
      <c r="N15" s="31"/>
      <c r="AH15" s="16"/>
      <c r="AI15" s="16"/>
      <c r="AJ15" s="16"/>
      <c r="AK15" s="16">
        <v>700</v>
      </c>
      <c r="AL15" s="16">
        <v>2</v>
      </c>
      <c r="AM15" s="16">
        <v>0</v>
      </c>
      <c r="AN15" s="16"/>
      <c r="BC15" s="13"/>
      <c r="BD15" s="13"/>
      <c r="BE15" s="13"/>
      <c r="BF15" s="13"/>
      <c r="BG15" s="13"/>
      <c r="BH15" s="13"/>
      <c r="BI15" s="13"/>
      <c r="BJ15" s="13"/>
      <c r="BK15" s="13"/>
      <c r="BL15" s="13"/>
      <c r="BM15" s="13"/>
      <c r="BN15" s="13"/>
    </row>
    <row r="16" spans="1:66" x14ac:dyDescent="0.25">
      <c r="A16" s="22">
        <v>14</v>
      </c>
      <c r="B16" s="23">
        <v>328.77845830509983</v>
      </c>
      <c r="C16" s="24">
        <v>1617.3642714533626</v>
      </c>
      <c r="E16" s="52"/>
      <c r="I16" s="31"/>
      <c r="J16" s="31"/>
      <c r="K16" s="31"/>
      <c r="L16" s="31"/>
      <c r="M16" s="31"/>
      <c r="N16" s="31"/>
      <c r="AH16" s="16"/>
      <c r="AI16" s="16"/>
      <c r="AJ16" s="16"/>
      <c r="AK16" s="16">
        <v>800</v>
      </c>
      <c r="AL16" s="16">
        <v>2</v>
      </c>
      <c r="AM16" s="16">
        <v>0</v>
      </c>
      <c r="AN16" s="16"/>
      <c r="BC16" s="13"/>
      <c r="BD16" s="13"/>
      <c r="BE16" s="13"/>
      <c r="BF16" s="13"/>
      <c r="BG16" s="13"/>
      <c r="BH16" s="13"/>
      <c r="BI16" s="13"/>
      <c r="BJ16" s="13"/>
      <c r="BK16" s="13"/>
      <c r="BL16" s="13"/>
      <c r="BM16" s="13"/>
      <c r="BN16" s="13"/>
    </row>
    <row r="17" spans="1:66" x14ac:dyDescent="0.25">
      <c r="A17" s="22">
        <v>15</v>
      </c>
      <c r="B17" s="23">
        <v>271.53611768144856</v>
      </c>
      <c r="C17" s="24">
        <v>2309.3018795425974</v>
      </c>
      <c r="I17" s="31"/>
      <c r="J17" s="31"/>
      <c r="K17" s="31"/>
      <c r="L17" s="31"/>
      <c r="M17" s="31"/>
      <c r="N17" s="31"/>
      <c r="AH17" s="16"/>
      <c r="AI17" s="16"/>
      <c r="AJ17" s="16"/>
      <c r="AK17" s="16">
        <v>800</v>
      </c>
      <c r="AL17" s="16">
        <v>0</v>
      </c>
      <c r="AM17" s="16">
        <v>0</v>
      </c>
      <c r="AN17" s="16"/>
      <c r="BC17" s="13"/>
      <c r="BD17" s="13"/>
      <c r="BE17" s="13"/>
      <c r="BF17" s="13"/>
      <c r="BG17" s="13"/>
      <c r="BH17" s="13"/>
      <c r="BI17" s="13"/>
      <c r="BJ17" s="13"/>
      <c r="BK17" s="13"/>
      <c r="BL17" s="13"/>
      <c r="BM17" s="13"/>
      <c r="BN17" s="13"/>
    </row>
    <row r="18" spans="1:66" x14ac:dyDescent="0.25">
      <c r="A18" s="22">
        <v>16</v>
      </c>
      <c r="B18" s="23">
        <v>282.64203506311901</v>
      </c>
      <c r="C18" s="24">
        <v>2370.8090806457089</v>
      </c>
      <c r="I18" s="31"/>
      <c r="J18" s="31"/>
      <c r="K18" s="31"/>
      <c r="L18" s="31"/>
      <c r="M18" s="31"/>
      <c r="N18" s="31"/>
      <c r="AH18" s="16"/>
      <c r="AI18" s="16"/>
      <c r="AJ18" s="16"/>
      <c r="AK18" s="16">
        <v>900</v>
      </c>
      <c r="AL18" s="16"/>
      <c r="AM18" s="16">
        <v>0</v>
      </c>
      <c r="AN18" s="16"/>
      <c r="BC18" s="13"/>
      <c r="BD18" s="13"/>
      <c r="BE18" s="13"/>
      <c r="BF18" s="13"/>
      <c r="BG18" s="13"/>
      <c r="BH18" s="13"/>
      <c r="BI18" s="13"/>
      <c r="BJ18" s="13"/>
      <c r="BK18" s="13"/>
      <c r="BL18" s="13"/>
      <c r="BM18" s="13"/>
      <c r="BN18" s="13"/>
    </row>
    <row r="19" spans="1:66" x14ac:dyDescent="0.25">
      <c r="A19" s="22">
        <v>17</v>
      </c>
      <c r="B19" s="23">
        <v>314.53524110825413</v>
      </c>
      <c r="C19" s="24">
        <v>1910.6321175403737</v>
      </c>
      <c r="F19" s="53">
        <v>1</v>
      </c>
      <c r="I19" s="31"/>
      <c r="J19" s="31"/>
      <c r="K19" s="31"/>
      <c r="L19" s="31"/>
      <c r="M19" s="31"/>
      <c r="N19" s="31"/>
      <c r="AH19" s="16"/>
      <c r="AI19" s="16"/>
      <c r="AJ19" s="16"/>
      <c r="AK19" s="16">
        <v>900</v>
      </c>
      <c r="AL19" s="16"/>
      <c r="AM19" s="16">
        <v>0</v>
      </c>
      <c r="AN19" s="16"/>
      <c r="BC19" s="13"/>
      <c r="BD19" s="13"/>
      <c r="BE19" s="13"/>
      <c r="BF19" s="13"/>
      <c r="BG19" s="13"/>
      <c r="BH19" s="13"/>
      <c r="BI19" s="13"/>
      <c r="BJ19" s="13"/>
      <c r="BK19" s="13"/>
      <c r="BL19" s="13"/>
      <c r="BM19" s="13"/>
      <c r="BN19" s="13"/>
    </row>
    <row r="20" spans="1:66" x14ac:dyDescent="0.25">
      <c r="A20" s="22">
        <v>18</v>
      </c>
      <c r="B20" s="23">
        <v>300.57785562524805</v>
      </c>
      <c r="C20" s="24">
        <v>1910.2764459033108</v>
      </c>
      <c r="I20" s="31"/>
      <c r="J20" s="31"/>
      <c r="K20" s="31"/>
      <c r="L20" s="31"/>
      <c r="M20" s="31"/>
      <c r="N20" s="31"/>
      <c r="AH20" s="16"/>
      <c r="AI20" s="16"/>
      <c r="AJ20" s="16"/>
      <c r="AK20" s="16">
        <v>1000</v>
      </c>
      <c r="AL20" s="16"/>
      <c r="AM20" s="16">
        <v>0</v>
      </c>
      <c r="AN20" s="16"/>
      <c r="BC20" s="13"/>
      <c r="BD20" s="13"/>
      <c r="BE20" s="13"/>
      <c r="BF20" s="13"/>
      <c r="BG20" s="13"/>
      <c r="BH20" s="13"/>
      <c r="BI20" s="13"/>
      <c r="BJ20" s="13"/>
      <c r="BK20" s="13"/>
      <c r="BL20" s="13"/>
      <c r="BM20" s="13"/>
      <c r="BN20" s="13"/>
    </row>
    <row r="21" spans="1:66" x14ac:dyDescent="0.25">
      <c r="A21" s="22">
        <v>19</v>
      </c>
      <c r="B21" s="23">
        <v>348.39999399457884</v>
      </c>
      <c r="C21" s="24">
        <v>2080.0604036356203</v>
      </c>
      <c r="I21" s="31"/>
      <c r="J21" s="31"/>
      <c r="K21" s="31"/>
      <c r="L21" s="31"/>
      <c r="M21" s="31"/>
      <c r="N21" s="31"/>
      <c r="AH21" s="16"/>
      <c r="AI21" s="16"/>
      <c r="AJ21" s="16"/>
      <c r="AK21" s="16">
        <v>1000</v>
      </c>
      <c r="AL21" s="16"/>
      <c r="AM21" s="16">
        <v>0</v>
      </c>
      <c r="AN21" s="16"/>
      <c r="BC21" s="13"/>
      <c r="BD21" s="13"/>
      <c r="BE21" s="13"/>
      <c r="BF21" s="13"/>
      <c r="BG21" s="13"/>
      <c r="BH21" s="13"/>
      <c r="BI21" s="13"/>
      <c r="BJ21" s="13"/>
      <c r="BK21" s="13"/>
      <c r="BL21" s="13"/>
      <c r="BM21" s="13"/>
      <c r="BN21" s="13"/>
    </row>
    <row r="22" spans="1:66" x14ac:dyDescent="0.25">
      <c r="A22" s="22">
        <v>20</v>
      </c>
      <c r="B22" s="23">
        <v>202.99960338248874</v>
      </c>
      <c r="C22" s="24">
        <v>2324.0199118398004</v>
      </c>
      <c r="I22" s="31"/>
      <c r="J22" s="31"/>
      <c r="K22" s="31"/>
      <c r="L22" s="31"/>
      <c r="M22" s="31"/>
      <c r="N22" s="31"/>
      <c r="AH22" s="16"/>
      <c r="AI22" s="16"/>
      <c r="AJ22" s="16"/>
      <c r="AK22" s="16">
        <v>1100</v>
      </c>
      <c r="AL22" s="16"/>
      <c r="AM22" s="16">
        <v>0</v>
      </c>
      <c r="AN22" s="16"/>
      <c r="BC22" s="13"/>
      <c r="BD22" s="13"/>
      <c r="BE22" s="13"/>
      <c r="BF22" s="13"/>
      <c r="BG22" s="13"/>
      <c r="BH22" s="13"/>
      <c r="BI22" s="13"/>
      <c r="BJ22" s="13"/>
      <c r="BK22" s="13"/>
      <c r="BL22" s="13"/>
      <c r="BM22" s="13"/>
      <c r="BN22" s="13"/>
    </row>
    <row r="23" spans="1:66" x14ac:dyDescent="0.25">
      <c r="A23" s="22">
        <v>21</v>
      </c>
      <c r="B23" s="23">
        <v>324.46463307580802</v>
      </c>
      <c r="C23" s="24">
        <v>2037.236130581291</v>
      </c>
      <c r="AH23" s="16"/>
      <c r="AI23" s="16"/>
      <c r="AJ23" s="16"/>
      <c r="AK23" s="16">
        <v>1100</v>
      </c>
      <c r="AL23" s="16"/>
      <c r="AM23" s="16">
        <v>2</v>
      </c>
      <c r="AN23" s="16"/>
      <c r="BC23" s="13"/>
      <c r="BD23" s="13"/>
      <c r="BE23" s="13"/>
      <c r="BF23" s="13"/>
      <c r="BG23" s="13"/>
      <c r="BH23" s="13"/>
      <c r="BI23" s="13"/>
      <c r="BJ23" s="13"/>
      <c r="BK23" s="13"/>
      <c r="BL23" s="13"/>
      <c r="BM23" s="13"/>
      <c r="BN23" s="13"/>
    </row>
    <row r="24" spans="1:66" x14ac:dyDescent="0.25">
      <c r="A24" s="22">
        <v>22</v>
      </c>
      <c r="B24" s="23">
        <v>304.44207274914351</v>
      </c>
      <c r="C24" s="24">
        <v>2578.2811422840823</v>
      </c>
      <c r="I24" s="54"/>
      <c r="AH24" s="16"/>
      <c r="AI24" s="16"/>
      <c r="AJ24" s="16"/>
      <c r="AK24" s="16">
        <v>1200</v>
      </c>
      <c r="AL24" s="16"/>
      <c r="AM24" s="16">
        <v>2</v>
      </c>
      <c r="AN24" s="16"/>
      <c r="BC24" s="13"/>
      <c r="BD24" s="13"/>
      <c r="BE24" s="13"/>
      <c r="BF24" s="13"/>
      <c r="BG24" s="13"/>
      <c r="BH24" s="13"/>
      <c r="BI24" s="13"/>
      <c r="BJ24" s="13"/>
      <c r="BK24" s="13"/>
      <c r="BL24" s="13"/>
      <c r="BM24" s="13"/>
      <c r="BN24" s="13"/>
    </row>
    <row r="25" spans="1:66" x14ac:dyDescent="0.25">
      <c r="A25" s="22">
        <v>23</v>
      </c>
      <c r="B25" s="23">
        <v>263.41324019783281</v>
      </c>
      <c r="C25" s="24">
        <v>2405.4222161768066</v>
      </c>
      <c r="AH25" s="16"/>
      <c r="AI25" s="16"/>
      <c r="AJ25" s="16"/>
      <c r="AK25" s="16">
        <v>1200</v>
      </c>
      <c r="AL25" s="16"/>
      <c r="AM25" s="16">
        <v>9</v>
      </c>
      <c r="AN25" s="16"/>
      <c r="BC25" s="13"/>
      <c r="BD25" s="13"/>
      <c r="BE25" s="13"/>
      <c r="BF25" s="13"/>
      <c r="BG25" s="13"/>
      <c r="BH25" s="13"/>
      <c r="BI25" s="13"/>
      <c r="BJ25" s="13"/>
      <c r="BK25" s="13"/>
      <c r="BL25" s="13"/>
      <c r="BM25" s="13"/>
      <c r="BN25" s="13"/>
    </row>
    <row r="26" spans="1:66" x14ac:dyDescent="0.25">
      <c r="A26" s="22">
        <v>24</v>
      </c>
      <c r="B26" s="23">
        <v>377.36376418944076</v>
      </c>
      <c r="C26" s="24">
        <v>2367.9414692918922</v>
      </c>
      <c r="AH26" s="16"/>
      <c r="AI26" s="16"/>
      <c r="AJ26" s="16"/>
      <c r="AK26" s="16">
        <v>1300</v>
      </c>
      <c r="AL26" s="16"/>
      <c r="AM26" s="16">
        <v>9</v>
      </c>
      <c r="AN26" s="16"/>
      <c r="BC26" s="13"/>
      <c r="BD26" s="13"/>
      <c r="BE26" s="13"/>
      <c r="BF26" s="13"/>
      <c r="BG26" s="13"/>
      <c r="BH26" s="13"/>
      <c r="BI26" s="13"/>
      <c r="BJ26" s="13"/>
      <c r="BK26" s="13"/>
      <c r="BL26" s="13"/>
      <c r="BM26" s="13"/>
      <c r="BN26" s="13"/>
    </row>
    <row r="27" spans="1:66" x14ac:dyDescent="0.25">
      <c r="A27" s="22">
        <v>25</v>
      </c>
      <c r="B27" s="23">
        <v>204.35850015965377</v>
      </c>
      <c r="C27" s="24">
        <v>1904.7787089220938</v>
      </c>
      <c r="AH27" s="16"/>
      <c r="AI27" s="16"/>
      <c r="AJ27" s="16"/>
      <c r="AK27" s="16">
        <v>1300</v>
      </c>
      <c r="AL27" s="16"/>
      <c r="AM27" s="16">
        <v>38</v>
      </c>
      <c r="AN27" s="16"/>
      <c r="BC27" s="13"/>
      <c r="BD27" s="13"/>
      <c r="BE27" s="13"/>
      <c r="BF27" s="13"/>
      <c r="BG27" s="13"/>
      <c r="BH27" s="13"/>
      <c r="BI27" s="13"/>
      <c r="BJ27" s="13"/>
      <c r="BK27" s="13"/>
      <c r="BL27" s="13"/>
      <c r="BM27" s="13"/>
      <c r="BN27" s="13"/>
    </row>
    <row r="28" spans="1:66" x14ac:dyDescent="0.25">
      <c r="A28" s="22">
        <v>26</v>
      </c>
      <c r="B28" s="23">
        <v>415.34219482733909</v>
      </c>
      <c r="C28" s="24">
        <v>2700.5694036703921</v>
      </c>
      <c r="AH28" s="16"/>
      <c r="AI28" s="16"/>
      <c r="AJ28" s="16"/>
      <c r="AK28" s="16">
        <v>1400</v>
      </c>
      <c r="AL28" s="16"/>
      <c r="AM28" s="16">
        <v>38</v>
      </c>
      <c r="AN28" s="16"/>
      <c r="BC28" s="13"/>
      <c r="BD28" s="13"/>
      <c r="BE28" s="13"/>
      <c r="BF28" s="13"/>
      <c r="BG28" s="13"/>
      <c r="BH28" s="13"/>
      <c r="BI28" s="13"/>
      <c r="BJ28" s="13"/>
      <c r="BK28" s="13"/>
      <c r="BL28" s="13"/>
      <c r="BM28" s="13"/>
      <c r="BN28" s="13"/>
    </row>
    <row r="29" spans="1:66" x14ac:dyDescent="0.25">
      <c r="A29" s="22">
        <v>27</v>
      </c>
      <c r="B29" s="23">
        <v>285.00723188181377</v>
      </c>
      <c r="C29" s="24">
        <v>2819.0173362487049</v>
      </c>
      <c r="AH29" s="16"/>
      <c r="AI29" s="16"/>
      <c r="AJ29" s="16"/>
      <c r="AK29" s="16">
        <v>1400</v>
      </c>
      <c r="AL29" s="16"/>
      <c r="AM29" s="16">
        <v>90</v>
      </c>
      <c r="AN29" s="16"/>
      <c r="BC29" s="13"/>
      <c r="BD29" s="13"/>
      <c r="BE29" s="13"/>
      <c r="BF29" s="13"/>
      <c r="BG29" s="13"/>
      <c r="BH29" s="13"/>
      <c r="BI29" s="13"/>
      <c r="BJ29" s="13"/>
      <c r="BK29" s="13"/>
      <c r="BL29" s="13"/>
      <c r="BM29" s="13"/>
      <c r="BN29" s="13"/>
    </row>
    <row r="30" spans="1:66" x14ac:dyDescent="0.25">
      <c r="A30" s="22">
        <v>28</v>
      </c>
      <c r="B30" s="23">
        <v>327.84142258939136</v>
      </c>
      <c r="C30" s="24">
        <v>2857.3301828158701</v>
      </c>
      <c r="AH30" s="16"/>
      <c r="AI30" s="16"/>
      <c r="AJ30" s="16"/>
      <c r="AK30" s="16">
        <v>1500</v>
      </c>
      <c r="AL30" s="16"/>
      <c r="AM30" s="16">
        <v>90</v>
      </c>
      <c r="AN30" s="16"/>
      <c r="BC30" s="13"/>
      <c r="BD30" s="13"/>
      <c r="BE30" s="13"/>
      <c r="BF30" s="13"/>
      <c r="BG30" s="13"/>
      <c r="BH30" s="13"/>
      <c r="BI30" s="13"/>
      <c r="BJ30" s="13"/>
      <c r="BK30" s="13"/>
      <c r="BL30" s="13"/>
      <c r="BM30" s="13"/>
      <c r="BN30" s="13"/>
    </row>
    <row r="31" spans="1:66" x14ac:dyDescent="0.25">
      <c r="A31" s="22">
        <v>29</v>
      </c>
      <c r="B31" s="23">
        <v>382.7060254995672</v>
      </c>
      <c r="C31" s="24">
        <v>2528.807762041245</v>
      </c>
      <c r="AH31" s="16"/>
      <c r="AI31" s="16"/>
      <c r="AJ31" s="16"/>
      <c r="AK31" s="16">
        <v>1500</v>
      </c>
      <c r="AL31" s="16"/>
      <c r="AM31" s="16">
        <v>193</v>
      </c>
      <c r="AN31" s="16"/>
      <c r="BC31" s="13"/>
      <c r="BD31" s="13"/>
      <c r="BE31" s="13"/>
      <c r="BF31" s="13"/>
      <c r="BG31" s="13"/>
      <c r="BH31" s="13"/>
      <c r="BI31" s="13"/>
      <c r="BJ31" s="13"/>
      <c r="BK31" s="13"/>
      <c r="BL31" s="13"/>
      <c r="BM31" s="13"/>
      <c r="BN31" s="13"/>
    </row>
    <row r="32" spans="1:66" x14ac:dyDescent="0.25">
      <c r="A32" s="22">
        <v>30</v>
      </c>
      <c r="B32" s="23">
        <v>406.87380524822868</v>
      </c>
      <c r="C32" s="24">
        <v>2312.3573891537289</v>
      </c>
      <c r="AH32" s="16"/>
      <c r="AI32" s="16"/>
      <c r="AJ32" s="16"/>
      <c r="AK32" s="16">
        <v>1600</v>
      </c>
      <c r="AL32" s="16"/>
      <c r="AM32" s="16">
        <v>193</v>
      </c>
      <c r="AN32" s="16"/>
      <c r="BC32" s="13"/>
      <c r="BD32" s="13"/>
      <c r="BE32" s="13"/>
      <c r="BF32" s="13"/>
      <c r="BG32" s="13"/>
      <c r="BH32" s="13"/>
      <c r="BI32" s="13"/>
      <c r="BJ32" s="13"/>
      <c r="BK32" s="13"/>
      <c r="BL32" s="13"/>
      <c r="BM32" s="13"/>
      <c r="BN32" s="13"/>
    </row>
    <row r="33" spans="1:66" x14ac:dyDescent="0.25">
      <c r="A33" s="22">
        <v>31</v>
      </c>
      <c r="B33" s="23">
        <v>322.8365865250679</v>
      </c>
      <c r="C33" s="24">
        <v>2109.9382031788077</v>
      </c>
      <c r="AH33" s="16"/>
      <c r="AI33" s="16"/>
      <c r="AJ33" s="16"/>
      <c r="AK33" s="16">
        <v>1600</v>
      </c>
      <c r="AL33" s="16"/>
      <c r="AM33" s="16">
        <v>344</v>
      </c>
      <c r="AN33" s="16"/>
      <c r="BC33" s="13"/>
      <c r="BD33" s="13"/>
      <c r="BE33" s="13"/>
      <c r="BF33" s="13"/>
      <c r="BG33" s="13"/>
      <c r="BH33" s="13"/>
      <c r="BI33" s="13"/>
      <c r="BJ33" s="13"/>
      <c r="BK33" s="13"/>
      <c r="BL33" s="13"/>
      <c r="BM33" s="13"/>
      <c r="BN33" s="13"/>
    </row>
    <row r="34" spans="1:66" x14ac:dyDescent="0.25">
      <c r="A34" s="22">
        <v>32</v>
      </c>
      <c r="B34" s="23">
        <v>271.58706391463022</v>
      </c>
      <c r="C34" s="24">
        <v>1607.0930707131224</v>
      </c>
      <c r="AH34" s="16"/>
      <c r="AI34" s="16"/>
      <c r="AJ34" s="16"/>
      <c r="AK34" s="16">
        <v>1700</v>
      </c>
      <c r="AL34" s="16"/>
      <c r="AM34" s="16">
        <v>344</v>
      </c>
      <c r="AN34" s="16"/>
      <c r="BC34" s="13"/>
      <c r="BD34" s="13"/>
      <c r="BE34" s="13"/>
      <c r="BF34" s="13"/>
      <c r="BG34" s="13"/>
      <c r="BH34" s="13"/>
      <c r="BI34" s="13"/>
      <c r="BJ34" s="13"/>
      <c r="BK34" s="13"/>
      <c r="BL34" s="13"/>
      <c r="BM34" s="13"/>
      <c r="BN34" s="13"/>
    </row>
    <row r="35" spans="1:66" x14ac:dyDescent="0.25">
      <c r="A35" s="22">
        <v>33</v>
      </c>
      <c r="B35" s="23">
        <v>324.58197978545059</v>
      </c>
      <c r="C35" s="24">
        <v>2206.7983232226184</v>
      </c>
      <c r="AH35" s="16"/>
      <c r="AI35" s="16"/>
      <c r="AJ35" s="16"/>
      <c r="AK35" s="16">
        <v>1700</v>
      </c>
      <c r="AL35" s="16"/>
      <c r="AM35" s="16">
        <v>437</v>
      </c>
      <c r="AN35" s="16"/>
      <c r="BC35" s="13"/>
      <c r="BD35" s="13"/>
      <c r="BE35" s="13"/>
      <c r="BF35" s="13"/>
      <c r="BG35" s="13"/>
      <c r="BH35" s="13"/>
      <c r="BI35" s="13"/>
      <c r="BJ35" s="13"/>
      <c r="BK35" s="13"/>
      <c r="BL35" s="13"/>
      <c r="BM35" s="13"/>
      <c r="BN35" s="13"/>
    </row>
    <row r="36" spans="1:66" x14ac:dyDescent="0.25">
      <c r="A36" s="22">
        <v>34</v>
      </c>
      <c r="B36" s="23">
        <v>267.37820684917631</v>
      </c>
      <c r="C36" s="24">
        <v>1655.1087566085328</v>
      </c>
      <c r="AH36" s="16"/>
      <c r="AI36" s="16"/>
      <c r="AJ36" s="16"/>
      <c r="AK36" s="16">
        <v>1800</v>
      </c>
      <c r="AL36" s="16"/>
      <c r="AM36" s="16">
        <v>437</v>
      </c>
      <c r="AN36" s="16"/>
      <c r="BC36" s="13"/>
      <c r="BD36" s="13"/>
      <c r="BE36" s="13"/>
      <c r="BF36" s="13"/>
      <c r="BG36" s="13"/>
      <c r="BH36" s="13"/>
      <c r="BI36" s="13"/>
      <c r="BJ36" s="13"/>
      <c r="BK36" s="13"/>
      <c r="BL36" s="13"/>
      <c r="BM36" s="13"/>
      <c r="BN36" s="13"/>
    </row>
    <row r="37" spans="1:66" x14ac:dyDescent="0.25">
      <c r="A37" s="22">
        <v>35</v>
      </c>
      <c r="B37" s="23">
        <v>569.35980496752654</v>
      </c>
      <c r="C37" s="24">
        <v>2907.5582028912077</v>
      </c>
      <c r="AH37" s="16"/>
      <c r="AI37" s="16"/>
      <c r="AJ37" s="16"/>
      <c r="AK37" s="16">
        <v>1800</v>
      </c>
      <c r="AL37" s="16"/>
      <c r="AM37" s="16">
        <v>577</v>
      </c>
      <c r="AN37" s="16"/>
      <c r="BC37" s="13"/>
      <c r="BD37" s="13"/>
      <c r="BE37" s="13"/>
      <c r="BF37" s="13"/>
      <c r="BG37" s="13"/>
      <c r="BH37" s="13"/>
      <c r="BI37" s="13"/>
      <c r="BJ37" s="13"/>
      <c r="BK37" s="13"/>
      <c r="BL37" s="13"/>
      <c r="BM37" s="13"/>
      <c r="BN37" s="13"/>
    </row>
    <row r="38" spans="1:66" x14ac:dyDescent="0.25">
      <c r="A38" s="22">
        <v>36</v>
      </c>
      <c r="B38" s="23">
        <v>354.33859648591408</v>
      </c>
      <c r="C38" s="24">
        <v>1962.7641406789689</v>
      </c>
      <c r="AH38" s="16"/>
      <c r="AI38" s="16"/>
      <c r="AJ38" s="16"/>
      <c r="AK38" s="16">
        <v>1900</v>
      </c>
      <c r="AL38" s="16"/>
      <c r="AM38" s="16">
        <v>577</v>
      </c>
      <c r="AN38" s="16"/>
      <c r="BC38" s="13"/>
      <c r="BD38" s="13"/>
      <c r="BE38" s="13"/>
      <c r="BF38" s="13"/>
      <c r="BG38" s="13"/>
      <c r="BH38" s="13"/>
      <c r="BI38" s="13"/>
      <c r="BJ38" s="13"/>
      <c r="BK38" s="13"/>
      <c r="BL38" s="13"/>
      <c r="BM38" s="13"/>
      <c r="BN38" s="13"/>
    </row>
    <row r="39" spans="1:66" x14ac:dyDescent="0.25">
      <c r="A39" s="22">
        <v>37</v>
      </c>
      <c r="B39" s="23">
        <v>365.30344750786173</v>
      </c>
      <c r="C39" s="24">
        <v>1860.2020099588271</v>
      </c>
      <c r="AH39" s="16"/>
      <c r="AI39" s="16"/>
      <c r="AJ39" s="16"/>
      <c r="AK39" s="16">
        <v>1900</v>
      </c>
      <c r="AL39" s="16"/>
      <c r="AM39" s="16">
        <v>761</v>
      </c>
      <c r="AN39" s="16"/>
      <c r="BC39" s="13"/>
      <c r="BD39" s="13"/>
      <c r="BE39" s="13"/>
      <c r="BF39" s="13"/>
      <c r="BG39" s="13"/>
      <c r="BH39" s="13"/>
      <c r="BI39" s="13"/>
      <c r="BJ39" s="13"/>
      <c r="BK39" s="13"/>
      <c r="BL39" s="13"/>
      <c r="BM39" s="13"/>
      <c r="BN39" s="13"/>
    </row>
    <row r="40" spans="1:66" x14ac:dyDescent="0.25">
      <c r="A40" s="22">
        <v>38</v>
      </c>
      <c r="B40" s="23">
        <v>377.23485397013428</v>
      </c>
      <c r="C40" s="24">
        <v>2761.9584916285676</v>
      </c>
      <c r="AH40" s="16"/>
      <c r="AI40" s="16"/>
      <c r="AJ40" s="16"/>
      <c r="AK40" s="16">
        <v>2000</v>
      </c>
      <c r="AL40" s="16"/>
      <c r="AM40" s="16">
        <v>761</v>
      </c>
      <c r="AN40" s="16"/>
      <c r="BC40" s="13"/>
      <c r="BD40" s="13"/>
      <c r="BE40" s="13"/>
      <c r="BF40" s="13"/>
      <c r="BG40" s="13"/>
      <c r="BH40" s="13"/>
      <c r="BI40" s="13"/>
      <c r="BJ40" s="13"/>
      <c r="BK40" s="13"/>
      <c r="BL40" s="13"/>
      <c r="BM40" s="13"/>
      <c r="BN40" s="13"/>
    </row>
    <row r="41" spans="1:66" x14ac:dyDescent="0.25">
      <c r="A41" s="22">
        <v>39</v>
      </c>
      <c r="B41" s="23">
        <v>488.5859127364314</v>
      </c>
      <c r="C41" s="24">
        <v>2031.9596538574933</v>
      </c>
      <c r="AH41" s="16"/>
      <c r="AI41" s="16"/>
      <c r="AJ41" s="16"/>
      <c r="AK41" s="16">
        <v>2000</v>
      </c>
      <c r="AL41" s="16"/>
      <c r="AM41" s="16">
        <v>862</v>
      </c>
      <c r="AN41" s="16"/>
      <c r="BC41" s="13"/>
      <c r="BD41" s="13"/>
      <c r="BE41" s="13"/>
      <c r="BF41" s="13"/>
      <c r="BG41" s="13"/>
      <c r="BH41" s="13"/>
      <c r="BI41" s="13"/>
      <c r="BJ41" s="13"/>
      <c r="BK41" s="13"/>
      <c r="BL41" s="13"/>
      <c r="BM41" s="13"/>
      <c r="BN41" s="13"/>
    </row>
    <row r="42" spans="1:66" x14ac:dyDescent="0.25">
      <c r="A42" s="22">
        <v>40</v>
      </c>
      <c r="B42" s="23">
        <v>287.20585720283077</v>
      </c>
      <c r="C42" s="24">
        <v>1811.0389592803542</v>
      </c>
      <c r="AH42" s="16"/>
      <c r="AI42" s="16"/>
      <c r="AJ42" s="16"/>
      <c r="AK42" s="16">
        <v>2100</v>
      </c>
      <c r="AL42" s="16"/>
      <c r="AM42" s="16">
        <v>862</v>
      </c>
      <c r="AN42" s="16"/>
      <c r="BC42" s="13"/>
      <c r="BD42" s="13"/>
      <c r="BE42" s="13"/>
      <c r="BF42" s="13"/>
      <c r="BG42" s="13"/>
      <c r="BH42" s="13"/>
      <c r="BI42" s="13"/>
      <c r="BJ42" s="13"/>
      <c r="BK42" s="13"/>
      <c r="BL42" s="13"/>
      <c r="BM42" s="13"/>
      <c r="BN42" s="13"/>
    </row>
    <row r="43" spans="1:66" x14ac:dyDescent="0.25">
      <c r="A43" s="22">
        <v>41</v>
      </c>
      <c r="B43" s="23">
        <v>404.85721847154997</v>
      </c>
      <c r="C43" s="24">
        <v>2274.9979660379063</v>
      </c>
      <c r="AH43" s="16"/>
      <c r="AI43" s="16"/>
      <c r="AJ43" s="16"/>
      <c r="AK43" s="16">
        <v>2100</v>
      </c>
      <c r="AL43" s="16"/>
      <c r="AM43" s="16">
        <v>971</v>
      </c>
      <c r="AN43" s="16"/>
      <c r="BC43" s="13"/>
      <c r="BD43" s="13"/>
      <c r="BE43" s="13"/>
      <c r="BF43" s="13"/>
      <c r="BG43" s="13"/>
      <c r="BH43" s="13"/>
      <c r="BI43" s="13"/>
      <c r="BJ43" s="13"/>
      <c r="BK43" s="13"/>
      <c r="BL43" s="13"/>
      <c r="BM43" s="13"/>
      <c r="BN43" s="13"/>
    </row>
    <row r="44" spans="1:66" x14ac:dyDescent="0.25">
      <c r="A44" s="22">
        <v>42</v>
      </c>
      <c r="B44" s="23">
        <v>385.13381962812639</v>
      </c>
      <c r="C44" s="24">
        <v>2164.3435361539828</v>
      </c>
      <c r="AH44" s="16"/>
      <c r="AI44" s="16"/>
      <c r="AJ44" s="16"/>
      <c r="AK44" s="16">
        <v>2200</v>
      </c>
      <c r="AL44" s="16"/>
      <c r="AM44" s="16">
        <v>971</v>
      </c>
      <c r="AN44" s="16"/>
      <c r="BC44" s="13"/>
      <c r="BD44" s="13"/>
      <c r="BE44" s="13"/>
      <c r="BF44" s="13"/>
      <c r="BG44" s="13"/>
      <c r="BH44" s="13"/>
      <c r="BI44" s="13"/>
      <c r="BJ44" s="13"/>
      <c r="BK44" s="13"/>
      <c r="BL44" s="13"/>
      <c r="BM44" s="13"/>
      <c r="BN44" s="13"/>
    </row>
    <row r="45" spans="1:66" x14ac:dyDescent="0.25">
      <c r="A45" s="22">
        <v>43</v>
      </c>
      <c r="B45" s="23">
        <v>295.59367643378675</v>
      </c>
      <c r="C45" s="24">
        <v>2049.5348867336184</v>
      </c>
      <c r="AH45" s="16"/>
      <c r="AI45" s="16"/>
      <c r="AJ45" s="16"/>
      <c r="AK45" s="16">
        <v>2200</v>
      </c>
      <c r="AL45" s="16"/>
      <c r="AM45" s="16">
        <v>938</v>
      </c>
      <c r="AN45" s="16"/>
      <c r="BC45" s="13"/>
      <c r="BD45" s="13"/>
      <c r="BE45" s="13"/>
      <c r="BF45" s="13"/>
      <c r="BG45" s="13"/>
      <c r="BH45" s="13"/>
      <c r="BI45" s="13"/>
      <c r="BJ45" s="13"/>
      <c r="BK45" s="13"/>
      <c r="BL45" s="13"/>
      <c r="BM45" s="13"/>
      <c r="BN45" s="13"/>
    </row>
    <row r="46" spans="1:66" x14ac:dyDescent="0.25">
      <c r="A46" s="22">
        <v>44</v>
      </c>
      <c r="B46" s="23">
        <v>283.58400189176632</v>
      </c>
      <c r="C46" s="24">
        <v>1639.9398295568956</v>
      </c>
      <c r="I46" s="54"/>
      <c r="AH46" s="16"/>
      <c r="AI46" s="16"/>
      <c r="AJ46" s="16"/>
      <c r="AK46" s="16">
        <v>2300</v>
      </c>
      <c r="AL46" s="16"/>
      <c r="AM46" s="16">
        <v>938</v>
      </c>
      <c r="AN46" s="16"/>
      <c r="BC46" s="13"/>
      <c r="BD46" s="13"/>
      <c r="BE46" s="13"/>
      <c r="BF46" s="13"/>
      <c r="BG46" s="13"/>
      <c r="BH46" s="13"/>
      <c r="BI46" s="13"/>
      <c r="BJ46" s="13"/>
      <c r="BK46" s="13"/>
      <c r="BL46" s="13"/>
      <c r="BM46" s="13"/>
      <c r="BN46" s="13"/>
    </row>
    <row r="47" spans="1:66" x14ac:dyDescent="0.25">
      <c r="A47" s="22">
        <v>45</v>
      </c>
      <c r="B47" s="23">
        <v>240.91701200636422</v>
      </c>
      <c r="C47" s="24">
        <v>2585.9738702576201</v>
      </c>
      <c r="AH47" s="16"/>
      <c r="AI47" s="16"/>
      <c r="AJ47" s="16"/>
      <c r="AK47" s="16">
        <v>2300</v>
      </c>
      <c r="AL47" s="16"/>
      <c r="AM47" s="16">
        <v>895</v>
      </c>
      <c r="AN47" s="16"/>
      <c r="BC47" s="13"/>
      <c r="BD47" s="13"/>
      <c r="BE47" s="13"/>
      <c r="BF47" s="13"/>
      <c r="BG47" s="13"/>
      <c r="BH47" s="13"/>
      <c r="BI47" s="13"/>
      <c r="BJ47" s="13"/>
      <c r="BK47" s="13"/>
      <c r="BL47" s="13"/>
      <c r="BM47" s="13"/>
      <c r="BN47" s="13"/>
    </row>
    <row r="48" spans="1:66" x14ac:dyDescent="0.25">
      <c r="A48" s="22">
        <v>46</v>
      </c>
      <c r="B48" s="23">
        <v>295.07324776490645</v>
      </c>
      <c r="C48" s="24">
        <v>2389.9392187767967</v>
      </c>
      <c r="AH48" s="16"/>
      <c r="AI48" s="16"/>
      <c r="AJ48" s="16"/>
      <c r="AK48" s="16">
        <v>2400</v>
      </c>
      <c r="AL48" s="16"/>
      <c r="AM48" s="16">
        <v>895</v>
      </c>
      <c r="AN48" s="16"/>
      <c r="BC48" s="13"/>
      <c r="BD48" s="13"/>
      <c r="BE48" s="13"/>
      <c r="BF48" s="13"/>
      <c r="BG48" s="13"/>
      <c r="BH48" s="13"/>
      <c r="BI48" s="13"/>
      <c r="BJ48" s="13"/>
      <c r="BK48" s="13"/>
      <c r="BL48" s="13"/>
      <c r="BM48" s="13"/>
      <c r="BN48" s="13"/>
    </row>
    <row r="49" spans="1:66" x14ac:dyDescent="0.25">
      <c r="A49" s="22">
        <v>47</v>
      </c>
      <c r="B49" s="23">
        <v>423.43894809088312</v>
      </c>
      <c r="C49" s="24">
        <v>1763.0980507859174</v>
      </c>
      <c r="AH49" s="16"/>
      <c r="AI49" s="16"/>
      <c r="AJ49" s="16"/>
      <c r="AK49" s="16">
        <v>2400</v>
      </c>
      <c r="AL49" s="16"/>
      <c r="AM49" s="16">
        <v>827</v>
      </c>
      <c r="AN49" s="16"/>
      <c r="BC49" s="13"/>
      <c r="BD49" s="13"/>
      <c r="BE49" s="13"/>
      <c r="BF49" s="13"/>
      <c r="BG49" s="13"/>
      <c r="BH49" s="13"/>
      <c r="BI49" s="13"/>
      <c r="BJ49" s="13"/>
      <c r="BK49" s="13"/>
      <c r="BL49" s="13"/>
      <c r="BM49" s="13"/>
      <c r="BN49" s="13"/>
    </row>
    <row r="50" spans="1:66" x14ac:dyDescent="0.25">
      <c r="A50" s="22">
        <v>48</v>
      </c>
      <c r="B50" s="23">
        <v>264.23990189812832</v>
      </c>
      <c r="C50" s="24">
        <v>1761.996427080647</v>
      </c>
      <c r="AH50" s="16"/>
      <c r="AI50" s="16"/>
      <c r="AJ50" s="16"/>
      <c r="AK50" s="16">
        <v>2500</v>
      </c>
      <c r="AL50" s="16"/>
      <c r="AM50" s="16">
        <v>827</v>
      </c>
      <c r="AN50" s="16"/>
      <c r="BC50" s="13"/>
      <c r="BD50" s="13"/>
      <c r="BE50" s="13"/>
      <c r="BF50" s="13"/>
      <c r="BG50" s="13"/>
      <c r="BH50" s="13"/>
      <c r="BI50" s="13"/>
      <c r="BJ50" s="13"/>
      <c r="BK50" s="13"/>
      <c r="BL50" s="13"/>
      <c r="BM50" s="13"/>
      <c r="BN50" s="13"/>
    </row>
    <row r="51" spans="1:66" x14ac:dyDescent="0.25">
      <c r="A51" s="22">
        <v>49</v>
      </c>
      <c r="B51" s="23">
        <v>331.32813899164677</v>
      </c>
      <c r="C51" s="24">
        <v>2271.3975312113512</v>
      </c>
      <c r="AH51" s="16"/>
      <c r="AI51" s="16"/>
      <c r="AJ51" s="16"/>
      <c r="AK51" s="16">
        <v>2500</v>
      </c>
      <c r="AL51" s="16"/>
      <c r="AM51" s="16">
        <v>735</v>
      </c>
      <c r="AN51" s="16"/>
      <c r="BC51" s="13"/>
      <c r="BD51" s="13"/>
      <c r="BE51" s="13"/>
      <c r="BF51" s="13"/>
      <c r="BG51" s="13"/>
      <c r="BH51" s="13"/>
      <c r="BI51" s="13"/>
      <c r="BJ51" s="13"/>
      <c r="BK51" s="13"/>
      <c r="BL51" s="13"/>
      <c r="BM51" s="13"/>
      <c r="BN51" s="13"/>
    </row>
    <row r="52" spans="1:66" x14ac:dyDescent="0.25">
      <c r="A52" s="22">
        <v>50</v>
      </c>
      <c r="B52" s="23">
        <v>359.26276003831612</v>
      </c>
      <c r="C52" s="24">
        <v>1343.4652769728314</v>
      </c>
      <c r="AH52" s="16"/>
      <c r="AI52" s="16"/>
      <c r="AJ52" s="16"/>
      <c r="AK52" s="16">
        <v>2600</v>
      </c>
      <c r="AL52" s="16"/>
      <c r="AM52" s="16">
        <v>735</v>
      </c>
      <c r="AN52" s="16"/>
      <c r="BC52" s="13"/>
      <c r="BD52" s="13"/>
      <c r="BE52" s="13"/>
      <c r="BF52" s="13"/>
      <c r="BG52" s="13"/>
      <c r="BH52" s="13"/>
      <c r="BI52" s="13"/>
      <c r="BJ52" s="13"/>
      <c r="BK52" s="13"/>
      <c r="BL52" s="13"/>
      <c r="BM52" s="13"/>
      <c r="BN52" s="13"/>
    </row>
    <row r="53" spans="1:66" x14ac:dyDescent="0.25">
      <c r="A53" s="22">
        <v>51</v>
      </c>
      <c r="B53" s="23">
        <v>460.2234875817428</v>
      </c>
      <c r="C53" s="24">
        <v>2460.4341991455917</v>
      </c>
      <c r="AH53" s="16"/>
      <c r="AI53" s="16"/>
      <c r="AJ53" s="16"/>
      <c r="AK53" s="16">
        <v>2600</v>
      </c>
      <c r="AL53" s="16"/>
      <c r="AM53" s="16">
        <v>601</v>
      </c>
      <c r="AN53" s="16"/>
      <c r="BC53" s="13"/>
      <c r="BD53" s="13"/>
      <c r="BE53" s="13"/>
      <c r="BF53" s="13"/>
      <c r="BG53" s="13"/>
      <c r="BH53" s="13"/>
      <c r="BI53" s="13"/>
      <c r="BJ53" s="13"/>
      <c r="BK53" s="13"/>
      <c r="BL53" s="13"/>
      <c r="BM53" s="13"/>
      <c r="BN53" s="13"/>
    </row>
    <row r="54" spans="1:66" x14ac:dyDescent="0.25">
      <c r="A54" s="22">
        <v>52</v>
      </c>
      <c r="B54" s="23">
        <v>309.38344906925465</v>
      </c>
      <c r="C54" s="24">
        <v>2711.7094349150298</v>
      </c>
      <c r="AH54" s="16"/>
      <c r="AI54" s="16"/>
      <c r="AJ54" s="16"/>
      <c r="AK54" s="16">
        <v>2700</v>
      </c>
      <c r="AL54" s="16"/>
      <c r="AM54" s="16">
        <v>601</v>
      </c>
      <c r="AN54" s="16"/>
      <c r="BC54" s="13"/>
      <c r="BD54" s="13"/>
      <c r="BE54" s="13"/>
      <c r="BF54" s="13"/>
      <c r="BG54" s="13"/>
      <c r="BH54" s="13"/>
      <c r="BI54" s="13"/>
      <c r="BJ54" s="13"/>
      <c r="BK54" s="13"/>
      <c r="BL54" s="13"/>
      <c r="BM54" s="13"/>
      <c r="BN54" s="13"/>
    </row>
    <row r="55" spans="1:66" x14ac:dyDescent="0.25">
      <c r="A55" s="22">
        <v>53</v>
      </c>
      <c r="B55" s="23">
        <v>261.18476268213197</v>
      </c>
      <c r="C55" s="24">
        <v>2400.5765989519373</v>
      </c>
      <c r="AH55" s="16"/>
      <c r="AI55" s="16"/>
      <c r="AJ55" s="16"/>
      <c r="AK55" s="16">
        <v>2700</v>
      </c>
      <c r="AL55" s="16"/>
      <c r="AM55" s="16">
        <v>467</v>
      </c>
      <c r="AN55" s="16"/>
      <c r="BC55" s="13"/>
      <c r="BD55" s="13"/>
      <c r="BE55" s="13"/>
      <c r="BF55" s="13"/>
      <c r="BG55" s="13"/>
      <c r="BH55" s="13"/>
      <c r="BI55" s="13"/>
      <c r="BJ55" s="13"/>
      <c r="BK55" s="13"/>
      <c r="BL55" s="13"/>
      <c r="BM55" s="13"/>
      <c r="BN55" s="13"/>
    </row>
    <row r="56" spans="1:66" x14ac:dyDescent="0.25">
      <c r="A56" s="22">
        <v>54</v>
      </c>
      <c r="B56" s="23">
        <v>324.50593393927767</v>
      </c>
      <c r="C56" s="24">
        <v>1654.4171834126596</v>
      </c>
      <c r="AH56" s="16"/>
      <c r="AI56" s="16"/>
      <c r="AJ56" s="16"/>
      <c r="AK56" s="16">
        <v>2800</v>
      </c>
      <c r="AL56" s="16"/>
      <c r="AM56" s="16">
        <v>467</v>
      </c>
      <c r="AN56" s="16"/>
      <c r="BC56" s="13"/>
      <c r="BD56" s="13"/>
      <c r="BE56" s="13"/>
      <c r="BF56" s="13"/>
      <c r="BG56" s="13"/>
      <c r="BH56" s="13"/>
      <c r="BI56" s="13"/>
      <c r="BJ56" s="13"/>
      <c r="BK56" s="13"/>
      <c r="BL56" s="13"/>
      <c r="BM56" s="13"/>
      <c r="BN56" s="13"/>
    </row>
    <row r="57" spans="1:66" x14ac:dyDescent="0.25">
      <c r="A57" s="22">
        <v>55</v>
      </c>
      <c r="B57" s="23">
        <v>405.61519622351523</v>
      </c>
      <c r="C57" s="24">
        <v>2866.1898982878806</v>
      </c>
      <c r="AH57" s="16"/>
      <c r="AI57" s="16"/>
      <c r="AJ57" s="16"/>
      <c r="AK57" s="16">
        <v>2800</v>
      </c>
      <c r="AL57" s="16"/>
      <c r="AM57" s="16">
        <v>372</v>
      </c>
      <c r="AN57" s="16"/>
      <c r="BC57" s="13"/>
      <c r="BD57" s="13"/>
      <c r="BE57" s="13"/>
      <c r="BF57" s="13"/>
      <c r="BG57" s="13"/>
      <c r="BH57" s="13"/>
      <c r="BI57" s="13"/>
      <c r="BJ57" s="13"/>
      <c r="BK57" s="13"/>
      <c r="BL57" s="13"/>
      <c r="BM57" s="13"/>
      <c r="BN57" s="13"/>
    </row>
    <row r="58" spans="1:66" x14ac:dyDescent="0.25">
      <c r="A58" s="22">
        <v>56</v>
      </c>
      <c r="B58" s="23">
        <v>305.86791889237298</v>
      </c>
      <c r="C58" s="24">
        <v>2184.7167915482619</v>
      </c>
      <c r="AH58" s="16"/>
      <c r="AI58" s="16"/>
      <c r="AJ58" s="16"/>
      <c r="AK58" s="16">
        <v>2900</v>
      </c>
      <c r="AL58" s="16"/>
      <c r="AM58" s="16">
        <v>372</v>
      </c>
      <c r="AN58" s="16"/>
      <c r="BC58" s="13"/>
      <c r="BD58" s="13"/>
      <c r="BE58" s="13"/>
      <c r="BF58" s="13"/>
      <c r="BG58" s="13"/>
      <c r="BH58" s="13"/>
      <c r="BI58" s="13"/>
      <c r="BJ58" s="13"/>
      <c r="BK58" s="13"/>
      <c r="BL58" s="13"/>
      <c r="BM58" s="13"/>
      <c r="BN58" s="13"/>
    </row>
    <row r="59" spans="1:66" x14ac:dyDescent="0.25">
      <c r="A59" s="22">
        <v>57</v>
      </c>
      <c r="B59" s="23">
        <v>312.58376786506307</v>
      </c>
      <c r="C59" s="24">
        <v>2006.2123466271537</v>
      </c>
      <c r="AH59" s="16"/>
      <c r="AI59" s="16"/>
      <c r="AJ59" s="16"/>
      <c r="AK59" s="16">
        <v>2900</v>
      </c>
      <c r="AL59" s="16"/>
      <c r="AM59" s="16">
        <v>256</v>
      </c>
      <c r="AN59" s="16"/>
      <c r="BC59" s="13"/>
      <c r="BD59" s="13"/>
      <c r="BE59" s="13"/>
      <c r="BF59" s="13"/>
      <c r="BG59" s="13"/>
      <c r="BH59" s="13"/>
      <c r="BI59" s="13"/>
      <c r="BJ59" s="13"/>
      <c r="BK59" s="13"/>
      <c r="BL59" s="13"/>
      <c r="BM59" s="13"/>
      <c r="BN59" s="13"/>
    </row>
    <row r="60" spans="1:66" x14ac:dyDescent="0.25">
      <c r="A60" s="22">
        <v>58</v>
      </c>
      <c r="B60" s="23">
        <v>348.74813379606218</v>
      </c>
      <c r="C60" s="24">
        <v>2319.0167829976795</v>
      </c>
      <c r="AH60" s="16"/>
      <c r="AI60" s="16"/>
      <c r="AJ60" s="16"/>
      <c r="AK60" s="16">
        <v>3000</v>
      </c>
      <c r="AL60" s="16"/>
      <c r="AM60" s="16">
        <v>256</v>
      </c>
      <c r="AN60" s="16"/>
      <c r="BC60" s="13"/>
      <c r="BD60" s="13"/>
      <c r="BE60" s="13"/>
      <c r="BF60" s="13"/>
      <c r="BG60" s="13"/>
      <c r="BH60" s="13"/>
      <c r="BI60" s="13"/>
      <c r="BJ60" s="13"/>
      <c r="BK60" s="13"/>
      <c r="BL60" s="13"/>
      <c r="BM60" s="13"/>
      <c r="BN60" s="13"/>
    </row>
    <row r="61" spans="1:66" x14ac:dyDescent="0.25">
      <c r="A61" s="22">
        <v>59</v>
      </c>
      <c r="B61" s="23">
        <v>271.19097497940265</v>
      </c>
      <c r="C61" s="24">
        <v>3247.5073115419868</v>
      </c>
      <c r="AH61" s="16"/>
      <c r="AI61" s="16"/>
      <c r="AJ61" s="16"/>
      <c r="AK61" s="16">
        <v>3000</v>
      </c>
      <c r="AL61" s="16"/>
      <c r="AM61" s="16">
        <v>212</v>
      </c>
      <c r="AN61" s="16"/>
      <c r="BC61" s="13"/>
      <c r="BD61" s="13"/>
      <c r="BE61" s="13"/>
      <c r="BF61" s="13"/>
      <c r="BG61" s="13"/>
      <c r="BH61" s="13"/>
      <c r="BI61" s="13"/>
      <c r="BJ61" s="13"/>
      <c r="BK61" s="13"/>
      <c r="BL61" s="13"/>
      <c r="BM61" s="13"/>
      <c r="BN61" s="13"/>
    </row>
    <row r="62" spans="1:66" x14ac:dyDescent="0.25">
      <c r="A62" s="22">
        <v>60</v>
      </c>
      <c r="B62" s="23">
        <v>391.30848359235426</v>
      </c>
      <c r="C62" s="24">
        <v>3021.0811839721628</v>
      </c>
      <c r="AH62" s="16"/>
      <c r="AI62" s="16"/>
      <c r="AJ62" s="16"/>
      <c r="AK62" s="16">
        <v>3100</v>
      </c>
      <c r="AL62" s="16"/>
      <c r="AM62" s="16">
        <v>212</v>
      </c>
      <c r="AN62" s="16"/>
      <c r="BC62" s="13"/>
      <c r="BD62" s="13"/>
      <c r="BE62" s="13"/>
      <c r="BF62" s="13"/>
      <c r="BG62" s="13"/>
      <c r="BH62" s="13"/>
      <c r="BI62" s="13"/>
      <c r="BJ62" s="13"/>
      <c r="BK62" s="13"/>
      <c r="BL62" s="13"/>
      <c r="BM62" s="13"/>
      <c r="BN62" s="13"/>
    </row>
    <row r="63" spans="1:66" x14ac:dyDescent="0.25">
      <c r="A63" s="22">
        <v>61</v>
      </c>
      <c r="B63" s="23">
        <v>470.27844691947314</v>
      </c>
      <c r="C63" s="24">
        <v>2259.3105325816509</v>
      </c>
      <c r="AH63" s="16"/>
      <c r="AI63" s="16"/>
      <c r="AJ63" s="16"/>
      <c r="AK63" s="16">
        <v>3100</v>
      </c>
      <c r="AL63" s="16"/>
      <c r="AM63" s="16">
        <v>166</v>
      </c>
      <c r="AN63" s="16"/>
      <c r="BC63" s="13"/>
      <c r="BD63" s="13"/>
      <c r="BE63" s="13"/>
      <c r="BF63" s="13"/>
      <c r="BG63" s="13"/>
      <c r="BH63" s="13"/>
      <c r="BI63" s="13"/>
      <c r="BJ63" s="13"/>
      <c r="BK63" s="13"/>
      <c r="BL63" s="13"/>
      <c r="BM63" s="13"/>
      <c r="BN63" s="13"/>
    </row>
    <row r="64" spans="1:66" x14ac:dyDescent="0.25">
      <c r="A64" s="22">
        <v>62</v>
      </c>
      <c r="B64" s="23">
        <v>243.63584663014439</v>
      </c>
      <c r="C64" s="24">
        <v>2315.4502855619685</v>
      </c>
      <c r="AH64" s="16"/>
      <c r="AI64" s="16"/>
      <c r="AJ64" s="16"/>
      <c r="AK64" s="16">
        <v>3200</v>
      </c>
      <c r="AL64" s="16"/>
      <c r="AM64" s="16">
        <v>166</v>
      </c>
      <c r="AN64" s="16"/>
      <c r="BC64" s="13"/>
      <c r="BD64" s="13"/>
      <c r="BE64" s="13"/>
      <c r="BF64" s="13"/>
      <c r="BG64" s="13"/>
      <c r="BH64" s="13"/>
      <c r="BI64" s="13"/>
      <c r="BJ64" s="13"/>
      <c r="BK64" s="13"/>
      <c r="BL64" s="13"/>
      <c r="BM64" s="13"/>
      <c r="BN64" s="13"/>
    </row>
    <row r="65" spans="1:66" x14ac:dyDescent="0.25">
      <c r="A65" s="22">
        <v>63</v>
      </c>
      <c r="B65" s="23">
        <v>252.83607993001385</v>
      </c>
      <c r="C65" s="24">
        <v>2847.6752321661465</v>
      </c>
      <c r="AH65" s="16"/>
      <c r="AI65" s="16"/>
      <c r="AJ65" s="16"/>
      <c r="AK65" s="16">
        <v>3200</v>
      </c>
      <c r="AL65" s="16"/>
      <c r="AM65" s="16">
        <v>93</v>
      </c>
      <c r="AN65" s="16"/>
      <c r="BC65" s="13"/>
      <c r="BD65" s="13"/>
      <c r="BE65" s="13"/>
      <c r="BF65" s="13"/>
      <c r="BG65" s="13"/>
      <c r="BH65" s="13"/>
      <c r="BI65" s="13"/>
      <c r="BJ65" s="13"/>
      <c r="BK65" s="13"/>
      <c r="BL65" s="13"/>
      <c r="BM65" s="13"/>
      <c r="BN65" s="13"/>
    </row>
    <row r="66" spans="1:66" x14ac:dyDescent="0.25">
      <c r="A66" s="22">
        <v>64</v>
      </c>
      <c r="B66" s="23">
        <v>219.02973736086929</v>
      </c>
      <c r="C66" s="24">
        <v>2388.1728645213211</v>
      </c>
      <c r="AH66" s="16"/>
      <c r="AI66" s="16"/>
      <c r="AJ66" s="16"/>
      <c r="AK66" s="16">
        <v>3300</v>
      </c>
      <c r="AL66" s="16"/>
      <c r="AM66" s="16">
        <v>93</v>
      </c>
      <c r="AN66" s="16"/>
      <c r="BC66" s="13"/>
      <c r="BD66" s="13"/>
      <c r="BE66" s="13"/>
      <c r="BF66" s="13"/>
      <c r="BG66" s="13"/>
      <c r="BH66" s="13"/>
      <c r="BI66" s="13"/>
      <c r="BJ66" s="13"/>
      <c r="BK66" s="13"/>
      <c r="BL66" s="13"/>
      <c r="BM66" s="13"/>
      <c r="BN66" s="13"/>
    </row>
    <row r="67" spans="1:66" x14ac:dyDescent="0.25">
      <c r="A67" s="22">
        <v>65</v>
      </c>
      <c r="B67" s="23">
        <v>358.7298271517252</v>
      </c>
      <c r="C67" s="24">
        <v>2192.33741984887</v>
      </c>
      <c r="AH67" s="16"/>
      <c r="AI67" s="16"/>
      <c r="AJ67" s="16"/>
      <c r="AK67" s="16">
        <v>3300</v>
      </c>
      <c r="AL67" s="16"/>
      <c r="AM67" s="16">
        <v>57</v>
      </c>
      <c r="AN67" s="16"/>
      <c r="BC67" s="13"/>
      <c r="BD67" s="13"/>
      <c r="BE67" s="13"/>
      <c r="BF67" s="13"/>
      <c r="BG67" s="13"/>
      <c r="BH67" s="13"/>
      <c r="BI67" s="13"/>
      <c r="BJ67" s="13"/>
      <c r="BK67" s="13"/>
      <c r="BL67" s="13"/>
      <c r="BM67" s="13"/>
      <c r="BN67" s="13"/>
    </row>
    <row r="68" spans="1:66" x14ac:dyDescent="0.25">
      <c r="A68" s="22">
        <v>66</v>
      </c>
      <c r="B68" s="23">
        <v>234.57377215473144</v>
      </c>
      <c r="C68" s="24">
        <v>1320.2357860513307</v>
      </c>
      <c r="AK68" s="13">
        <v>3400</v>
      </c>
      <c r="AM68" s="13">
        <v>57</v>
      </c>
      <c r="BC68" s="13"/>
      <c r="BD68" s="13"/>
      <c r="BE68" s="13"/>
      <c r="BF68" s="13"/>
      <c r="BG68" s="13"/>
      <c r="BH68" s="13"/>
      <c r="BI68" s="13"/>
      <c r="BJ68" s="13"/>
      <c r="BK68" s="13"/>
      <c r="BL68" s="13"/>
      <c r="BM68" s="13"/>
      <c r="BN68" s="13"/>
    </row>
    <row r="69" spans="1:66" x14ac:dyDescent="0.25">
      <c r="A69" s="22">
        <v>67</v>
      </c>
      <c r="B69" s="23">
        <v>365.77778665851622</v>
      </c>
      <c r="C69" s="24">
        <v>1658.0849325252821</v>
      </c>
      <c r="AK69" s="13">
        <v>3400</v>
      </c>
      <c r="AM69" s="13">
        <v>35</v>
      </c>
      <c r="BC69" s="13"/>
      <c r="BD69" s="13"/>
      <c r="BE69" s="13"/>
      <c r="BF69" s="13"/>
      <c r="BG69" s="13"/>
      <c r="BH69" s="13"/>
      <c r="BI69" s="13"/>
      <c r="BJ69" s="13"/>
      <c r="BK69" s="13"/>
      <c r="BL69" s="13"/>
      <c r="BM69" s="13"/>
      <c r="BN69" s="13"/>
    </row>
    <row r="70" spans="1:66" x14ac:dyDescent="0.25">
      <c r="A70" s="22">
        <v>68</v>
      </c>
      <c r="B70" s="23">
        <v>284.37400921730358</v>
      </c>
      <c r="C70" s="24">
        <v>2200.9914320892572</v>
      </c>
      <c r="AK70" s="13">
        <v>3500</v>
      </c>
      <c r="AM70" s="13">
        <v>35</v>
      </c>
      <c r="BC70" s="13"/>
      <c r="BD70" s="13"/>
      <c r="BE70" s="13"/>
      <c r="BF70" s="13"/>
      <c r="BG70" s="13"/>
      <c r="BH70" s="13"/>
      <c r="BI70" s="13"/>
      <c r="BJ70" s="13"/>
      <c r="BK70" s="13"/>
      <c r="BL70" s="13"/>
      <c r="BM70" s="13"/>
      <c r="BN70" s="13"/>
    </row>
    <row r="71" spans="1:66" x14ac:dyDescent="0.25">
      <c r="A71" s="22">
        <v>69</v>
      </c>
      <c r="B71" s="23">
        <v>209.43116350401192</v>
      </c>
      <c r="C71" s="24">
        <v>2806.8215519883329</v>
      </c>
      <c r="AK71" s="13">
        <v>3500</v>
      </c>
      <c r="AM71" s="13">
        <v>24</v>
      </c>
      <c r="BC71" s="13"/>
      <c r="BD71" s="13"/>
      <c r="BE71" s="13"/>
      <c r="BF71" s="13"/>
      <c r="BG71" s="13"/>
      <c r="BH71" s="13"/>
      <c r="BI71" s="13"/>
      <c r="BJ71" s="13"/>
      <c r="BK71" s="13"/>
      <c r="BL71" s="13"/>
      <c r="BM71" s="13"/>
      <c r="BN71" s="13"/>
    </row>
    <row r="72" spans="1:66" x14ac:dyDescent="0.25">
      <c r="A72" s="22">
        <v>70</v>
      </c>
      <c r="B72" s="23">
        <v>432.73240176771441</v>
      </c>
      <c r="C72" s="24">
        <v>2337.5548899027754</v>
      </c>
      <c r="AK72" s="13">
        <v>3600</v>
      </c>
      <c r="AM72" s="13">
        <v>24</v>
      </c>
      <c r="BC72" s="13"/>
      <c r="BD72" s="13"/>
      <c r="BE72" s="13"/>
      <c r="BF72" s="13"/>
      <c r="BG72" s="13"/>
      <c r="BH72" s="13"/>
      <c r="BI72" s="13"/>
      <c r="BJ72" s="13"/>
      <c r="BK72" s="13"/>
      <c r="BL72" s="13"/>
      <c r="BM72" s="13"/>
      <c r="BN72" s="13"/>
    </row>
    <row r="73" spans="1:66" x14ac:dyDescent="0.25">
      <c r="A73" s="22">
        <v>71</v>
      </c>
      <c r="B73" s="23">
        <v>420.74469724953212</v>
      </c>
      <c r="C73" s="24">
        <v>1689.2325640931181</v>
      </c>
      <c r="AK73" s="13">
        <v>3600</v>
      </c>
      <c r="AM73" s="13">
        <v>13</v>
      </c>
      <c r="BC73" s="13"/>
      <c r="BD73" s="13"/>
      <c r="BE73" s="13"/>
      <c r="BF73" s="13"/>
      <c r="BG73" s="13"/>
      <c r="BH73" s="13"/>
      <c r="BI73" s="13"/>
      <c r="BJ73" s="13"/>
      <c r="BK73" s="13"/>
      <c r="BL73" s="13"/>
      <c r="BM73" s="13"/>
      <c r="BN73" s="13"/>
    </row>
    <row r="74" spans="1:66" x14ac:dyDescent="0.25">
      <c r="A74" s="22">
        <v>72</v>
      </c>
      <c r="B74" s="23">
        <v>247.56685979064471</v>
      </c>
      <c r="C74" s="24">
        <v>2172.0048314913192</v>
      </c>
      <c r="AK74" s="13">
        <v>3700</v>
      </c>
      <c r="AM74" s="13">
        <v>13</v>
      </c>
      <c r="BC74" s="13"/>
      <c r="BD74" s="13"/>
      <c r="BE74" s="13"/>
      <c r="BF74" s="13"/>
      <c r="BG74" s="13"/>
      <c r="BH74" s="13"/>
      <c r="BI74" s="13"/>
      <c r="BJ74" s="13"/>
      <c r="BK74" s="13"/>
      <c r="BL74" s="13"/>
      <c r="BM74" s="13"/>
      <c r="BN74" s="13"/>
    </row>
    <row r="75" spans="1:66" x14ac:dyDescent="0.25">
      <c r="A75" s="22">
        <v>73</v>
      </c>
      <c r="B75" s="23">
        <v>243.9439223859288</v>
      </c>
      <c r="C75" s="24">
        <v>2074.2778352935184</v>
      </c>
      <c r="AK75" s="13">
        <v>3700</v>
      </c>
      <c r="AM75" s="13">
        <v>8</v>
      </c>
      <c r="BC75" s="13"/>
      <c r="BD75" s="13"/>
      <c r="BE75" s="13"/>
      <c r="BF75" s="13"/>
      <c r="BG75" s="13"/>
      <c r="BH75" s="13"/>
      <c r="BI75" s="13"/>
      <c r="BJ75" s="13"/>
      <c r="BK75" s="13"/>
      <c r="BL75" s="13"/>
      <c r="BM75" s="13"/>
      <c r="BN75" s="13"/>
    </row>
    <row r="76" spans="1:66" x14ac:dyDescent="0.25">
      <c r="A76" s="22">
        <v>74</v>
      </c>
      <c r="B76" s="23">
        <v>361.59605172317163</v>
      </c>
      <c r="C76" s="24">
        <v>2183.3107325804617</v>
      </c>
      <c r="AK76" s="13">
        <v>3800</v>
      </c>
      <c r="AM76" s="13">
        <v>8</v>
      </c>
      <c r="BC76" s="13"/>
      <c r="BD76" s="13"/>
      <c r="BE76" s="13"/>
      <c r="BF76" s="13"/>
      <c r="BG76" s="13"/>
      <c r="BH76" s="13"/>
      <c r="BI76" s="13"/>
      <c r="BJ76" s="13"/>
      <c r="BK76" s="13"/>
      <c r="BL76" s="13"/>
      <c r="BM76" s="13"/>
      <c r="BN76" s="13"/>
    </row>
    <row r="77" spans="1:66" x14ac:dyDescent="0.25">
      <c r="A77" s="22">
        <v>75</v>
      </c>
      <c r="B77" s="23">
        <v>334.91905661763661</v>
      </c>
      <c r="C77" s="24">
        <v>2923.6892265652896</v>
      </c>
      <c r="AK77" s="13">
        <v>3800</v>
      </c>
      <c r="AM77" s="13">
        <v>7</v>
      </c>
      <c r="BC77" s="13"/>
      <c r="BD77" s="13"/>
      <c r="BE77" s="13"/>
      <c r="BF77" s="13"/>
      <c r="BG77" s="13"/>
      <c r="BH77" s="13"/>
      <c r="BI77" s="13"/>
      <c r="BJ77" s="13"/>
      <c r="BK77" s="13"/>
      <c r="BL77" s="13"/>
      <c r="BM77" s="13"/>
      <c r="BN77" s="13"/>
    </row>
    <row r="78" spans="1:66" x14ac:dyDescent="0.25">
      <c r="A78" s="22">
        <v>76</v>
      </c>
      <c r="B78" s="23">
        <v>260.31567291727504</v>
      </c>
      <c r="C78" s="24">
        <v>2203.6950384721154</v>
      </c>
      <c r="AK78" s="13">
        <v>3900</v>
      </c>
      <c r="AM78" s="13">
        <v>7</v>
      </c>
      <c r="BC78" s="13"/>
      <c r="BD78" s="13"/>
      <c r="BE78" s="13"/>
      <c r="BF78" s="13"/>
      <c r="BG78" s="13"/>
      <c r="BH78" s="13"/>
      <c r="BI78" s="13"/>
      <c r="BJ78" s="13"/>
      <c r="BK78" s="13"/>
      <c r="BL78" s="13"/>
      <c r="BM78" s="13"/>
      <c r="BN78" s="13"/>
    </row>
    <row r="79" spans="1:66" x14ac:dyDescent="0.25">
      <c r="A79" s="22">
        <v>77</v>
      </c>
      <c r="B79" s="23">
        <v>407.39803577664634</v>
      </c>
      <c r="C79" s="24">
        <v>2071.5639711622375</v>
      </c>
      <c r="AK79" s="13">
        <v>3900</v>
      </c>
      <c r="AM79" s="13">
        <v>5</v>
      </c>
      <c r="BC79" s="13"/>
      <c r="BD79" s="13"/>
      <c r="BE79" s="13"/>
      <c r="BF79" s="13"/>
      <c r="BG79" s="13"/>
      <c r="BH79" s="13"/>
      <c r="BI79" s="13"/>
      <c r="BJ79" s="13"/>
      <c r="BK79" s="13"/>
      <c r="BL79" s="13"/>
      <c r="BM79" s="13"/>
      <c r="BN79" s="13"/>
    </row>
    <row r="80" spans="1:66" x14ac:dyDescent="0.25">
      <c r="A80" s="22">
        <v>78</v>
      </c>
      <c r="B80" s="23">
        <v>379.70250252393095</v>
      </c>
      <c r="C80" s="24">
        <v>1771.1325729041519</v>
      </c>
      <c r="AK80" s="13">
        <v>4000</v>
      </c>
      <c r="AM80" s="13">
        <v>5</v>
      </c>
      <c r="BC80" s="13"/>
      <c r="BD80" s="13"/>
      <c r="BE80" s="13"/>
      <c r="BF80" s="13"/>
      <c r="BG80" s="13"/>
      <c r="BH80" s="13"/>
      <c r="BI80" s="13"/>
      <c r="BJ80" s="13"/>
      <c r="BK80" s="13"/>
      <c r="BL80" s="13"/>
      <c r="BM80" s="13"/>
      <c r="BN80" s="13"/>
    </row>
    <row r="81" spans="1:66" x14ac:dyDescent="0.25">
      <c r="A81" s="22">
        <v>79</v>
      </c>
      <c r="B81" s="23">
        <v>252.69347261359252</v>
      </c>
      <c r="C81" s="24">
        <v>1782.3487591772741</v>
      </c>
      <c r="AK81" s="13">
        <v>4000</v>
      </c>
      <c r="AM81" s="13">
        <v>2</v>
      </c>
      <c r="BC81" s="13"/>
      <c r="BD81" s="13"/>
      <c r="BE81" s="13"/>
      <c r="BF81" s="13"/>
      <c r="BG81" s="13"/>
      <c r="BH81" s="13"/>
      <c r="BI81" s="13"/>
      <c r="BJ81" s="13"/>
      <c r="BK81" s="13"/>
      <c r="BL81" s="13"/>
      <c r="BM81" s="13"/>
      <c r="BN81" s="13"/>
    </row>
    <row r="82" spans="1:66" x14ac:dyDescent="0.25">
      <c r="A82" s="22">
        <v>80</v>
      </c>
      <c r="B82" s="23">
        <v>265.05518260400333</v>
      </c>
      <c r="C82" s="24">
        <v>2203.7736089672107</v>
      </c>
      <c r="AK82" s="13">
        <v>4100</v>
      </c>
      <c r="AM82" s="13">
        <v>2</v>
      </c>
      <c r="BC82" s="13"/>
      <c r="BD82" s="13"/>
      <c r="BE82" s="13"/>
      <c r="BF82" s="13"/>
      <c r="BG82" s="13"/>
      <c r="BH82" s="13"/>
      <c r="BI82" s="13"/>
      <c r="BJ82" s="13"/>
      <c r="BK82" s="13"/>
      <c r="BL82" s="13"/>
      <c r="BM82" s="13"/>
      <c r="BN82" s="13"/>
    </row>
    <row r="83" spans="1:66" x14ac:dyDescent="0.25">
      <c r="A83" s="22">
        <v>81</v>
      </c>
      <c r="B83" s="23">
        <v>444.1688457287654</v>
      </c>
      <c r="C83" s="24">
        <v>2502.9225497014363</v>
      </c>
      <c r="AK83" s="13">
        <v>4100</v>
      </c>
      <c r="AM83" s="13">
        <v>1</v>
      </c>
      <c r="BC83" s="13"/>
      <c r="BD83" s="13"/>
      <c r="BE83" s="13"/>
      <c r="BF83" s="13"/>
      <c r="BG83" s="13"/>
      <c r="BH83" s="13"/>
      <c r="BI83" s="13"/>
      <c r="BJ83" s="13"/>
      <c r="BK83" s="13"/>
      <c r="BL83" s="13"/>
      <c r="BM83" s="13"/>
      <c r="BN83" s="13"/>
    </row>
    <row r="84" spans="1:66" x14ac:dyDescent="0.25">
      <c r="A84" s="22">
        <v>82</v>
      </c>
      <c r="B84" s="23">
        <v>169.74192813548615</v>
      </c>
      <c r="C84" s="24">
        <v>2397.2323866730071</v>
      </c>
      <c r="AK84" s="13">
        <v>4200</v>
      </c>
      <c r="AM84" s="13">
        <v>1</v>
      </c>
      <c r="BC84" s="13"/>
      <c r="BD84" s="13"/>
      <c r="BE84" s="13"/>
      <c r="BF84" s="13"/>
      <c r="BG84" s="13"/>
      <c r="BH84" s="13"/>
      <c r="BI84" s="13"/>
      <c r="BJ84" s="13"/>
      <c r="BK84" s="13"/>
      <c r="BL84" s="13"/>
      <c r="BM84" s="13"/>
      <c r="BN84" s="13"/>
    </row>
    <row r="85" spans="1:66" x14ac:dyDescent="0.25">
      <c r="A85" s="22">
        <v>83</v>
      </c>
      <c r="B85" s="23">
        <v>378.29550802884705</v>
      </c>
      <c r="C85" s="24">
        <v>2309.4709005357499</v>
      </c>
      <c r="AK85" s="13">
        <v>4200</v>
      </c>
      <c r="AM85" s="13">
        <v>0</v>
      </c>
      <c r="BC85" s="13"/>
      <c r="BD85" s="13"/>
      <c r="BE85" s="13"/>
      <c r="BF85" s="13"/>
      <c r="BG85" s="13"/>
      <c r="BH85" s="13"/>
      <c r="BI85" s="13"/>
      <c r="BJ85" s="13"/>
      <c r="BK85" s="13"/>
      <c r="BL85" s="13"/>
      <c r="BM85" s="13"/>
      <c r="BN85" s="13"/>
    </row>
    <row r="86" spans="1:66" x14ac:dyDescent="0.25">
      <c r="A86" s="22">
        <v>84</v>
      </c>
      <c r="B86" s="23">
        <v>307.6455613094771</v>
      </c>
      <c r="C86" s="24">
        <v>3000.0931777676487</v>
      </c>
      <c r="AK86" s="13">
        <v>4300</v>
      </c>
      <c r="AM86" s="13">
        <v>0</v>
      </c>
      <c r="BC86" s="13"/>
      <c r="BD86" s="13"/>
      <c r="BE86" s="13"/>
      <c r="BF86" s="13"/>
      <c r="BG86" s="13"/>
      <c r="BH86" s="13"/>
      <c r="BI86" s="13"/>
      <c r="BJ86" s="13"/>
      <c r="BK86" s="13"/>
      <c r="BL86" s="13"/>
      <c r="BM86" s="13"/>
      <c r="BN86" s="13"/>
    </row>
    <row r="87" spans="1:66" x14ac:dyDescent="0.25">
      <c r="A87" s="22">
        <v>85</v>
      </c>
      <c r="B87" s="23">
        <v>412.11747640874762</v>
      </c>
      <c r="C87" s="24">
        <v>3171.1473299114359</v>
      </c>
      <c r="AK87" s="13">
        <v>4300</v>
      </c>
      <c r="AM87" s="13">
        <v>0</v>
      </c>
      <c r="BC87" s="13"/>
      <c r="BD87" s="13"/>
      <c r="BE87" s="13"/>
      <c r="BF87" s="13"/>
      <c r="BG87" s="13"/>
      <c r="BH87" s="13"/>
      <c r="BI87" s="13"/>
      <c r="BJ87" s="13"/>
      <c r="BK87" s="13"/>
      <c r="BL87" s="13"/>
      <c r="BM87" s="13"/>
      <c r="BN87" s="13"/>
    </row>
    <row r="88" spans="1:66" x14ac:dyDescent="0.25">
      <c r="A88" s="22">
        <v>86</v>
      </c>
      <c r="B88" s="23">
        <v>339.13923316296223</v>
      </c>
      <c r="C88" s="24">
        <v>1695.6343559035133</v>
      </c>
      <c r="AK88" s="13">
        <v>4400</v>
      </c>
      <c r="AM88" s="13">
        <v>0</v>
      </c>
      <c r="BC88" s="13"/>
      <c r="BD88" s="13"/>
      <c r="BE88" s="13"/>
      <c r="BF88" s="13"/>
      <c r="BG88" s="13"/>
      <c r="BH88" s="13"/>
      <c r="BI88" s="13"/>
      <c r="BJ88" s="13"/>
      <c r="BK88" s="13"/>
      <c r="BL88" s="13"/>
      <c r="BM88" s="13"/>
      <c r="BN88" s="13"/>
    </row>
    <row r="89" spans="1:66" x14ac:dyDescent="0.25">
      <c r="A89" s="22">
        <v>87</v>
      </c>
      <c r="B89" s="23">
        <v>550.59345818014663</v>
      </c>
      <c r="C89" s="24">
        <v>2674.9213460338615</v>
      </c>
      <c r="AK89" s="13">
        <v>4400</v>
      </c>
      <c r="AM89" s="13">
        <v>0</v>
      </c>
      <c r="BC89" s="13"/>
      <c r="BD89" s="13"/>
      <c r="BE89" s="13"/>
      <c r="BF89" s="13"/>
      <c r="BG89" s="13"/>
      <c r="BH89" s="13"/>
      <c r="BI89" s="13"/>
      <c r="BJ89" s="13"/>
      <c r="BK89" s="13"/>
      <c r="BL89" s="13"/>
      <c r="BM89" s="13"/>
      <c r="BN89" s="13"/>
    </row>
    <row r="90" spans="1:66" x14ac:dyDescent="0.25">
      <c r="A90" s="22">
        <v>88</v>
      </c>
      <c r="B90" s="23">
        <v>380.93348465575798</v>
      </c>
      <c r="C90" s="24">
        <v>2619.8185069481706</v>
      </c>
      <c r="AK90" s="13">
        <v>4500</v>
      </c>
      <c r="AM90" s="13">
        <v>0</v>
      </c>
      <c r="BC90" s="13"/>
      <c r="BD90" s="13"/>
      <c r="BE90" s="13"/>
      <c r="BF90" s="13"/>
      <c r="BG90" s="13"/>
      <c r="BH90" s="13"/>
      <c r="BI90" s="13"/>
      <c r="BJ90" s="13"/>
      <c r="BK90" s="13"/>
      <c r="BL90" s="13"/>
      <c r="BM90" s="13"/>
      <c r="BN90" s="13"/>
    </row>
    <row r="91" spans="1:66" x14ac:dyDescent="0.25">
      <c r="A91" s="22">
        <v>89</v>
      </c>
      <c r="B91" s="23">
        <v>214.42023586388825</v>
      </c>
      <c r="C91" s="24">
        <v>2016.329001920901</v>
      </c>
      <c r="AK91" s="13">
        <v>4500</v>
      </c>
      <c r="AM91" s="13">
        <v>1</v>
      </c>
      <c r="BC91" s="13"/>
      <c r="BD91" s="13"/>
      <c r="BE91" s="13"/>
      <c r="BF91" s="13"/>
      <c r="BG91" s="13"/>
      <c r="BH91" s="13"/>
      <c r="BI91" s="13"/>
      <c r="BJ91" s="13"/>
      <c r="BK91" s="13"/>
      <c r="BL91" s="13"/>
      <c r="BM91" s="13"/>
      <c r="BN91" s="13"/>
    </row>
    <row r="92" spans="1:66" x14ac:dyDescent="0.25">
      <c r="A92" s="22">
        <v>90</v>
      </c>
      <c r="B92" s="23">
        <v>315.73638696530617</v>
      </c>
      <c r="C92" s="24">
        <v>2180.4450085623389</v>
      </c>
      <c r="AK92" s="13">
        <v>4600</v>
      </c>
      <c r="AM92" s="13">
        <v>1</v>
      </c>
      <c r="BC92" s="13"/>
      <c r="BD92" s="13"/>
      <c r="BE92" s="13"/>
      <c r="BF92" s="13"/>
      <c r="BG92" s="13"/>
      <c r="BH92" s="13"/>
      <c r="BI92" s="13"/>
      <c r="BJ92" s="13"/>
      <c r="BK92" s="13"/>
      <c r="BL92" s="13"/>
      <c r="BM92" s="13"/>
      <c r="BN92" s="13"/>
    </row>
    <row r="93" spans="1:66" x14ac:dyDescent="0.25">
      <c r="A93" s="22">
        <v>91</v>
      </c>
      <c r="B93" s="23">
        <v>246.00143252443166</v>
      </c>
      <c r="C93" s="24">
        <v>1994.7090465366848</v>
      </c>
      <c r="AK93" s="13">
        <v>4600</v>
      </c>
      <c r="AM93" s="13">
        <v>0</v>
      </c>
      <c r="BC93" s="13"/>
      <c r="BD93" s="13"/>
      <c r="BE93" s="13"/>
      <c r="BF93" s="13"/>
      <c r="BG93" s="13"/>
      <c r="BH93" s="13"/>
      <c r="BI93" s="13"/>
      <c r="BJ93" s="13"/>
      <c r="BK93" s="13"/>
      <c r="BL93" s="13"/>
      <c r="BM93" s="13"/>
      <c r="BN93" s="13"/>
    </row>
    <row r="94" spans="1:66" x14ac:dyDescent="0.25">
      <c r="A94" s="22">
        <v>92</v>
      </c>
      <c r="B94" s="23">
        <v>270.77293865905887</v>
      </c>
      <c r="C94" s="24">
        <v>1781.9652788421381</v>
      </c>
      <c r="AK94" s="13">
        <v>4700</v>
      </c>
      <c r="AM94" s="13">
        <v>0</v>
      </c>
      <c r="BC94" s="13"/>
      <c r="BD94" s="13"/>
      <c r="BE94" s="13"/>
      <c r="BF94" s="13"/>
      <c r="BG94" s="13"/>
      <c r="BH94" s="13"/>
      <c r="BI94" s="13"/>
      <c r="BJ94" s="13"/>
      <c r="BK94" s="13"/>
      <c r="BL94" s="13"/>
      <c r="BM94" s="13"/>
      <c r="BN94" s="13"/>
    </row>
    <row r="95" spans="1:66" x14ac:dyDescent="0.25">
      <c r="A95" s="22">
        <v>93</v>
      </c>
      <c r="B95" s="23">
        <v>246.78921228584602</v>
      </c>
      <c r="C95" s="24">
        <v>1955.4203562432826</v>
      </c>
      <c r="AK95" s="13">
        <v>4700</v>
      </c>
      <c r="AM95" s="13">
        <v>0</v>
      </c>
      <c r="BC95" s="13"/>
      <c r="BD95" s="13"/>
      <c r="BE95" s="13"/>
      <c r="BF95" s="13"/>
      <c r="BG95" s="13"/>
      <c r="BH95" s="13"/>
      <c r="BI95" s="13"/>
      <c r="BJ95" s="13"/>
      <c r="BK95" s="13"/>
      <c r="BL95" s="13"/>
      <c r="BM95" s="13"/>
      <c r="BN95" s="13"/>
    </row>
    <row r="96" spans="1:66" x14ac:dyDescent="0.25">
      <c r="A96" s="22">
        <v>94</v>
      </c>
      <c r="B96" s="23">
        <v>344.62138665178003</v>
      </c>
      <c r="C96" s="24">
        <v>2503.6543315543299</v>
      </c>
      <c r="AK96" s="13">
        <v>4800</v>
      </c>
      <c r="AM96" s="13">
        <v>0</v>
      </c>
      <c r="BC96" s="13"/>
      <c r="BD96" s="13"/>
      <c r="BE96" s="13"/>
      <c r="BF96" s="13"/>
      <c r="BG96" s="13"/>
      <c r="BH96" s="13"/>
      <c r="BI96" s="13"/>
      <c r="BJ96" s="13"/>
      <c r="BK96" s="13"/>
      <c r="BL96" s="13"/>
      <c r="BM96" s="13"/>
      <c r="BN96" s="13"/>
    </row>
    <row r="97" spans="1:66" x14ac:dyDescent="0.25">
      <c r="A97" s="22">
        <v>95</v>
      </c>
      <c r="B97" s="23">
        <v>222.61540370136868</v>
      </c>
      <c r="C97" s="24">
        <v>2041.1835066649583</v>
      </c>
      <c r="AK97" s="13">
        <v>4800</v>
      </c>
      <c r="AM97" s="13">
        <v>1</v>
      </c>
      <c r="BC97" s="13"/>
      <c r="BD97" s="13"/>
      <c r="BE97" s="13"/>
      <c r="BF97" s="13"/>
      <c r="BG97" s="13"/>
      <c r="BH97" s="13"/>
      <c r="BI97" s="13"/>
      <c r="BJ97" s="13"/>
      <c r="BK97" s="13"/>
      <c r="BL97" s="13"/>
      <c r="BM97" s="13"/>
      <c r="BN97" s="13"/>
    </row>
    <row r="98" spans="1:66" x14ac:dyDescent="0.25">
      <c r="A98" s="22">
        <v>96</v>
      </c>
      <c r="B98" s="23">
        <v>265.69197483816811</v>
      </c>
      <c r="C98" s="24">
        <v>2247.9043194760047</v>
      </c>
      <c r="AK98" s="13">
        <v>4900</v>
      </c>
      <c r="AM98" s="13">
        <v>1</v>
      </c>
      <c r="BC98" s="13"/>
      <c r="BD98" s="13"/>
      <c r="BE98" s="13"/>
      <c r="BF98" s="13"/>
      <c r="BG98" s="13"/>
      <c r="BH98" s="13"/>
      <c r="BI98" s="13"/>
      <c r="BJ98" s="13"/>
      <c r="BK98" s="13"/>
      <c r="BL98" s="13"/>
      <c r="BM98" s="13"/>
      <c r="BN98" s="13"/>
    </row>
    <row r="99" spans="1:66" x14ac:dyDescent="0.25">
      <c r="A99" s="22">
        <v>97</v>
      </c>
      <c r="B99" s="23">
        <v>441.88900862536906</v>
      </c>
      <c r="C99" s="24">
        <v>2480.8585554916594</v>
      </c>
      <c r="AK99" s="13">
        <v>4900</v>
      </c>
      <c r="AM99" s="13">
        <v>0</v>
      </c>
      <c r="BC99" s="13"/>
      <c r="BD99" s="13"/>
      <c r="BE99" s="13"/>
      <c r="BF99" s="13"/>
      <c r="BG99" s="13"/>
      <c r="BH99" s="13"/>
      <c r="BI99" s="13"/>
      <c r="BJ99" s="13"/>
      <c r="BK99" s="13"/>
      <c r="BL99" s="13"/>
      <c r="BM99" s="13"/>
      <c r="BN99" s="13"/>
    </row>
    <row r="100" spans="1:66" x14ac:dyDescent="0.25">
      <c r="A100" s="22">
        <v>98</v>
      </c>
      <c r="B100" s="23">
        <v>424.12272926680498</v>
      </c>
      <c r="C100" s="24">
        <v>1888.9433696046897</v>
      </c>
      <c r="BC100" s="13"/>
      <c r="BD100" s="13"/>
      <c r="BE100" s="13"/>
      <c r="BF100" s="13"/>
      <c r="BG100" s="13"/>
      <c r="BH100" s="13"/>
      <c r="BI100" s="13"/>
      <c r="BJ100" s="13"/>
      <c r="BK100" s="13"/>
      <c r="BL100" s="13"/>
      <c r="BM100" s="13"/>
      <c r="BN100" s="13"/>
    </row>
    <row r="101" spans="1:66" x14ac:dyDescent="0.25">
      <c r="A101" s="22">
        <v>99</v>
      </c>
      <c r="B101" s="23">
        <v>292.23547123968598</v>
      </c>
      <c r="C101" s="24">
        <v>2227.3201417014866</v>
      </c>
      <c r="BC101" s="13"/>
      <c r="BD101" s="13"/>
      <c r="BE101" s="13"/>
      <c r="BF101" s="13"/>
      <c r="BG101" s="13"/>
      <c r="BH101" s="13"/>
      <c r="BI101" s="13"/>
      <c r="BJ101" s="13"/>
      <c r="BK101" s="13"/>
      <c r="BL101" s="13"/>
      <c r="BM101" s="13"/>
      <c r="BN101" s="13"/>
    </row>
    <row r="102" spans="1:66" x14ac:dyDescent="0.25">
      <c r="A102" s="22">
        <v>100</v>
      </c>
      <c r="B102" s="23">
        <v>233.61945333651281</v>
      </c>
      <c r="C102" s="24">
        <v>3157.8383378492158</v>
      </c>
      <c r="BC102" s="13"/>
      <c r="BD102" s="13"/>
      <c r="BE102" s="13"/>
      <c r="BF102" s="13"/>
      <c r="BG102" s="13"/>
      <c r="BH102" s="13"/>
      <c r="BI102" s="13"/>
      <c r="BJ102" s="13"/>
      <c r="BK102" s="13"/>
      <c r="BL102" s="13"/>
      <c r="BM102" s="13"/>
      <c r="BN102" s="13"/>
    </row>
    <row r="103" spans="1:66" x14ac:dyDescent="0.25">
      <c r="A103" s="55" t="s">
        <v>29</v>
      </c>
    </row>
  </sheetData>
  <dataConsolidate/>
  <mergeCells count="4">
    <mergeCell ref="F2:G2"/>
    <mergeCell ref="I4:J4"/>
    <mergeCell ref="K4:L4"/>
    <mergeCell ref="M4:N4"/>
  </mergeCells>
  <pageMargins left="0.75" right="0.75" top="1" bottom="1" header="0.5" footer="0.5"/>
  <pageSetup orientation="portrait" horizontalDpi="200" verticalDpi="200"/>
  <headerFooter alignWithMargins="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BN159"/>
  <sheetViews>
    <sheetView showGridLines="0" workbookViewId="0">
      <selection activeCell="G10" sqref="G10"/>
    </sheetView>
  </sheetViews>
  <sheetFormatPr defaultRowHeight="15.75" x14ac:dyDescent="0.25"/>
  <cols>
    <col min="1" max="1" width="8" style="22" customWidth="1"/>
    <col min="2" max="2" width="10.625" style="11" customWidth="1"/>
    <col min="3" max="3" width="10.625" style="12" customWidth="1"/>
    <col min="4" max="4" width="7.625" style="13" customWidth="1"/>
    <col min="5" max="5" width="7.625" style="14" customWidth="1"/>
    <col min="6" max="6" width="11.625" style="15" customWidth="1"/>
    <col min="7" max="7" width="9" style="14"/>
    <col min="8" max="8" width="6.625" style="14" customWidth="1"/>
    <col min="9" max="14" width="10.125" style="14" customWidth="1"/>
    <col min="15" max="17" width="9" style="14"/>
    <col min="18" max="19" width="9" style="13"/>
    <col min="20" max="20" width="14.25" style="13" customWidth="1"/>
    <col min="21" max="22" width="11.25" style="13" customWidth="1"/>
    <col min="23" max="54" width="9" style="13"/>
    <col min="55" max="256" width="9" style="14"/>
    <col min="257" max="257" width="8" style="14" customWidth="1"/>
    <col min="258" max="259" width="10.625" style="14" customWidth="1"/>
    <col min="260" max="261" width="7.625" style="14" customWidth="1"/>
    <col min="262" max="262" width="11.625" style="14" customWidth="1"/>
    <col min="263" max="263" width="9" style="14"/>
    <col min="264" max="264" width="6.625" style="14" customWidth="1"/>
    <col min="265" max="270" width="10.125" style="14" customWidth="1"/>
    <col min="271" max="275" width="9" style="14"/>
    <col min="276" max="276" width="14.25" style="14" customWidth="1"/>
    <col min="277" max="278" width="11.25" style="14" customWidth="1"/>
    <col min="279" max="512" width="9" style="14"/>
    <col min="513" max="513" width="8" style="14" customWidth="1"/>
    <col min="514" max="515" width="10.625" style="14" customWidth="1"/>
    <col min="516" max="517" width="7.625" style="14" customWidth="1"/>
    <col min="518" max="518" width="11.625" style="14" customWidth="1"/>
    <col min="519" max="519" width="9" style="14"/>
    <col min="520" max="520" width="6.625" style="14" customWidth="1"/>
    <col min="521" max="526" width="10.125" style="14" customWidth="1"/>
    <col min="527" max="531" width="9" style="14"/>
    <col min="532" max="532" width="14.25" style="14" customWidth="1"/>
    <col min="533" max="534" width="11.25" style="14" customWidth="1"/>
    <col min="535" max="768" width="9" style="14"/>
    <col min="769" max="769" width="8" style="14" customWidth="1"/>
    <col min="770" max="771" width="10.625" style="14" customWidth="1"/>
    <col min="772" max="773" width="7.625" style="14" customWidth="1"/>
    <col min="774" max="774" width="11.625" style="14" customWidth="1"/>
    <col min="775" max="775" width="9" style="14"/>
    <col min="776" max="776" width="6.625" style="14" customWidth="1"/>
    <col min="777" max="782" width="10.125" style="14" customWidth="1"/>
    <col min="783" max="787" width="9" style="14"/>
    <col min="788" max="788" width="14.25" style="14" customWidth="1"/>
    <col min="789" max="790" width="11.25" style="14" customWidth="1"/>
    <col min="791" max="1024" width="9" style="14"/>
    <col min="1025" max="1025" width="8" style="14" customWidth="1"/>
    <col min="1026" max="1027" width="10.625" style="14" customWidth="1"/>
    <col min="1028" max="1029" width="7.625" style="14" customWidth="1"/>
    <col min="1030" max="1030" width="11.625" style="14" customWidth="1"/>
    <col min="1031" max="1031" width="9" style="14"/>
    <col min="1032" max="1032" width="6.625" style="14" customWidth="1"/>
    <col min="1033" max="1038" width="10.125" style="14" customWidth="1"/>
    <col min="1039" max="1043" width="9" style="14"/>
    <col min="1044" max="1044" width="14.25" style="14" customWidth="1"/>
    <col min="1045" max="1046" width="11.25" style="14" customWidth="1"/>
    <col min="1047" max="1280" width="9" style="14"/>
    <col min="1281" max="1281" width="8" style="14" customWidth="1"/>
    <col min="1282" max="1283" width="10.625" style="14" customWidth="1"/>
    <col min="1284" max="1285" width="7.625" style="14" customWidth="1"/>
    <col min="1286" max="1286" width="11.625" style="14" customWidth="1"/>
    <col min="1287" max="1287" width="9" style="14"/>
    <col min="1288" max="1288" width="6.625" style="14" customWidth="1"/>
    <col min="1289" max="1294" width="10.125" style="14" customWidth="1"/>
    <col min="1295" max="1299" width="9" style="14"/>
    <col min="1300" max="1300" width="14.25" style="14" customWidth="1"/>
    <col min="1301" max="1302" width="11.25" style="14" customWidth="1"/>
    <col min="1303" max="1536" width="9" style="14"/>
    <col min="1537" max="1537" width="8" style="14" customWidth="1"/>
    <col min="1538" max="1539" width="10.625" style="14" customWidth="1"/>
    <col min="1540" max="1541" width="7.625" style="14" customWidth="1"/>
    <col min="1542" max="1542" width="11.625" style="14" customWidth="1"/>
    <col min="1543" max="1543" width="9" style="14"/>
    <col min="1544" max="1544" width="6.625" style="14" customWidth="1"/>
    <col min="1545" max="1550" width="10.125" style="14" customWidth="1"/>
    <col min="1551" max="1555" width="9" style="14"/>
    <col min="1556" max="1556" width="14.25" style="14" customWidth="1"/>
    <col min="1557" max="1558" width="11.25" style="14" customWidth="1"/>
    <col min="1559" max="1792" width="9" style="14"/>
    <col min="1793" max="1793" width="8" style="14" customWidth="1"/>
    <col min="1794" max="1795" width="10.625" style="14" customWidth="1"/>
    <col min="1796" max="1797" width="7.625" style="14" customWidth="1"/>
    <col min="1798" max="1798" width="11.625" style="14" customWidth="1"/>
    <col min="1799" max="1799" width="9" style="14"/>
    <col min="1800" max="1800" width="6.625" style="14" customWidth="1"/>
    <col min="1801" max="1806" width="10.125" style="14" customWidth="1"/>
    <col min="1807" max="1811" width="9" style="14"/>
    <col min="1812" max="1812" width="14.25" style="14" customWidth="1"/>
    <col min="1813" max="1814" width="11.25" style="14" customWidth="1"/>
    <col min="1815" max="2048" width="9" style="14"/>
    <col min="2049" max="2049" width="8" style="14" customWidth="1"/>
    <col min="2050" max="2051" width="10.625" style="14" customWidth="1"/>
    <col min="2052" max="2053" width="7.625" style="14" customWidth="1"/>
    <col min="2054" max="2054" width="11.625" style="14" customWidth="1"/>
    <col min="2055" max="2055" width="9" style="14"/>
    <col min="2056" max="2056" width="6.625" style="14" customWidth="1"/>
    <col min="2057" max="2062" width="10.125" style="14" customWidth="1"/>
    <col min="2063" max="2067" width="9" style="14"/>
    <col min="2068" max="2068" width="14.25" style="14" customWidth="1"/>
    <col min="2069" max="2070" width="11.25" style="14" customWidth="1"/>
    <col min="2071" max="2304" width="9" style="14"/>
    <col min="2305" max="2305" width="8" style="14" customWidth="1"/>
    <col min="2306" max="2307" width="10.625" style="14" customWidth="1"/>
    <col min="2308" max="2309" width="7.625" style="14" customWidth="1"/>
    <col min="2310" max="2310" width="11.625" style="14" customWidth="1"/>
    <col min="2311" max="2311" width="9" style="14"/>
    <col min="2312" max="2312" width="6.625" style="14" customWidth="1"/>
    <col min="2313" max="2318" width="10.125" style="14" customWidth="1"/>
    <col min="2319" max="2323" width="9" style="14"/>
    <col min="2324" max="2324" width="14.25" style="14" customWidth="1"/>
    <col min="2325" max="2326" width="11.25" style="14" customWidth="1"/>
    <col min="2327" max="2560" width="9" style="14"/>
    <col min="2561" max="2561" width="8" style="14" customWidth="1"/>
    <col min="2562" max="2563" width="10.625" style="14" customWidth="1"/>
    <col min="2564" max="2565" width="7.625" style="14" customWidth="1"/>
    <col min="2566" max="2566" width="11.625" style="14" customWidth="1"/>
    <col min="2567" max="2567" width="9" style="14"/>
    <col min="2568" max="2568" width="6.625" style="14" customWidth="1"/>
    <col min="2569" max="2574" width="10.125" style="14" customWidth="1"/>
    <col min="2575" max="2579" width="9" style="14"/>
    <col min="2580" max="2580" width="14.25" style="14" customWidth="1"/>
    <col min="2581" max="2582" width="11.25" style="14" customWidth="1"/>
    <col min="2583" max="2816" width="9" style="14"/>
    <col min="2817" max="2817" width="8" style="14" customWidth="1"/>
    <col min="2818" max="2819" width="10.625" style="14" customWidth="1"/>
    <col min="2820" max="2821" width="7.625" style="14" customWidth="1"/>
    <col min="2822" max="2822" width="11.625" style="14" customWidth="1"/>
    <col min="2823" max="2823" width="9" style="14"/>
    <col min="2824" max="2824" width="6.625" style="14" customWidth="1"/>
    <col min="2825" max="2830" width="10.125" style="14" customWidth="1"/>
    <col min="2831" max="2835" width="9" style="14"/>
    <col min="2836" max="2836" width="14.25" style="14" customWidth="1"/>
    <col min="2837" max="2838" width="11.25" style="14" customWidth="1"/>
    <col min="2839" max="3072" width="9" style="14"/>
    <col min="3073" max="3073" width="8" style="14" customWidth="1"/>
    <col min="3074" max="3075" width="10.625" style="14" customWidth="1"/>
    <col min="3076" max="3077" width="7.625" style="14" customWidth="1"/>
    <col min="3078" max="3078" width="11.625" style="14" customWidth="1"/>
    <col min="3079" max="3079" width="9" style="14"/>
    <col min="3080" max="3080" width="6.625" style="14" customWidth="1"/>
    <col min="3081" max="3086" width="10.125" style="14" customWidth="1"/>
    <col min="3087" max="3091" width="9" style="14"/>
    <col min="3092" max="3092" width="14.25" style="14" customWidth="1"/>
    <col min="3093" max="3094" width="11.25" style="14" customWidth="1"/>
    <col min="3095" max="3328" width="9" style="14"/>
    <col min="3329" max="3329" width="8" style="14" customWidth="1"/>
    <col min="3330" max="3331" width="10.625" style="14" customWidth="1"/>
    <col min="3332" max="3333" width="7.625" style="14" customWidth="1"/>
    <col min="3334" max="3334" width="11.625" style="14" customWidth="1"/>
    <col min="3335" max="3335" width="9" style="14"/>
    <col min="3336" max="3336" width="6.625" style="14" customWidth="1"/>
    <col min="3337" max="3342" width="10.125" style="14" customWidth="1"/>
    <col min="3343" max="3347" width="9" style="14"/>
    <col min="3348" max="3348" width="14.25" style="14" customWidth="1"/>
    <col min="3349" max="3350" width="11.25" style="14" customWidth="1"/>
    <col min="3351" max="3584" width="9" style="14"/>
    <col min="3585" max="3585" width="8" style="14" customWidth="1"/>
    <col min="3586" max="3587" width="10.625" style="14" customWidth="1"/>
    <col min="3588" max="3589" width="7.625" style="14" customWidth="1"/>
    <col min="3590" max="3590" width="11.625" style="14" customWidth="1"/>
    <col min="3591" max="3591" width="9" style="14"/>
    <col min="3592" max="3592" width="6.625" style="14" customWidth="1"/>
    <col min="3593" max="3598" width="10.125" style="14" customWidth="1"/>
    <col min="3599" max="3603" width="9" style="14"/>
    <col min="3604" max="3604" width="14.25" style="14" customWidth="1"/>
    <col min="3605" max="3606" width="11.25" style="14" customWidth="1"/>
    <col min="3607" max="3840" width="9" style="14"/>
    <col min="3841" max="3841" width="8" style="14" customWidth="1"/>
    <col min="3842" max="3843" width="10.625" style="14" customWidth="1"/>
    <col min="3844" max="3845" width="7.625" style="14" customWidth="1"/>
    <col min="3846" max="3846" width="11.625" style="14" customWidth="1"/>
    <col min="3847" max="3847" width="9" style="14"/>
    <col min="3848" max="3848" width="6.625" style="14" customWidth="1"/>
    <col min="3849" max="3854" width="10.125" style="14" customWidth="1"/>
    <col min="3855" max="3859" width="9" style="14"/>
    <col min="3860" max="3860" width="14.25" style="14" customWidth="1"/>
    <col min="3861" max="3862" width="11.25" style="14" customWidth="1"/>
    <col min="3863" max="4096" width="9" style="14"/>
    <col min="4097" max="4097" width="8" style="14" customWidth="1"/>
    <col min="4098" max="4099" width="10.625" style="14" customWidth="1"/>
    <col min="4100" max="4101" width="7.625" style="14" customWidth="1"/>
    <col min="4102" max="4102" width="11.625" style="14" customWidth="1"/>
    <col min="4103" max="4103" width="9" style="14"/>
    <col min="4104" max="4104" width="6.625" style="14" customWidth="1"/>
    <col min="4105" max="4110" width="10.125" style="14" customWidth="1"/>
    <col min="4111" max="4115" width="9" style="14"/>
    <col min="4116" max="4116" width="14.25" style="14" customWidth="1"/>
    <col min="4117" max="4118" width="11.25" style="14" customWidth="1"/>
    <col min="4119" max="4352" width="9" style="14"/>
    <col min="4353" max="4353" width="8" style="14" customWidth="1"/>
    <col min="4354" max="4355" width="10.625" style="14" customWidth="1"/>
    <col min="4356" max="4357" width="7.625" style="14" customWidth="1"/>
    <col min="4358" max="4358" width="11.625" style="14" customWidth="1"/>
    <col min="4359" max="4359" width="9" style="14"/>
    <col min="4360" max="4360" width="6.625" style="14" customWidth="1"/>
    <col min="4361" max="4366" width="10.125" style="14" customWidth="1"/>
    <col min="4367" max="4371" width="9" style="14"/>
    <col min="4372" max="4372" width="14.25" style="14" customWidth="1"/>
    <col min="4373" max="4374" width="11.25" style="14" customWidth="1"/>
    <col min="4375" max="4608" width="9" style="14"/>
    <col min="4609" max="4609" width="8" style="14" customWidth="1"/>
    <col min="4610" max="4611" width="10.625" style="14" customWidth="1"/>
    <col min="4612" max="4613" width="7.625" style="14" customWidth="1"/>
    <col min="4614" max="4614" width="11.625" style="14" customWidth="1"/>
    <col min="4615" max="4615" width="9" style="14"/>
    <col min="4616" max="4616" width="6.625" style="14" customWidth="1"/>
    <col min="4617" max="4622" width="10.125" style="14" customWidth="1"/>
    <col min="4623" max="4627" width="9" style="14"/>
    <col min="4628" max="4628" width="14.25" style="14" customWidth="1"/>
    <col min="4629" max="4630" width="11.25" style="14" customWidth="1"/>
    <col min="4631" max="4864" width="9" style="14"/>
    <col min="4865" max="4865" width="8" style="14" customWidth="1"/>
    <col min="4866" max="4867" width="10.625" style="14" customWidth="1"/>
    <col min="4868" max="4869" width="7.625" style="14" customWidth="1"/>
    <col min="4870" max="4870" width="11.625" style="14" customWidth="1"/>
    <col min="4871" max="4871" width="9" style="14"/>
    <col min="4872" max="4872" width="6.625" style="14" customWidth="1"/>
    <col min="4873" max="4878" width="10.125" style="14" customWidth="1"/>
    <col min="4879" max="4883" width="9" style="14"/>
    <col min="4884" max="4884" width="14.25" style="14" customWidth="1"/>
    <col min="4885" max="4886" width="11.25" style="14" customWidth="1"/>
    <col min="4887" max="5120" width="9" style="14"/>
    <col min="5121" max="5121" width="8" style="14" customWidth="1"/>
    <col min="5122" max="5123" width="10.625" style="14" customWidth="1"/>
    <col min="5124" max="5125" width="7.625" style="14" customWidth="1"/>
    <col min="5126" max="5126" width="11.625" style="14" customWidth="1"/>
    <col min="5127" max="5127" width="9" style="14"/>
    <col min="5128" max="5128" width="6.625" style="14" customWidth="1"/>
    <col min="5129" max="5134" width="10.125" style="14" customWidth="1"/>
    <col min="5135" max="5139" width="9" style="14"/>
    <col min="5140" max="5140" width="14.25" style="14" customWidth="1"/>
    <col min="5141" max="5142" width="11.25" style="14" customWidth="1"/>
    <col min="5143" max="5376" width="9" style="14"/>
    <col min="5377" max="5377" width="8" style="14" customWidth="1"/>
    <col min="5378" max="5379" width="10.625" style="14" customWidth="1"/>
    <col min="5380" max="5381" width="7.625" style="14" customWidth="1"/>
    <col min="5382" max="5382" width="11.625" style="14" customWidth="1"/>
    <col min="5383" max="5383" width="9" style="14"/>
    <col min="5384" max="5384" width="6.625" style="14" customWidth="1"/>
    <col min="5385" max="5390" width="10.125" style="14" customWidth="1"/>
    <col min="5391" max="5395" width="9" style="14"/>
    <col min="5396" max="5396" width="14.25" style="14" customWidth="1"/>
    <col min="5397" max="5398" width="11.25" style="14" customWidth="1"/>
    <col min="5399" max="5632" width="9" style="14"/>
    <col min="5633" max="5633" width="8" style="14" customWidth="1"/>
    <col min="5634" max="5635" width="10.625" style="14" customWidth="1"/>
    <col min="5636" max="5637" width="7.625" style="14" customWidth="1"/>
    <col min="5638" max="5638" width="11.625" style="14" customWidth="1"/>
    <col min="5639" max="5639" width="9" style="14"/>
    <col min="5640" max="5640" width="6.625" style="14" customWidth="1"/>
    <col min="5641" max="5646" width="10.125" style="14" customWidth="1"/>
    <col min="5647" max="5651" width="9" style="14"/>
    <col min="5652" max="5652" width="14.25" style="14" customWidth="1"/>
    <col min="5653" max="5654" width="11.25" style="14" customWidth="1"/>
    <col min="5655" max="5888" width="9" style="14"/>
    <col min="5889" max="5889" width="8" style="14" customWidth="1"/>
    <col min="5890" max="5891" width="10.625" style="14" customWidth="1"/>
    <col min="5892" max="5893" width="7.625" style="14" customWidth="1"/>
    <col min="5894" max="5894" width="11.625" style="14" customWidth="1"/>
    <col min="5895" max="5895" width="9" style="14"/>
    <col min="5896" max="5896" width="6.625" style="14" customWidth="1"/>
    <col min="5897" max="5902" width="10.125" style="14" customWidth="1"/>
    <col min="5903" max="5907" width="9" style="14"/>
    <col min="5908" max="5908" width="14.25" style="14" customWidth="1"/>
    <col min="5909" max="5910" width="11.25" style="14" customWidth="1"/>
    <col min="5911" max="6144" width="9" style="14"/>
    <col min="6145" max="6145" width="8" style="14" customWidth="1"/>
    <col min="6146" max="6147" width="10.625" style="14" customWidth="1"/>
    <col min="6148" max="6149" width="7.625" style="14" customWidth="1"/>
    <col min="6150" max="6150" width="11.625" style="14" customWidth="1"/>
    <col min="6151" max="6151" width="9" style="14"/>
    <col min="6152" max="6152" width="6.625" style="14" customWidth="1"/>
    <col min="6153" max="6158" width="10.125" style="14" customWidth="1"/>
    <col min="6159" max="6163" width="9" style="14"/>
    <col min="6164" max="6164" width="14.25" style="14" customWidth="1"/>
    <col min="6165" max="6166" width="11.25" style="14" customWidth="1"/>
    <col min="6167" max="6400" width="9" style="14"/>
    <col min="6401" max="6401" width="8" style="14" customWidth="1"/>
    <col min="6402" max="6403" width="10.625" style="14" customWidth="1"/>
    <col min="6404" max="6405" width="7.625" style="14" customWidth="1"/>
    <col min="6406" max="6406" width="11.625" style="14" customWidth="1"/>
    <col min="6407" max="6407" width="9" style="14"/>
    <col min="6408" max="6408" width="6.625" style="14" customWidth="1"/>
    <col min="6409" max="6414" width="10.125" style="14" customWidth="1"/>
    <col min="6415" max="6419" width="9" style="14"/>
    <col min="6420" max="6420" width="14.25" style="14" customWidth="1"/>
    <col min="6421" max="6422" width="11.25" style="14" customWidth="1"/>
    <col min="6423" max="6656" width="9" style="14"/>
    <col min="6657" max="6657" width="8" style="14" customWidth="1"/>
    <col min="6658" max="6659" width="10.625" style="14" customWidth="1"/>
    <col min="6660" max="6661" width="7.625" style="14" customWidth="1"/>
    <col min="6662" max="6662" width="11.625" style="14" customWidth="1"/>
    <col min="6663" max="6663" width="9" style="14"/>
    <col min="6664" max="6664" width="6.625" style="14" customWidth="1"/>
    <col min="6665" max="6670" width="10.125" style="14" customWidth="1"/>
    <col min="6671" max="6675" width="9" style="14"/>
    <col min="6676" max="6676" width="14.25" style="14" customWidth="1"/>
    <col min="6677" max="6678" width="11.25" style="14" customWidth="1"/>
    <col min="6679" max="6912" width="9" style="14"/>
    <col min="6913" max="6913" width="8" style="14" customWidth="1"/>
    <col min="6914" max="6915" width="10.625" style="14" customWidth="1"/>
    <col min="6916" max="6917" width="7.625" style="14" customWidth="1"/>
    <col min="6918" max="6918" width="11.625" style="14" customWidth="1"/>
    <col min="6919" max="6919" width="9" style="14"/>
    <col min="6920" max="6920" width="6.625" style="14" customWidth="1"/>
    <col min="6921" max="6926" width="10.125" style="14" customWidth="1"/>
    <col min="6927" max="6931" width="9" style="14"/>
    <col min="6932" max="6932" width="14.25" style="14" customWidth="1"/>
    <col min="6933" max="6934" width="11.25" style="14" customWidth="1"/>
    <col min="6935" max="7168" width="9" style="14"/>
    <col min="7169" max="7169" width="8" style="14" customWidth="1"/>
    <col min="7170" max="7171" width="10.625" style="14" customWidth="1"/>
    <col min="7172" max="7173" width="7.625" style="14" customWidth="1"/>
    <col min="7174" max="7174" width="11.625" style="14" customWidth="1"/>
    <col min="7175" max="7175" width="9" style="14"/>
    <col min="7176" max="7176" width="6.625" style="14" customWidth="1"/>
    <col min="7177" max="7182" width="10.125" style="14" customWidth="1"/>
    <col min="7183" max="7187" width="9" style="14"/>
    <col min="7188" max="7188" width="14.25" style="14" customWidth="1"/>
    <col min="7189" max="7190" width="11.25" style="14" customWidth="1"/>
    <col min="7191" max="7424" width="9" style="14"/>
    <col min="7425" max="7425" width="8" style="14" customWidth="1"/>
    <col min="7426" max="7427" width="10.625" style="14" customWidth="1"/>
    <col min="7428" max="7429" width="7.625" style="14" customWidth="1"/>
    <col min="7430" max="7430" width="11.625" style="14" customWidth="1"/>
    <col min="7431" max="7431" width="9" style="14"/>
    <col min="7432" max="7432" width="6.625" style="14" customWidth="1"/>
    <col min="7433" max="7438" width="10.125" style="14" customWidth="1"/>
    <col min="7439" max="7443" width="9" style="14"/>
    <col min="7444" max="7444" width="14.25" style="14" customWidth="1"/>
    <col min="7445" max="7446" width="11.25" style="14" customWidth="1"/>
    <col min="7447" max="7680" width="9" style="14"/>
    <col min="7681" max="7681" width="8" style="14" customWidth="1"/>
    <col min="7682" max="7683" width="10.625" style="14" customWidth="1"/>
    <col min="7684" max="7685" width="7.625" style="14" customWidth="1"/>
    <col min="7686" max="7686" width="11.625" style="14" customWidth="1"/>
    <col min="7687" max="7687" width="9" style="14"/>
    <col min="7688" max="7688" width="6.625" style="14" customWidth="1"/>
    <col min="7689" max="7694" width="10.125" style="14" customWidth="1"/>
    <col min="7695" max="7699" width="9" style="14"/>
    <col min="7700" max="7700" width="14.25" style="14" customWidth="1"/>
    <col min="7701" max="7702" width="11.25" style="14" customWidth="1"/>
    <col min="7703" max="7936" width="9" style="14"/>
    <col min="7937" max="7937" width="8" style="14" customWidth="1"/>
    <col min="7938" max="7939" width="10.625" style="14" customWidth="1"/>
    <col min="7940" max="7941" width="7.625" style="14" customWidth="1"/>
    <col min="7942" max="7942" width="11.625" style="14" customWidth="1"/>
    <col min="7943" max="7943" width="9" style="14"/>
    <col min="7944" max="7944" width="6.625" style="14" customWidth="1"/>
    <col min="7945" max="7950" width="10.125" style="14" customWidth="1"/>
    <col min="7951" max="7955" width="9" style="14"/>
    <col min="7956" max="7956" width="14.25" style="14" customWidth="1"/>
    <col min="7957" max="7958" width="11.25" style="14" customWidth="1"/>
    <col min="7959" max="8192" width="9" style="14"/>
    <col min="8193" max="8193" width="8" style="14" customWidth="1"/>
    <col min="8194" max="8195" width="10.625" style="14" customWidth="1"/>
    <col min="8196" max="8197" width="7.625" style="14" customWidth="1"/>
    <col min="8198" max="8198" width="11.625" style="14" customWidth="1"/>
    <col min="8199" max="8199" width="9" style="14"/>
    <col min="8200" max="8200" width="6.625" style="14" customWidth="1"/>
    <col min="8201" max="8206" width="10.125" style="14" customWidth="1"/>
    <col min="8207" max="8211" width="9" style="14"/>
    <col min="8212" max="8212" width="14.25" style="14" customWidth="1"/>
    <col min="8213" max="8214" width="11.25" style="14" customWidth="1"/>
    <col min="8215" max="8448" width="9" style="14"/>
    <col min="8449" max="8449" width="8" style="14" customWidth="1"/>
    <col min="8450" max="8451" width="10.625" style="14" customWidth="1"/>
    <col min="8452" max="8453" width="7.625" style="14" customWidth="1"/>
    <col min="8454" max="8454" width="11.625" style="14" customWidth="1"/>
    <col min="8455" max="8455" width="9" style="14"/>
    <col min="8456" max="8456" width="6.625" style="14" customWidth="1"/>
    <col min="8457" max="8462" width="10.125" style="14" customWidth="1"/>
    <col min="8463" max="8467" width="9" style="14"/>
    <col min="8468" max="8468" width="14.25" style="14" customWidth="1"/>
    <col min="8469" max="8470" width="11.25" style="14" customWidth="1"/>
    <col min="8471" max="8704" width="9" style="14"/>
    <col min="8705" max="8705" width="8" style="14" customWidth="1"/>
    <col min="8706" max="8707" width="10.625" style="14" customWidth="1"/>
    <col min="8708" max="8709" width="7.625" style="14" customWidth="1"/>
    <col min="8710" max="8710" width="11.625" style="14" customWidth="1"/>
    <col min="8711" max="8711" width="9" style="14"/>
    <col min="8712" max="8712" width="6.625" style="14" customWidth="1"/>
    <col min="8713" max="8718" width="10.125" style="14" customWidth="1"/>
    <col min="8719" max="8723" width="9" style="14"/>
    <col min="8724" max="8724" width="14.25" style="14" customWidth="1"/>
    <col min="8725" max="8726" width="11.25" style="14" customWidth="1"/>
    <col min="8727" max="8960" width="9" style="14"/>
    <col min="8961" max="8961" width="8" style="14" customWidth="1"/>
    <col min="8962" max="8963" width="10.625" style="14" customWidth="1"/>
    <col min="8964" max="8965" width="7.625" style="14" customWidth="1"/>
    <col min="8966" max="8966" width="11.625" style="14" customWidth="1"/>
    <col min="8967" max="8967" width="9" style="14"/>
    <col min="8968" max="8968" width="6.625" style="14" customWidth="1"/>
    <col min="8969" max="8974" width="10.125" style="14" customWidth="1"/>
    <col min="8975" max="8979" width="9" style="14"/>
    <col min="8980" max="8980" width="14.25" style="14" customWidth="1"/>
    <col min="8981" max="8982" width="11.25" style="14" customWidth="1"/>
    <col min="8983" max="9216" width="9" style="14"/>
    <col min="9217" max="9217" width="8" style="14" customWidth="1"/>
    <col min="9218" max="9219" width="10.625" style="14" customWidth="1"/>
    <col min="9220" max="9221" width="7.625" style="14" customWidth="1"/>
    <col min="9222" max="9222" width="11.625" style="14" customWidth="1"/>
    <col min="9223" max="9223" width="9" style="14"/>
    <col min="9224" max="9224" width="6.625" style="14" customWidth="1"/>
    <col min="9225" max="9230" width="10.125" style="14" customWidth="1"/>
    <col min="9231" max="9235" width="9" style="14"/>
    <col min="9236" max="9236" width="14.25" style="14" customWidth="1"/>
    <col min="9237" max="9238" width="11.25" style="14" customWidth="1"/>
    <col min="9239" max="9472" width="9" style="14"/>
    <col min="9473" max="9473" width="8" style="14" customWidth="1"/>
    <col min="9474" max="9475" width="10.625" style="14" customWidth="1"/>
    <col min="9476" max="9477" width="7.625" style="14" customWidth="1"/>
    <col min="9478" max="9478" width="11.625" style="14" customWidth="1"/>
    <col min="9479" max="9479" width="9" style="14"/>
    <col min="9480" max="9480" width="6.625" style="14" customWidth="1"/>
    <col min="9481" max="9486" width="10.125" style="14" customWidth="1"/>
    <col min="9487" max="9491" width="9" style="14"/>
    <col min="9492" max="9492" width="14.25" style="14" customWidth="1"/>
    <col min="9493" max="9494" width="11.25" style="14" customWidth="1"/>
    <col min="9495" max="9728" width="9" style="14"/>
    <col min="9729" max="9729" width="8" style="14" customWidth="1"/>
    <col min="9730" max="9731" width="10.625" style="14" customWidth="1"/>
    <col min="9732" max="9733" width="7.625" style="14" customWidth="1"/>
    <col min="9734" max="9734" width="11.625" style="14" customWidth="1"/>
    <col min="9735" max="9735" width="9" style="14"/>
    <col min="9736" max="9736" width="6.625" style="14" customWidth="1"/>
    <col min="9737" max="9742" width="10.125" style="14" customWidth="1"/>
    <col min="9743" max="9747" width="9" style="14"/>
    <col min="9748" max="9748" width="14.25" style="14" customWidth="1"/>
    <col min="9749" max="9750" width="11.25" style="14" customWidth="1"/>
    <col min="9751" max="9984" width="9" style="14"/>
    <col min="9985" max="9985" width="8" style="14" customWidth="1"/>
    <col min="9986" max="9987" width="10.625" style="14" customWidth="1"/>
    <col min="9988" max="9989" width="7.625" style="14" customWidth="1"/>
    <col min="9990" max="9990" width="11.625" style="14" customWidth="1"/>
    <col min="9991" max="9991" width="9" style="14"/>
    <col min="9992" max="9992" width="6.625" style="14" customWidth="1"/>
    <col min="9993" max="9998" width="10.125" style="14" customWidth="1"/>
    <col min="9999" max="10003" width="9" style="14"/>
    <col min="10004" max="10004" width="14.25" style="14" customWidth="1"/>
    <col min="10005" max="10006" width="11.25" style="14" customWidth="1"/>
    <col min="10007" max="10240" width="9" style="14"/>
    <col min="10241" max="10241" width="8" style="14" customWidth="1"/>
    <col min="10242" max="10243" width="10.625" style="14" customWidth="1"/>
    <col min="10244" max="10245" width="7.625" style="14" customWidth="1"/>
    <col min="10246" max="10246" width="11.625" style="14" customWidth="1"/>
    <col min="10247" max="10247" width="9" style="14"/>
    <col min="10248" max="10248" width="6.625" style="14" customWidth="1"/>
    <col min="10249" max="10254" width="10.125" style="14" customWidth="1"/>
    <col min="10255" max="10259" width="9" style="14"/>
    <col min="10260" max="10260" width="14.25" style="14" customWidth="1"/>
    <col min="10261" max="10262" width="11.25" style="14" customWidth="1"/>
    <col min="10263" max="10496" width="9" style="14"/>
    <col min="10497" max="10497" width="8" style="14" customWidth="1"/>
    <col min="10498" max="10499" width="10.625" style="14" customWidth="1"/>
    <col min="10500" max="10501" width="7.625" style="14" customWidth="1"/>
    <col min="10502" max="10502" width="11.625" style="14" customWidth="1"/>
    <col min="10503" max="10503" width="9" style="14"/>
    <col min="10504" max="10504" width="6.625" style="14" customWidth="1"/>
    <col min="10505" max="10510" width="10.125" style="14" customWidth="1"/>
    <col min="10511" max="10515" width="9" style="14"/>
    <col min="10516" max="10516" width="14.25" style="14" customWidth="1"/>
    <col min="10517" max="10518" width="11.25" style="14" customWidth="1"/>
    <col min="10519" max="10752" width="9" style="14"/>
    <col min="10753" max="10753" width="8" style="14" customWidth="1"/>
    <col min="10754" max="10755" width="10.625" style="14" customWidth="1"/>
    <col min="10756" max="10757" width="7.625" style="14" customWidth="1"/>
    <col min="10758" max="10758" width="11.625" style="14" customWidth="1"/>
    <col min="10759" max="10759" width="9" style="14"/>
    <col min="10760" max="10760" width="6.625" style="14" customWidth="1"/>
    <col min="10761" max="10766" width="10.125" style="14" customWidth="1"/>
    <col min="10767" max="10771" width="9" style="14"/>
    <col min="10772" max="10772" width="14.25" style="14" customWidth="1"/>
    <col min="10773" max="10774" width="11.25" style="14" customWidth="1"/>
    <col min="10775" max="11008" width="9" style="14"/>
    <col min="11009" max="11009" width="8" style="14" customWidth="1"/>
    <col min="11010" max="11011" width="10.625" style="14" customWidth="1"/>
    <col min="11012" max="11013" width="7.625" style="14" customWidth="1"/>
    <col min="11014" max="11014" width="11.625" style="14" customWidth="1"/>
    <col min="11015" max="11015" width="9" style="14"/>
    <col min="11016" max="11016" width="6.625" style="14" customWidth="1"/>
    <col min="11017" max="11022" width="10.125" style="14" customWidth="1"/>
    <col min="11023" max="11027" width="9" style="14"/>
    <col min="11028" max="11028" width="14.25" style="14" customWidth="1"/>
    <col min="11029" max="11030" width="11.25" style="14" customWidth="1"/>
    <col min="11031" max="11264" width="9" style="14"/>
    <col min="11265" max="11265" width="8" style="14" customWidth="1"/>
    <col min="11266" max="11267" width="10.625" style="14" customWidth="1"/>
    <col min="11268" max="11269" width="7.625" style="14" customWidth="1"/>
    <col min="11270" max="11270" width="11.625" style="14" customWidth="1"/>
    <col min="11271" max="11271" width="9" style="14"/>
    <col min="11272" max="11272" width="6.625" style="14" customWidth="1"/>
    <col min="11273" max="11278" width="10.125" style="14" customWidth="1"/>
    <col min="11279" max="11283" width="9" style="14"/>
    <col min="11284" max="11284" width="14.25" style="14" customWidth="1"/>
    <col min="11285" max="11286" width="11.25" style="14" customWidth="1"/>
    <col min="11287" max="11520" width="9" style="14"/>
    <col min="11521" max="11521" width="8" style="14" customWidth="1"/>
    <col min="11522" max="11523" width="10.625" style="14" customWidth="1"/>
    <col min="11524" max="11525" width="7.625" style="14" customWidth="1"/>
    <col min="11526" max="11526" width="11.625" style="14" customWidth="1"/>
    <col min="11527" max="11527" width="9" style="14"/>
    <col min="11528" max="11528" width="6.625" style="14" customWidth="1"/>
    <col min="11529" max="11534" width="10.125" style="14" customWidth="1"/>
    <col min="11535" max="11539" width="9" style="14"/>
    <col min="11540" max="11540" width="14.25" style="14" customWidth="1"/>
    <col min="11541" max="11542" width="11.25" style="14" customWidth="1"/>
    <col min="11543" max="11776" width="9" style="14"/>
    <col min="11777" max="11777" width="8" style="14" customWidth="1"/>
    <col min="11778" max="11779" width="10.625" style="14" customWidth="1"/>
    <col min="11780" max="11781" width="7.625" style="14" customWidth="1"/>
    <col min="11782" max="11782" width="11.625" style="14" customWidth="1"/>
    <col min="11783" max="11783" width="9" style="14"/>
    <col min="11784" max="11784" width="6.625" style="14" customWidth="1"/>
    <col min="11785" max="11790" width="10.125" style="14" customWidth="1"/>
    <col min="11791" max="11795" width="9" style="14"/>
    <col min="11796" max="11796" width="14.25" style="14" customWidth="1"/>
    <col min="11797" max="11798" width="11.25" style="14" customWidth="1"/>
    <col min="11799" max="12032" width="9" style="14"/>
    <col min="12033" max="12033" width="8" style="14" customWidth="1"/>
    <col min="12034" max="12035" width="10.625" style="14" customWidth="1"/>
    <col min="12036" max="12037" width="7.625" style="14" customWidth="1"/>
    <col min="12038" max="12038" width="11.625" style="14" customWidth="1"/>
    <col min="12039" max="12039" width="9" style="14"/>
    <col min="12040" max="12040" width="6.625" style="14" customWidth="1"/>
    <col min="12041" max="12046" width="10.125" style="14" customWidth="1"/>
    <col min="12047" max="12051" width="9" style="14"/>
    <col min="12052" max="12052" width="14.25" style="14" customWidth="1"/>
    <col min="12053" max="12054" width="11.25" style="14" customWidth="1"/>
    <col min="12055" max="12288" width="9" style="14"/>
    <col min="12289" max="12289" width="8" style="14" customWidth="1"/>
    <col min="12290" max="12291" width="10.625" style="14" customWidth="1"/>
    <col min="12292" max="12293" width="7.625" style="14" customWidth="1"/>
    <col min="12294" max="12294" width="11.625" style="14" customWidth="1"/>
    <col min="12295" max="12295" width="9" style="14"/>
    <col min="12296" max="12296" width="6.625" style="14" customWidth="1"/>
    <col min="12297" max="12302" width="10.125" style="14" customWidth="1"/>
    <col min="12303" max="12307" width="9" style="14"/>
    <col min="12308" max="12308" width="14.25" style="14" customWidth="1"/>
    <col min="12309" max="12310" width="11.25" style="14" customWidth="1"/>
    <col min="12311" max="12544" width="9" style="14"/>
    <col min="12545" max="12545" width="8" style="14" customWidth="1"/>
    <col min="12546" max="12547" width="10.625" style="14" customWidth="1"/>
    <col min="12548" max="12549" width="7.625" style="14" customWidth="1"/>
    <col min="12550" max="12550" width="11.625" style="14" customWidth="1"/>
    <col min="12551" max="12551" width="9" style="14"/>
    <col min="12552" max="12552" width="6.625" style="14" customWidth="1"/>
    <col min="12553" max="12558" width="10.125" style="14" customWidth="1"/>
    <col min="12559" max="12563" width="9" style="14"/>
    <col min="12564" max="12564" width="14.25" style="14" customWidth="1"/>
    <col min="12565" max="12566" width="11.25" style="14" customWidth="1"/>
    <col min="12567" max="12800" width="9" style="14"/>
    <col min="12801" max="12801" width="8" style="14" customWidth="1"/>
    <col min="12802" max="12803" width="10.625" style="14" customWidth="1"/>
    <col min="12804" max="12805" width="7.625" style="14" customWidth="1"/>
    <col min="12806" max="12806" width="11.625" style="14" customWidth="1"/>
    <col min="12807" max="12807" width="9" style="14"/>
    <col min="12808" max="12808" width="6.625" style="14" customWidth="1"/>
    <col min="12809" max="12814" width="10.125" style="14" customWidth="1"/>
    <col min="12815" max="12819" width="9" style="14"/>
    <col min="12820" max="12820" width="14.25" style="14" customWidth="1"/>
    <col min="12821" max="12822" width="11.25" style="14" customWidth="1"/>
    <col min="12823" max="13056" width="9" style="14"/>
    <col min="13057" max="13057" width="8" style="14" customWidth="1"/>
    <col min="13058" max="13059" width="10.625" style="14" customWidth="1"/>
    <col min="13060" max="13061" width="7.625" style="14" customWidth="1"/>
    <col min="13062" max="13062" width="11.625" style="14" customWidth="1"/>
    <col min="13063" max="13063" width="9" style="14"/>
    <col min="13064" max="13064" width="6.625" style="14" customWidth="1"/>
    <col min="13065" max="13070" width="10.125" style="14" customWidth="1"/>
    <col min="13071" max="13075" width="9" style="14"/>
    <col min="13076" max="13076" width="14.25" style="14" customWidth="1"/>
    <col min="13077" max="13078" width="11.25" style="14" customWidth="1"/>
    <col min="13079" max="13312" width="9" style="14"/>
    <col min="13313" max="13313" width="8" style="14" customWidth="1"/>
    <col min="13314" max="13315" width="10.625" style="14" customWidth="1"/>
    <col min="13316" max="13317" width="7.625" style="14" customWidth="1"/>
    <col min="13318" max="13318" width="11.625" style="14" customWidth="1"/>
    <col min="13319" max="13319" width="9" style="14"/>
    <col min="13320" max="13320" width="6.625" style="14" customWidth="1"/>
    <col min="13321" max="13326" width="10.125" style="14" customWidth="1"/>
    <col min="13327" max="13331" width="9" style="14"/>
    <col min="13332" max="13332" width="14.25" style="14" customWidth="1"/>
    <col min="13333" max="13334" width="11.25" style="14" customWidth="1"/>
    <col min="13335" max="13568" width="9" style="14"/>
    <col min="13569" max="13569" width="8" style="14" customWidth="1"/>
    <col min="13570" max="13571" width="10.625" style="14" customWidth="1"/>
    <col min="13572" max="13573" width="7.625" style="14" customWidth="1"/>
    <col min="13574" max="13574" width="11.625" style="14" customWidth="1"/>
    <col min="13575" max="13575" width="9" style="14"/>
    <col min="13576" max="13576" width="6.625" style="14" customWidth="1"/>
    <col min="13577" max="13582" width="10.125" style="14" customWidth="1"/>
    <col min="13583" max="13587" width="9" style="14"/>
    <col min="13588" max="13588" width="14.25" style="14" customWidth="1"/>
    <col min="13589" max="13590" width="11.25" style="14" customWidth="1"/>
    <col min="13591" max="13824" width="9" style="14"/>
    <col min="13825" max="13825" width="8" style="14" customWidth="1"/>
    <col min="13826" max="13827" width="10.625" style="14" customWidth="1"/>
    <col min="13828" max="13829" width="7.625" style="14" customWidth="1"/>
    <col min="13830" max="13830" width="11.625" style="14" customWidth="1"/>
    <col min="13831" max="13831" width="9" style="14"/>
    <col min="13832" max="13832" width="6.625" style="14" customWidth="1"/>
    <col min="13833" max="13838" width="10.125" style="14" customWidth="1"/>
    <col min="13839" max="13843" width="9" style="14"/>
    <col min="13844" max="13844" width="14.25" style="14" customWidth="1"/>
    <col min="13845" max="13846" width="11.25" style="14" customWidth="1"/>
    <col min="13847" max="14080" width="9" style="14"/>
    <col min="14081" max="14081" width="8" style="14" customWidth="1"/>
    <col min="14082" max="14083" width="10.625" style="14" customWidth="1"/>
    <col min="14084" max="14085" width="7.625" style="14" customWidth="1"/>
    <col min="14086" max="14086" width="11.625" style="14" customWidth="1"/>
    <col min="14087" max="14087" width="9" style="14"/>
    <col min="14088" max="14088" width="6.625" style="14" customWidth="1"/>
    <col min="14089" max="14094" width="10.125" style="14" customWidth="1"/>
    <col min="14095" max="14099" width="9" style="14"/>
    <col min="14100" max="14100" width="14.25" style="14" customWidth="1"/>
    <col min="14101" max="14102" width="11.25" style="14" customWidth="1"/>
    <col min="14103" max="14336" width="9" style="14"/>
    <col min="14337" max="14337" width="8" style="14" customWidth="1"/>
    <col min="14338" max="14339" width="10.625" style="14" customWidth="1"/>
    <col min="14340" max="14341" width="7.625" style="14" customWidth="1"/>
    <col min="14342" max="14342" width="11.625" style="14" customWidth="1"/>
    <col min="14343" max="14343" width="9" style="14"/>
    <col min="14344" max="14344" width="6.625" style="14" customWidth="1"/>
    <col min="14345" max="14350" width="10.125" style="14" customWidth="1"/>
    <col min="14351" max="14355" width="9" style="14"/>
    <col min="14356" max="14356" width="14.25" style="14" customWidth="1"/>
    <col min="14357" max="14358" width="11.25" style="14" customWidth="1"/>
    <col min="14359" max="14592" width="9" style="14"/>
    <col min="14593" max="14593" width="8" style="14" customWidth="1"/>
    <col min="14594" max="14595" width="10.625" style="14" customWidth="1"/>
    <col min="14596" max="14597" width="7.625" style="14" customWidth="1"/>
    <col min="14598" max="14598" width="11.625" style="14" customWidth="1"/>
    <col min="14599" max="14599" width="9" style="14"/>
    <col min="14600" max="14600" width="6.625" style="14" customWidth="1"/>
    <col min="14601" max="14606" width="10.125" style="14" customWidth="1"/>
    <col min="14607" max="14611" width="9" style="14"/>
    <col min="14612" max="14612" width="14.25" style="14" customWidth="1"/>
    <col min="14613" max="14614" width="11.25" style="14" customWidth="1"/>
    <col min="14615" max="14848" width="9" style="14"/>
    <col min="14849" max="14849" width="8" style="14" customWidth="1"/>
    <col min="14850" max="14851" width="10.625" style="14" customWidth="1"/>
    <col min="14852" max="14853" width="7.625" style="14" customWidth="1"/>
    <col min="14854" max="14854" width="11.625" style="14" customWidth="1"/>
    <col min="14855" max="14855" width="9" style="14"/>
    <col min="14856" max="14856" width="6.625" style="14" customWidth="1"/>
    <col min="14857" max="14862" width="10.125" style="14" customWidth="1"/>
    <col min="14863" max="14867" width="9" style="14"/>
    <col min="14868" max="14868" width="14.25" style="14" customWidth="1"/>
    <col min="14869" max="14870" width="11.25" style="14" customWidth="1"/>
    <col min="14871" max="15104" width="9" style="14"/>
    <col min="15105" max="15105" width="8" style="14" customWidth="1"/>
    <col min="15106" max="15107" width="10.625" style="14" customWidth="1"/>
    <col min="15108" max="15109" width="7.625" style="14" customWidth="1"/>
    <col min="15110" max="15110" width="11.625" style="14" customWidth="1"/>
    <col min="15111" max="15111" width="9" style="14"/>
    <col min="15112" max="15112" width="6.625" style="14" customWidth="1"/>
    <col min="15113" max="15118" width="10.125" style="14" customWidth="1"/>
    <col min="15119" max="15123" width="9" style="14"/>
    <col min="15124" max="15124" width="14.25" style="14" customWidth="1"/>
    <col min="15125" max="15126" width="11.25" style="14" customWidth="1"/>
    <col min="15127" max="15360" width="9" style="14"/>
    <col min="15361" max="15361" width="8" style="14" customWidth="1"/>
    <col min="15362" max="15363" width="10.625" style="14" customWidth="1"/>
    <col min="15364" max="15365" width="7.625" style="14" customWidth="1"/>
    <col min="15366" max="15366" width="11.625" style="14" customWidth="1"/>
    <col min="15367" max="15367" width="9" style="14"/>
    <col min="15368" max="15368" width="6.625" style="14" customWidth="1"/>
    <col min="15369" max="15374" width="10.125" style="14" customWidth="1"/>
    <col min="15375" max="15379" width="9" style="14"/>
    <col min="15380" max="15380" width="14.25" style="14" customWidth="1"/>
    <col min="15381" max="15382" width="11.25" style="14" customWidth="1"/>
    <col min="15383" max="15616" width="9" style="14"/>
    <col min="15617" max="15617" width="8" style="14" customWidth="1"/>
    <col min="15618" max="15619" width="10.625" style="14" customWidth="1"/>
    <col min="15620" max="15621" width="7.625" style="14" customWidth="1"/>
    <col min="15622" max="15622" width="11.625" style="14" customWidth="1"/>
    <col min="15623" max="15623" width="9" style="14"/>
    <col min="15624" max="15624" width="6.625" style="14" customWidth="1"/>
    <col min="15625" max="15630" width="10.125" style="14" customWidth="1"/>
    <col min="15631" max="15635" width="9" style="14"/>
    <col min="15636" max="15636" width="14.25" style="14" customWidth="1"/>
    <col min="15637" max="15638" width="11.25" style="14" customWidth="1"/>
    <col min="15639" max="15872" width="9" style="14"/>
    <col min="15873" max="15873" width="8" style="14" customWidth="1"/>
    <col min="15874" max="15875" width="10.625" style="14" customWidth="1"/>
    <col min="15876" max="15877" width="7.625" style="14" customWidth="1"/>
    <col min="15878" max="15878" width="11.625" style="14" customWidth="1"/>
    <col min="15879" max="15879" width="9" style="14"/>
    <col min="15880" max="15880" width="6.625" style="14" customWidth="1"/>
    <col min="15881" max="15886" width="10.125" style="14" customWidth="1"/>
    <col min="15887" max="15891" width="9" style="14"/>
    <col min="15892" max="15892" width="14.25" style="14" customWidth="1"/>
    <col min="15893" max="15894" width="11.25" style="14" customWidth="1"/>
    <col min="15895" max="16128" width="9" style="14"/>
    <col min="16129" max="16129" width="8" style="14" customWidth="1"/>
    <col min="16130" max="16131" width="10.625" style="14" customWidth="1"/>
    <col min="16132" max="16133" width="7.625" style="14" customWidth="1"/>
    <col min="16134" max="16134" width="11.625" style="14" customWidth="1"/>
    <col min="16135" max="16135" width="9" style="14"/>
    <col min="16136" max="16136" width="6.625" style="14" customWidth="1"/>
    <col min="16137" max="16142" width="10.125" style="14" customWidth="1"/>
    <col min="16143" max="16147" width="9" style="14"/>
    <col min="16148" max="16148" width="14.25" style="14" customWidth="1"/>
    <col min="16149" max="16150" width="11.25" style="14" customWidth="1"/>
    <col min="16151" max="16384" width="9" style="14"/>
  </cols>
  <sheetData>
    <row r="1" spans="1:66" ht="31.5" thickBot="1" x14ac:dyDescent="0.5">
      <c r="A1" s="10" t="s">
        <v>19</v>
      </c>
      <c r="I1" s="13"/>
      <c r="J1" s="13"/>
      <c r="K1" s="13"/>
      <c r="L1" s="13"/>
      <c r="M1" s="13"/>
      <c r="N1" s="13"/>
      <c r="O1" s="13"/>
      <c r="Q1" s="13"/>
      <c r="AH1" s="16"/>
      <c r="AI1" s="16"/>
      <c r="AJ1" s="16"/>
      <c r="AK1" s="16"/>
      <c r="AL1" s="58" t="s">
        <v>47</v>
      </c>
      <c r="AM1" s="58" t="s">
        <v>48</v>
      </c>
      <c r="AN1" s="16"/>
      <c r="BC1" s="13"/>
      <c r="BD1" s="13"/>
      <c r="BE1" s="13"/>
      <c r="BF1" s="13"/>
      <c r="BG1" s="13"/>
      <c r="BH1" s="13"/>
      <c r="BI1" s="13"/>
      <c r="BJ1" s="13"/>
      <c r="BK1" s="13"/>
      <c r="BL1" s="13"/>
      <c r="BM1" s="13"/>
      <c r="BN1" s="13"/>
    </row>
    <row r="2" spans="1:66" s="20" customFormat="1" ht="39.75" customHeight="1" thickBot="1" x14ac:dyDescent="0.35">
      <c r="A2" s="17" t="s">
        <v>20</v>
      </c>
      <c r="B2" s="56" t="s">
        <v>47</v>
      </c>
      <c r="C2" s="57" t="s">
        <v>48</v>
      </c>
      <c r="D2" s="13"/>
      <c r="E2" s="19"/>
      <c r="F2" s="59" t="s">
        <v>21</v>
      </c>
      <c r="G2" s="60"/>
      <c r="I2" s="21"/>
      <c r="J2" s="21"/>
      <c r="K2" s="21"/>
      <c r="L2" s="21"/>
      <c r="M2" s="21"/>
      <c r="N2" s="21"/>
      <c r="O2" s="21"/>
      <c r="Q2" s="21"/>
      <c r="R2" s="13"/>
      <c r="S2" s="13"/>
      <c r="T2" s="13"/>
      <c r="U2" s="13"/>
      <c r="V2" s="13"/>
      <c r="W2" s="21"/>
      <c r="X2" s="21"/>
      <c r="Y2" s="13"/>
      <c r="Z2" s="13"/>
      <c r="AA2" s="13"/>
      <c r="AB2" s="13"/>
      <c r="AC2" s="13"/>
      <c r="AD2" s="13"/>
      <c r="AE2" s="13"/>
      <c r="AF2" s="13"/>
      <c r="AG2" s="13"/>
      <c r="AH2" s="16">
        <v>450</v>
      </c>
      <c r="AI2" s="16"/>
      <c r="AJ2" s="16"/>
      <c r="AK2" s="16">
        <v>450</v>
      </c>
      <c r="AL2" s="16">
        <v>0</v>
      </c>
      <c r="AM2" s="16">
        <v>0</v>
      </c>
      <c r="AN2" s="16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21"/>
      <c r="BD2" s="21"/>
      <c r="BE2" s="21"/>
      <c r="BF2" s="21"/>
      <c r="BG2" s="21"/>
      <c r="BH2" s="21"/>
      <c r="BI2" s="21"/>
      <c r="BJ2" s="21"/>
      <c r="BK2" s="21"/>
      <c r="BL2" s="21"/>
      <c r="BM2" s="21"/>
      <c r="BN2" s="21"/>
    </row>
    <row r="3" spans="1:66" ht="16.5" thickBot="1" x14ac:dyDescent="0.3">
      <c r="A3" s="22">
        <v>1</v>
      </c>
      <c r="B3" s="23">
        <v>1544.0691339159616</v>
      </c>
      <c r="C3" s="24">
        <v>918.78019548675752</v>
      </c>
      <c r="E3" s="25"/>
      <c r="F3" s="26">
        <v>10000</v>
      </c>
      <c r="G3" s="27" t="s">
        <v>22</v>
      </c>
      <c r="AH3" s="16">
        <v>475</v>
      </c>
      <c r="AI3" s="16"/>
      <c r="AJ3" s="16"/>
      <c r="AK3" s="16">
        <v>450</v>
      </c>
      <c r="AL3" s="16">
        <v>0</v>
      </c>
      <c r="AM3" s="16">
        <v>4</v>
      </c>
      <c r="AN3" s="16"/>
      <c r="BC3" s="13"/>
      <c r="BD3" s="13"/>
      <c r="BE3" s="13"/>
      <c r="BF3" s="13"/>
      <c r="BG3" s="13"/>
      <c r="BH3" s="13"/>
      <c r="BI3" s="13"/>
      <c r="BJ3" s="13"/>
      <c r="BK3" s="13"/>
      <c r="BL3" s="13"/>
      <c r="BM3" s="13"/>
      <c r="BN3" s="13"/>
    </row>
    <row r="4" spans="1:66" ht="16.5" thickBot="1" x14ac:dyDescent="0.3">
      <c r="A4" s="22">
        <v>2</v>
      </c>
      <c r="B4" s="23">
        <v>1031.4490613944577</v>
      </c>
      <c r="C4" s="24">
        <v>946.73383561111973</v>
      </c>
      <c r="E4" s="25"/>
      <c r="F4" s="28">
        <v>64.000000501982868</v>
      </c>
      <c r="G4" s="29" t="s">
        <v>23</v>
      </c>
      <c r="I4" s="61" t="s">
        <v>36</v>
      </c>
      <c r="J4" s="62"/>
      <c r="K4" s="63" t="s">
        <v>37</v>
      </c>
      <c r="L4" s="64"/>
      <c r="M4" s="65" t="s">
        <v>24</v>
      </c>
      <c r="N4" s="66"/>
      <c r="P4" s="30"/>
      <c r="AH4" s="16">
        <v>500</v>
      </c>
      <c r="AI4" s="16"/>
      <c r="AJ4" s="16"/>
      <c r="AK4" s="16">
        <v>475</v>
      </c>
      <c r="AL4" s="16">
        <v>0</v>
      </c>
      <c r="AM4" s="16">
        <v>4</v>
      </c>
      <c r="AN4" s="16"/>
      <c r="BC4" s="13"/>
      <c r="BD4" s="13"/>
      <c r="BE4" s="13"/>
      <c r="BF4" s="13"/>
      <c r="BG4" s="13"/>
      <c r="BH4" s="13"/>
      <c r="BI4" s="13"/>
      <c r="BJ4" s="13"/>
      <c r="BK4" s="13"/>
      <c r="BL4" s="13"/>
      <c r="BM4" s="13"/>
      <c r="BN4" s="13"/>
    </row>
    <row r="5" spans="1:66" x14ac:dyDescent="0.25">
      <c r="A5" s="22">
        <v>3</v>
      </c>
      <c r="B5" s="23">
        <v>965.25681717241719</v>
      </c>
      <c r="C5" s="24">
        <v>777.10210945504787</v>
      </c>
      <c r="E5" s="31"/>
      <c r="F5" s="32"/>
      <c r="G5" s="31"/>
      <c r="I5" s="33" t="s">
        <v>25</v>
      </c>
      <c r="J5" s="34">
        <v>1241.6338839853142</v>
      </c>
      <c r="K5" s="35" t="s">
        <v>25</v>
      </c>
      <c r="L5" s="36">
        <v>840.93117521789111</v>
      </c>
      <c r="M5" s="37"/>
      <c r="N5" s="38"/>
      <c r="P5" s="30"/>
      <c r="AH5" s="16">
        <v>525</v>
      </c>
      <c r="AI5" s="16"/>
      <c r="AJ5" s="16"/>
      <c r="AK5" s="16">
        <v>475</v>
      </c>
      <c r="AL5" s="16">
        <v>0</v>
      </c>
      <c r="AM5" s="16">
        <v>9</v>
      </c>
      <c r="AN5" s="16"/>
      <c r="BC5" s="13"/>
      <c r="BD5" s="13"/>
      <c r="BE5" s="13"/>
      <c r="BF5" s="13"/>
      <c r="BG5" s="13"/>
      <c r="BH5" s="13"/>
      <c r="BI5" s="13"/>
      <c r="BJ5" s="13"/>
      <c r="BK5" s="13"/>
      <c r="BL5" s="13"/>
      <c r="BM5" s="13"/>
      <c r="BN5" s="13"/>
    </row>
    <row r="6" spans="1:66" x14ac:dyDescent="0.25">
      <c r="A6" s="22">
        <v>4</v>
      </c>
      <c r="B6" s="23">
        <v>1621.2489998170677</v>
      </c>
      <c r="C6" s="24">
        <v>643.14437145983902</v>
      </c>
      <c r="I6" s="33" t="s">
        <v>26</v>
      </c>
      <c r="J6" s="39">
        <v>233.57565367345128</v>
      </c>
      <c r="K6" s="35" t="s">
        <v>26</v>
      </c>
      <c r="L6" s="40">
        <v>139.30876942969388</v>
      </c>
      <c r="M6" s="41"/>
      <c r="N6" s="42"/>
      <c r="AH6" s="16">
        <v>550</v>
      </c>
      <c r="AI6" s="16"/>
      <c r="AJ6" s="16"/>
      <c r="AK6" s="16">
        <v>500</v>
      </c>
      <c r="AL6" s="16">
        <v>0</v>
      </c>
      <c r="AM6" s="16">
        <v>9</v>
      </c>
      <c r="AN6" s="16"/>
      <c r="BC6" s="13"/>
      <c r="BD6" s="13"/>
      <c r="BE6" s="13"/>
      <c r="BF6" s="13"/>
      <c r="BG6" s="13"/>
      <c r="BH6" s="13"/>
      <c r="BI6" s="13"/>
      <c r="BJ6" s="13"/>
      <c r="BK6" s="13"/>
      <c r="BL6" s="13"/>
      <c r="BM6" s="13"/>
      <c r="BN6" s="13"/>
    </row>
    <row r="7" spans="1:66" x14ac:dyDescent="0.25">
      <c r="A7" s="22">
        <v>5</v>
      </c>
      <c r="B7" s="23">
        <v>900.58767380197833</v>
      </c>
      <c r="C7" s="24">
        <v>770.63563405182003</v>
      </c>
      <c r="F7" s="43"/>
      <c r="I7" s="33" t="s">
        <v>27</v>
      </c>
      <c r="J7" s="34">
        <v>2381.2658540226171</v>
      </c>
      <c r="K7" s="35" t="s">
        <v>27</v>
      </c>
      <c r="L7" s="36">
        <v>1527.1220436600299</v>
      </c>
      <c r="M7" s="25"/>
      <c r="N7" s="44"/>
      <c r="AH7" s="16">
        <v>575</v>
      </c>
      <c r="AI7" s="16"/>
      <c r="AJ7" s="16"/>
      <c r="AK7" s="16">
        <v>500</v>
      </c>
      <c r="AL7" s="16">
        <v>0</v>
      </c>
      <c r="AM7" s="16">
        <v>16</v>
      </c>
      <c r="AN7" s="16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</row>
    <row r="8" spans="1:66" ht="16.5" thickBot="1" x14ac:dyDescent="0.3">
      <c r="A8" s="22">
        <v>6</v>
      </c>
      <c r="B8" s="23">
        <v>1192.9209834716278</v>
      </c>
      <c r="C8" s="24">
        <v>990.64168638082879</v>
      </c>
      <c r="F8" s="43"/>
      <c r="I8" s="45" t="s">
        <v>28</v>
      </c>
      <c r="J8" s="46">
        <v>594.88118692598323</v>
      </c>
      <c r="K8" s="47" t="s">
        <v>28</v>
      </c>
      <c r="L8" s="48">
        <v>456.39191002964827</v>
      </c>
      <c r="M8" s="49"/>
      <c r="N8" s="50"/>
      <c r="AH8" s="16">
        <v>600</v>
      </c>
      <c r="AI8" s="16"/>
      <c r="AJ8" s="16"/>
      <c r="AK8" s="16">
        <v>525</v>
      </c>
      <c r="AL8" s="16">
        <v>0</v>
      </c>
      <c r="AM8" s="16">
        <v>16</v>
      </c>
      <c r="AN8" s="16"/>
      <c r="BC8" s="13"/>
      <c r="BD8" s="13"/>
      <c r="BE8" s="13"/>
      <c r="BF8" s="13"/>
      <c r="BG8" s="13"/>
      <c r="BH8" s="13"/>
      <c r="BI8" s="13"/>
      <c r="BJ8" s="13"/>
      <c r="BK8" s="13"/>
      <c r="BL8" s="13"/>
      <c r="BM8" s="13"/>
      <c r="BN8" s="13"/>
    </row>
    <row r="9" spans="1:66" x14ac:dyDescent="0.25">
      <c r="A9" s="22">
        <v>7</v>
      </c>
      <c r="B9" s="23">
        <v>661.92696307837889</v>
      </c>
      <c r="C9" s="24">
        <v>917.90985671448186</v>
      </c>
      <c r="F9" s="43"/>
      <c r="I9" s="31"/>
      <c r="J9" s="51"/>
      <c r="K9" s="31"/>
      <c r="L9" s="31"/>
      <c r="M9" s="31"/>
      <c r="N9" s="31"/>
      <c r="AH9" s="16">
        <v>625</v>
      </c>
      <c r="AI9" s="16"/>
      <c r="AJ9" s="16"/>
      <c r="AK9" s="16">
        <v>525</v>
      </c>
      <c r="AL9" s="16">
        <v>0</v>
      </c>
      <c r="AM9" s="16">
        <v>27</v>
      </c>
      <c r="AN9" s="16"/>
      <c r="BC9" s="13"/>
      <c r="BD9" s="13"/>
      <c r="BE9" s="13"/>
      <c r="BF9" s="13"/>
      <c r="BG9" s="13"/>
      <c r="BH9" s="13"/>
      <c r="BI9" s="13"/>
      <c r="BJ9" s="13"/>
      <c r="BK9" s="13"/>
      <c r="BL9" s="13"/>
      <c r="BM9" s="13"/>
      <c r="BN9" s="13"/>
    </row>
    <row r="10" spans="1:66" x14ac:dyDescent="0.25">
      <c r="A10" s="22">
        <v>8</v>
      </c>
      <c r="B10" s="23">
        <v>1413.3449459458564</v>
      </c>
      <c r="C10" s="24">
        <v>783.0390298424951</v>
      </c>
      <c r="F10" s="43"/>
      <c r="I10" s="25"/>
      <c r="J10" s="51"/>
      <c r="K10" s="31"/>
      <c r="L10" s="31"/>
      <c r="M10" s="31"/>
      <c r="N10" s="31"/>
      <c r="P10" s="30"/>
      <c r="AH10" s="16">
        <v>650</v>
      </c>
      <c r="AI10" s="16"/>
      <c r="AJ10" s="16"/>
      <c r="AK10" s="16">
        <v>550</v>
      </c>
      <c r="AL10" s="16">
        <v>0</v>
      </c>
      <c r="AM10" s="16">
        <v>27</v>
      </c>
      <c r="AN10" s="16"/>
      <c r="BC10" s="13"/>
      <c r="BD10" s="13"/>
      <c r="BE10" s="13"/>
      <c r="BF10" s="13"/>
      <c r="BG10" s="13"/>
      <c r="BH10" s="13"/>
      <c r="BI10" s="13"/>
      <c r="BJ10" s="13"/>
      <c r="BK10" s="13"/>
      <c r="BL10" s="13"/>
      <c r="BM10" s="13"/>
      <c r="BN10" s="13"/>
    </row>
    <row r="11" spans="1:66" x14ac:dyDescent="0.25">
      <c r="A11" s="22">
        <v>9</v>
      </c>
      <c r="B11" s="23">
        <v>1348.9608049294311</v>
      </c>
      <c r="C11" s="24">
        <v>786.41930543004332</v>
      </c>
      <c r="I11" s="31"/>
      <c r="J11" s="51"/>
      <c r="K11" s="31"/>
      <c r="L11" s="31"/>
      <c r="M11" s="31"/>
      <c r="N11" s="31"/>
      <c r="P11" s="30"/>
      <c r="AH11" s="16">
        <v>675</v>
      </c>
      <c r="AI11" s="16"/>
      <c r="AJ11" s="16"/>
      <c r="AK11" s="16">
        <v>550</v>
      </c>
      <c r="AL11" s="16">
        <v>0</v>
      </c>
      <c r="AM11" s="16">
        <v>75</v>
      </c>
      <c r="AN11" s="16"/>
      <c r="BC11" s="13"/>
      <c r="BD11" s="13"/>
      <c r="BE11" s="13"/>
      <c r="BF11" s="13"/>
      <c r="BG11" s="13"/>
      <c r="BH11" s="13"/>
      <c r="BI11" s="13"/>
      <c r="BJ11" s="13"/>
      <c r="BK11" s="13"/>
      <c r="BL11" s="13"/>
      <c r="BM11" s="13"/>
      <c r="BN11" s="13"/>
    </row>
    <row r="12" spans="1:66" x14ac:dyDescent="0.25">
      <c r="A12" s="22">
        <v>10</v>
      </c>
      <c r="B12" s="23">
        <v>1050.2784566941029</v>
      </c>
      <c r="C12" s="24">
        <v>804.67724399637973</v>
      </c>
      <c r="I12" s="31"/>
      <c r="J12" s="31"/>
      <c r="K12" s="31"/>
      <c r="L12" s="31"/>
      <c r="M12" s="31"/>
      <c r="N12" s="31"/>
      <c r="P12" s="30"/>
      <c r="AH12" s="16">
        <v>700</v>
      </c>
      <c r="AI12" s="16"/>
      <c r="AJ12" s="16"/>
      <c r="AK12" s="16">
        <v>575</v>
      </c>
      <c r="AL12" s="16">
        <v>0</v>
      </c>
      <c r="AM12" s="16">
        <v>75</v>
      </c>
      <c r="AN12" s="16"/>
      <c r="BC12" s="13"/>
      <c r="BD12" s="13"/>
      <c r="BE12" s="13"/>
      <c r="BF12" s="13"/>
      <c r="BG12" s="13"/>
      <c r="BH12" s="13"/>
      <c r="BI12" s="13"/>
      <c r="BJ12" s="13"/>
      <c r="BK12" s="13"/>
      <c r="BL12" s="13"/>
      <c r="BM12" s="13"/>
      <c r="BN12" s="13"/>
    </row>
    <row r="13" spans="1:66" x14ac:dyDescent="0.25">
      <c r="A13" s="22">
        <v>11</v>
      </c>
      <c r="B13" s="23">
        <v>1336.1870307927679</v>
      </c>
      <c r="C13" s="24">
        <v>885.84897050097675</v>
      </c>
      <c r="I13" s="31"/>
      <c r="J13" s="31"/>
      <c r="K13" s="31"/>
      <c r="L13" s="31"/>
      <c r="M13" s="31"/>
      <c r="N13" s="31"/>
      <c r="AH13" s="16">
        <v>725</v>
      </c>
      <c r="AI13" s="16"/>
      <c r="AJ13" s="16"/>
      <c r="AK13" s="16">
        <v>575</v>
      </c>
      <c r="AL13" s="16">
        <v>2</v>
      </c>
      <c r="AM13" s="16">
        <v>115</v>
      </c>
      <c r="AN13" s="16"/>
      <c r="BC13" s="13"/>
      <c r="BD13" s="13"/>
      <c r="BE13" s="13"/>
      <c r="BF13" s="13"/>
      <c r="BG13" s="13"/>
      <c r="BH13" s="13"/>
      <c r="BI13" s="13"/>
      <c r="BJ13" s="13"/>
      <c r="BK13" s="13"/>
      <c r="BL13" s="13"/>
      <c r="BM13" s="13"/>
      <c r="BN13" s="13"/>
    </row>
    <row r="14" spans="1:66" x14ac:dyDescent="0.25">
      <c r="A14" s="22">
        <v>12</v>
      </c>
      <c r="B14" s="23">
        <v>1124.8008931526742</v>
      </c>
      <c r="C14" s="24">
        <v>1094.0255269358338</v>
      </c>
      <c r="E14" s="52"/>
      <c r="I14" s="31"/>
      <c r="J14" s="31"/>
      <c r="K14" s="31"/>
      <c r="L14" s="31"/>
      <c r="M14" s="31"/>
      <c r="N14" s="31"/>
      <c r="AH14" s="16">
        <v>750</v>
      </c>
      <c r="AI14" s="16"/>
      <c r="AJ14" s="16"/>
      <c r="AK14" s="16">
        <v>600</v>
      </c>
      <c r="AL14" s="16">
        <v>2</v>
      </c>
      <c r="AM14" s="16">
        <v>115</v>
      </c>
      <c r="AN14" s="16"/>
      <c r="BC14" s="13"/>
      <c r="BD14" s="13"/>
      <c r="BE14" s="13"/>
      <c r="BF14" s="13"/>
      <c r="BG14" s="13"/>
      <c r="BH14" s="13"/>
      <c r="BI14" s="13"/>
      <c r="BJ14" s="13"/>
      <c r="BK14" s="13"/>
      <c r="BL14" s="13"/>
      <c r="BM14" s="13"/>
      <c r="BN14" s="13"/>
    </row>
    <row r="15" spans="1:66" x14ac:dyDescent="0.25">
      <c r="A15" s="22">
        <v>13</v>
      </c>
      <c r="B15" s="23">
        <v>1368.0761864633455</v>
      </c>
      <c r="C15" s="24">
        <v>909.01294094868274</v>
      </c>
      <c r="E15" s="52"/>
      <c r="I15" s="31"/>
      <c r="J15" s="31"/>
      <c r="K15" s="31"/>
      <c r="L15" s="31"/>
      <c r="M15" s="31"/>
      <c r="N15" s="31"/>
      <c r="AH15" s="16">
        <v>775</v>
      </c>
      <c r="AI15" s="16"/>
      <c r="AJ15" s="16"/>
      <c r="AK15" s="16">
        <v>600</v>
      </c>
      <c r="AL15" s="16">
        <v>4</v>
      </c>
      <c r="AM15" s="16">
        <v>194</v>
      </c>
      <c r="AN15" s="16"/>
      <c r="BC15" s="13"/>
      <c r="BD15" s="13"/>
      <c r="BE15" s="13"/>
      <c r="BF15" s="13"/>
      <c r="BG15" s="13"/>
      <c r="BH15" s="13"/>
      <c r="BI15" s="13"/>
      <c r="BJ15" s="13"/>
      <c r="BK15" s="13"/>
      <c r="BL15" s="13"/>
      <c r="BM15" s="13"/>
      <c r="BN15" s="13"/>
    </row>
    <row r="16" spans="1:66" x14ac:dyDescent="0.25">
      <c r="A16" s="22">
        <v>14</v>
      </c>
      <c r="B16" s="23">
        <v>1353.6615040921592</v>
      </c>
      <c r="C16" s="24">
        <v>806.61848962377701</v>
      </c>
      <c r="E16" s="52"/>
      <c r="I16" s="31"/>
      <c r="J16" s="31"/>
      <c r="K16" s="31"/>
      <c r="L16" s="31"/>
      <c r="M16" s="31"/>
      <c r="N16" s="31"/>
      <c r="AH16" s="16">
        <v>800</v>
      </c>
      <c r="AI16" s="16"/>
      <c r="AJ16" s="16"/>
      <c r="AK16" s="16">
        <v>625</v>
      </c>
      <c r="AL16" s="16">
        <v>4</v>
      </c>
      <c r="AM16" s="16">
        <v>194</v>
      </c>
      <c r="AN16" s="16"/>
      <c r="BC16" s="13"/>
      <c r="BD16" s="13"/>
      <c r="BE16" s="13"/>
      <c r="BF16" s="13"/>
      <c r="BG16" s="13"/>
      <c r="BH16" s="13"/>
      <c r="BI16" s="13"/>
      <c r="BJ16" s="13"/>
      <c r="BK16" s="13"/>
      <c r="BL16" s="13"/>
      <c r="BM16" s="13"/>
      <c r="BN16" s="13"/>
    </row>
    <row r="17" spans="1:66" x14ac:dyDescent="0.25">
      <c r="A17" s="22">
        <v>15</v>
      </c>
      <c r="B17" s="23">
        <v>967.29089272154658</v>
      </c>
      <c r="C17" s="24">
        <v>704.71222197640157</v>
      </c>
      <c r="I17" s="31"/>
      <c r="J17" s="31"/>
      <c r="K17" s="31"/>
      <c r="L17" s="31"/>
      <c r="M17" s="31"/>
      <c r="N17" s="31"/>
      <c r="AH17" s="16">
        <v>825</v>
      </c>
      <c r="AI17" s="16"/>
      <c r="AJ17" s="16"/>
      <c r="AK17" s="16">
        <v>625</v>
      </c>
      <c r="AL17" s="16">
        <v>6</v>
      </c>
      <c r="AM17" s="16">
        <v>280</v>
      </c>
      <c r="AN17" s="16"/>
      <c r="BC17" s="13"/>
      <c r="BD17" s="13"/>
      <c r="BE17" s="13"/>
      <c r="BF17" s="13"/>
      <c r="BG17" s="13"/>
      <c r="BH17" s="13"/>
      <c r="BI17" s="13"/>
      <c r="BJ17" s="13"/>
      <c r="BK17" s="13"/>
      <c r="BL17" s="13"/>
      <c r="BM17" s="13"/>
      <c r="BN17" s="13"/>
    </row>
    <row r="18" spans="1:66" x14ac:dyDescent="0.25">
      <c r="A18" s="22">
        <v>16</v>
      </c>
      <c r="B18" s="23">
        <v>1289.3103426786713</v>
      </c>
      <c r="C18" s="24">
        <v>958.82238377393492</v>
      </c>
      <c r="I18" s="31"/>
      <c r="J18" s="31"/>
      <c r="K18" s="31"/>
      <c r="L18" s="31"/>
      <c r="M18" s="31"/>
      <c r="N18" s="31"/>
      <c r="AH18" s="16">
        <v>850</v>
      </c>
      <c r="AI18" s="16"/>
      <c r="AJ18" s="16"/>
      <c r="AK18" s="16">
        <v>650</v>
      </c>
      <c r="AL18" s="16">
        <v>6</v>
      </c>
      <c r="AM18" s="16">
        <v>280</v>
      </c>
      <c r="AN18" s="16"/>
      <c r="BC18" s="13"/>
      <c r="BD18" s="13"/>
      <c r="BE18" s="13"/>
      <c r="BF18" s="13"/>
      <c r="BG18" s="13"/>
      <c r="BH18" s="13"/>
      <c r="BI18" s="13"/>
      <c r="BJ18" s="13"/>
      <c r="BK18" s="13"/>
      <c r="BL18" s="13"/>
      <c r="BM18" s="13"/>
      <c r="BN18" s="13"/>
    </row>
    <row r="19" spans="1:66" x14ac:dyDescent="0.25">
      <c r="A19" s="22">
        <v>17</v>
      </c>
      <c r="B19" s="23">
        <v>1208.9398137426697</v>
      </c>
      <c r="C19" s="24">
        <v>1039.3792568499709</v>
      </c>
      <c r="F19" s="53">
        <v>1</v>
      </c>
      <c r="I19" s="31"/>
      <c r="J19" s="31"/>
      <c r="K19" s="31"/>
      <c r="L19" s="31"/>
      <c r="M19" s="31"/>
      <c r="N19" s="31"/>
      <c r="AH19" s="16">
        <v>875</v>
      </c>
      <c r="AI19" s="16"/>
      <c r="AJ19" s="16"/>
      <c r="AK19" s="16">
        <v>650</v>
      </c>
      <c r="AL19" s="16">
        <v>9</v>
      </c>
      <c r="AM19" s="16">
        <v>364</v>
      </c>
      <c r="AN19" s="16"/>
      <c r="BC19" s="13"/>
      <c r="BD19" s="13"/>
      <c r="BE19" s="13"/>
      <c r="BF19" s="13"/>
      <c r="BG19" s="13"/>
      <c r="BH19" s="13"/>
      <c r="BI19" s="13"/>
      <c r="BJ19" s="13"/>
      <c r="BK19" s="13"/>
      <c r="BL19" s="13"/>
      <c r="BM19" s="13"/>
      <c r="BN19" s="13"/>
    </row>
    <row r="20" spans="1:66" x14ac:dyDescent="0.25">
      <c r="A20" s="22">
        <v>18</v>
      </c>
      <c r="B20" s="23">
        <v>1094.9382541620669</v>
      </c>
      <c r="C20" s="24">
        <v>965.04514457326036</v>
      </c>
      <c r="I20" s="31"/>
      <c r="J20" s="31"/>
      <c r="K20" s="31"/>
      <c r="L20" s="31"/>
      <c r="M20" s="31"/>
      <c r="N20" s="31"/>
      <c r="AH20" s="16">
        <v>900</v>
      </c>
      <c r="AI20" s="16"/>
      <c r="AJ20" s="16"/>
      <c r="AK20" s="16">
        <v>675</v>
      </c>
      <c r="AL20" s="16">
        <v>9</v>
      </c>
      <c r="AM20" s="16">
        <v>364</v>
      </c>
      <c r="AN20" s="16"/>
      <c r="BC20" s="13"/>
      <c r="BD20" s="13"/>
      <c r="BE20" s="13"/>
      <c r="BF20" s="13"/>
      <c r="BG20" s="13"/>
      <c r="BH20" s="13"/>
      <c r="BI20" s="13"/>
      <c r="BJ20" s="13"/>
      <c r="BK20" s="13"/>
      <c r="BL20" s="13"/>
      <c r="BM20" s="13"/>
      <c r="BN20" s="13"/>
    </row>
    <row r="21" spans="1:66" x14ac:dyDescent="0.25">
      <c r="A21" s="22">
        <v>19</v>
      </c>
      <c r="B21" s="23">
        <v>1039.6503696110258</v>
      </c>
      <c r="C21" s="24">
        <v>1197.6169030082312</v>
      </c>
      <c r="I21" s="31"/>
      <c r="J21" s="31"/>
      <c r="K21" s="31"/>
      <c r="L21" s="31"/>
      <c r="M21" s="31"/>
      <c r="N21" s="31"/>
      <c r="AH21" s="16">
        <v>925</v>
      </c>
      <c r="AI21" s="16"/>
      <c r="AJ21" s="16"/>
      <c r="AK21" s="16">
        <v>675</v>
      </c>
      <c r="AL21" s="16">
        <v>13</v>
      </c>
      <c r="AM21" s="16">
        <v>478</v>
      </c>
      <c r="AN21" s="16"/>
      <c r="BC21" s="13"/>
      <c r="BD21" s="13"/>
      <c r="BE21" s="13"/>
      <c r="BF21" s="13"/>
      <c r="BG21" s="13"/>
      <c r="BH21" s="13"/>
      <c r="BI21" s="13"/>
      <c r="BJ21" s="13"/>
      <c r="BK21" s="13"/>
      <c r="BL21" s="13"/>
      <c r="BM21" s="13"/>
      <c r="BN21" s="13"/>
    </row>
    <row r="22" spans="1:66" x14ac:dyDescent="0.25">
      <c r="A22" s="22">
        <v>20</v>
      </c>
      <c r="B22" s="23">
        <v>1299.2876036976722</v>
      </c>
      <c r="C22" s="24">
        <v>934.90465384309778</v>
      </c>
      <c r="I22" s="31"/>
      <c r="J22" s="31"/>
      <c r="K22" s="31"/>
      <c r="L22" s="31"/>
      <c r="M22" s="31"/>
      <c r="N22" s="31"/>
      <c r="AH22" s="16">
        <v>950</v>
      </c>
      <c r="AI22" s="16"/>
      <c r="AJ22" s="16"/>
      <c r="AK22" s="16">
        <v>700</v>
      </c>
      <c r="AL22" s="16">
        <v>13</v>
      </c>
      <c r="AM22" s="16">
        <v>478</v>
      </c>
      <c r="AN22" s="16"/>
      <c r="BC22" s="13"/>
      <c r="BD22" s="13"/>
      <c r="BE22" s="13"/>
      <c r="BF22" s="13"/>
      <c r="BG22" s="13"/>
      <c r="BH22" s="13"/>
      <c r="BI22" s="13"/>
      <c r="BJ22" s="13"/>
      <c r="BK22" s="13"/>
      <c r="BL22" s="13"/>
      <c r="BM22" s="13"/>
      <c r="BN22" s="13"/>
    </row>
    <row r="23" spans="1:66" x14ac:dyDescent="0.25">
      <c r="A23" s="22">
        <v>21</v>
      </c>
      <c r="B23" s="23">
        <v>930.85839657848578</v>
      </c>
      <c r="C23" s="24">
        <v>787.81075861451382</v>
      </c>
      <c r="AH23" s="16">
        <v>975</v>
      </c>
      <c r="AI23" s="16"/>
      <c r="AJ23" s="16"/>
      <c r="AK23" s="16">
        <v>700</v>
      </c>
      <c r="AL23" s="16">
        <v>19</v>
      </c>
      <c r="AM23" s="16">
        <v>519</v>
      </c>
      <c r="AN23" s="16"/>
      <c r="BC23" s="13"/>
      <c r="BD23" s="13"/>
      <c r="BE23" s="13"/>
      <c r="BF23" s="13"/>
      <c r="BG23" s="13"/>
      <c r="BH23" s="13"/>
      <c r="BI23" s="13"/>
      <c r="BJ23" s="13"/>
      <c r="BK23" s="13"/>
      <c r="BL23" s="13"/>
      <c r="BM23" s="13"/>
      <c r="BN23" s="13"/>
    </row>
    <row r="24" spans="1:66" x14ac:dyDescent="0.25">
      <c r="A24" s="22">
        <v>22</v>
      </c>
      <c r="B24" s="23">
        <v>1170.1285165694296</v>
      </c>
      <c r="C24" s="24">
        <v>1236.7494130299476</v>
      </c>
      <c r="I24" s="54"/>
      <c r="AH24" s="16">
        <v>1000</v>
      </c>
      <c r="AI24" s="16"/>
      <c r="AJ24" s="16"/>
      <c r="AK24" s="16">
        <v>725</v>
      </c>
      <c r="AL24" s="16">
        <v>19</v>
      </c>
      <c r="AM24" s="16">
        <v>519</v>
      </c>
      <c r="AN24" s="16"/>
      <c r="BC24" s="13"/>
      <c r="BD24" s="13"/>
      <c r="BE24" s="13"/>
      <c r="BF24" s="13"/>
      <c r="BG24" s="13"/>
      <c r="BH24" s="13"/>
      <c r="BI24" s="13"/>
      <c r="BJ24" s="13"/>
      <c r="BK24" s="13"/>
      <c r="BL24" s="13"/>
      <c r="BM24" s="13"/>
      <c r="BN24" s="13"/>
    </row>
    <row r="25" spans="1:66" x14ac:dyDescent="0.25">
      <c r="A25" s="22">
        <v>23</v>
      </c>
      <c r="B25" s="23">
        <v>1088.6904263704992</v>
      </c>
      <c r="C25" s="24">
        <v>1085.5712562113215</v>
      </c>
      <c r="AH25" s="16">
        <v>1025</v>
      </c>
      <c r="AI25" s="16"/>
      <c r="AJ25" s="16"/>
      <c r="AK25" s="16">
        <v>725</v>
      </c>
      <c r="AL25" s="16">
        <v>25</v>
      </c>
      <c r="AM25" s="16">
        <v>621</v>
      </c>
      <c r="AN25" s="16"/>
      <c r="BC25" s="13"/>
      <c r="BD25" s="13"/>
      <c r="BE25" s="13"/>
      <c r="BF25" s="13"/>
      <c r="BG25" s="13"/>
      <c r="BH25" s="13"/>
      <c r="BI25" s="13"/>
      <c r="BJ25" s="13"/>
      <c r="BK25" s="13"/>
      <c r="BL25" s="13"/>
      <c r="BM25" s="13"/>
      <c r="BN25" s="13"/>
    </row>
    <row r="26" spans="1:66" x14ac:dyDescent="0.25">
      <c r="A26" s="22">
        <v>24</v>
      </c>
      <c r="B26" s="23">
        <v>1737.5118260731037</v>
      </c>
      <c r="C26" s="24">
        <v>953.98457311764196</v>
      </c>
      <c r="AH26" s="16">
        <v>1050</v>
      </c>
      <c r="AI26" s="16"/>
      <c r="AJ26" s="16"/>
      <c r="AK26" s="16">
        <v>750</v>
      </c>
      <c r="AL26" s="16">
        <v>25</v>
      </c>
      <c r="AM26" s="16">
        <v>621</v>
      </c>
      <c r="AN26" s="16"/>
      <c r="BC26" s="13"/>
      <c r="BD26" s="13"/>
      <c r="BE26" s="13"/>
      <c r="BF26" s="13"/>
      <c r="BG26" s="13"/>
      <c r="BH26" s="13"/>
      <c r="BI26" s="13"/>
      <c r="BJ26" s="13"/>
      <c r="BK26" s="13"/>
      <c r="BL26" s="13"/>
      <c r="BM26" s="13"/>
      <c r="BN26" s="13"/>
    </row>
    <row r="27" spans="1:66" x14ac:dyDescent="0.25">
      <c r="A27" s="22">
        <v>25</v>
      </c>
      <c r="B27" s="23">
        <v>927.02940319796573</v>
      </c>
      <c r="C27" s="24">
        <v>1010.0234427375428</v>
      </c>
      <c r="AH27" s="16">
        <v>1075</v>
      </c>
      <c r="AI27" s="16"/>
      <c r="AJ27" s="16"/>
      <c r="AK27" s="16">
        <v>750</v>
      </c>
      <c r="AL27" s="16">
        <v>54</v>
      </c>
      <c r="AM27" s="16">
        <v>666</v>
      </c>
      <c r="AN27" s="16"/>
      <c r="BC27" s="13"/>
      <c r="BD27" s="13"/>
      <c r="BE27" s="13"/>
      <c r="BF27" s="13"/>
      <c r="BG27" s="13"/>
      <c r="BH27" s="13"/>
      <c r="BI27" s="13"/>
      <c r="BJ27" s="13"/>
      <c r="BK27" s="13"/>
      <c r="BL27" s="13"/>
      <c r="BM27" s="13"/>
      <c r="BN27" s="13"/>
    </row>
    <row r="28" spans="1:66" x14ac:dyDescent="0.25">
      <c r="A28" s="22">
        <v>26</v>
      </c>
      <c r="B28" s="23">
        <v>1464.188138914443</v>
      </c>
      <c r="C28" s="24">
        <v>842.40740310844103</v>
      </c>
      <c r="AH28" s="16">
        <v>1100</v>
      </c>
      <c r="AI28" s="16"/>
      <c r="AJ28" s="16"/>
      <c r="AK28" s="16">
        <v>775</v>
      </c>
      <c r="AL28" s="16">
        <v>54</v>
      </c>
      <c r="AM28" s="16">
        <v>666</v>
      </c>
      <c r="AN28" s="16"/>
      <c r="BC28" s="13"/>
      <c r="BD28" s="13"/>
      <c r="BE28" s="13"/>
      <c r="BF28" s="13"/>
      <c r="BG28" s="13"/>
      <c r="BH28" s="13"/>
      <c r="BI28" s="13"/>
      <c r="BJ28" s="13"/>
      <c r="BK28" s="13"/>
      <c r="BL28" s="13"/>
      <c r="BM28" s="13"/>
      <c r="BN28" s="13"/>
    </row>
    <row r="29" spans="1:66" x14ac:dyDescent="0.25">
      <c r="A29" s="22">
        <v>27</v>
      </c>
      <c r="B29" s="23">
        <v>1193.8393152938668</v>
      </c>
      <c r="C29" s="24">
        <v>904.09347075892788</v>
      </c>
      <c r="AH29" s="16">
        <v>1125</v>
      </c>
      <c r="AI29" s="16"/>
      <c r="AJ29" s="16"/>
      <c r="AK29" s="16">
        <v>775</v>
      </c>
      <c r="AL29" s="16">
        <v>57</v>
      </c>
      <c r="AM29" s="16">
        <v>714</v>
      </c>
      <c r="AN29" s="16"/>
      <c r="BC29" s="13"/>
      <c r="BD29" s="13"/>
      <c r="BE29" s="13"/>
      <c r="BF29" s="13"/>
      <c r="BG29" s="13"/>
      <c r="BH29" s="13"/>
      <c r="BI29" s="13"/>
      <c r="BJ29" s="13"/>
      <c r="BK29" s="13"/>
      <c r="BL29" s="13"/>
      <c r="BM29" s="13"/>
      <c r="BN29" s="13"/>
    </row>
    <row r="30" spans="1:66" x14ac:dyDescent="0.25">
      <c r="A30" s="22">
        <v>28</v>
      </c>
      <c r="B30" s="23">
        <v>1477.4939520063165</v>
      </c>
      <c r="C30" s="24">
        <v>907.55074095196801</v>
      </c>
      <c r="AH30" s="16">
        <v>1150</v>
      </c>
      <c r="AI30" s="16"/>
      <c r="AJ30" s="16"/>
      <c r="AK30" s="16">
        <v>800</v>
      </c>
      <c r="AL30" s="16">
        <v>57</v>
      </c>
      <c r="AM30" s="16">
        <v>714</v>
      </c>
      <c r="AN30" s="16"/>
      <c r="BC30" s="13"/>
      <c r="BD30" s="13"/>
      <c r="BE30" s="13"/>
      <c r="BF30" s="13"/>
      <c r="BG30" s="13"/>
      <c r="BH30" s="13"/>
      <c r="BI30" s="13"/>
      <c r="BJ30" s="13"/>
      <c r="BK30" s="13"/>
      <c r="BL30" s="13"/>
      <c r="BM30" s="13"/>
      <c r="BN30" s="13"/>
    </row>
    <row r="31" spans="1:66" x14ac:dyDescent="0.25">
      <c r="A31" s="22">
        <v>29</v>
      </c>
      <c r="B31" s="23">
        <v>1489.732142228562</v>
      </c>
      <c r="C31" s="24">
        <v>967.66302757186554</v>
      </c>
      <c r="AH31" s="16">
        <v>1175</v>
      </c>
      <c r="AI31" s="16"/>
      <c r="AJ31" s="16"/>
      <c r="AK31" s="16">
        <v>800</v>
      </c>
      <c r="AL31" s="16">
        <v>69</v>
      </c>
      <c r="AM31" s="16">
        <v>755</v>
      </c>
      <c r="AN31" s="16"/>
      <c r="BC31" s="13"/>
      <c r="BD31" s="13"/>
      <c r="BE31" s="13"/>
      <c r="BF31" s="13"/>
      <c r="BG31" s="13"/>
      <c r="BH31" s="13"/>
      <c r="BI31" s="13"/>
      <c r="BJ31" s="13"/>
      <c r="BK31" s="13"/>
      <c r="BL31" s="13"/>
      <c r="BM31" s="13"/>
      <c r="BN31" s="13"/>
    </row>
    <row r="32" spans="1:66" x14ac:dyDescent="0.25">
      <c r="A32" s="22">
        <v>30</v>
      </c>
      <c r="B32" s="23">
        <v>1355.4530070599437</v>
      </c>
      <c r="C32" s="24">
        <v>1041.501805109554</v>
      </c>
      <c r="AH32" s="16">
        <v>1200</v>
      </c>
      <c r="AI32" s="16"/>
      <c r="AJ32" s="16"/>
      <c r="AK32" s="16">
        <v>825</v>
      </c>
      <c r="AL32" s="16">
        <v>69</v>
      </c>
      <c r="AM32" s="16">
        <v>755</v>
      </c>
      <c r="AN32" s="16"/>
      <c r="BC32" s="13"/>
      <c r="BD32" s="13"/>
      <c r="BE32" s="13"/>
      <c r="BF32" s="13"/>
      <c r="BG32" s="13"/>
      <c r="BH32" s="13"/>
      <c r="BI32" s="13"/>
      <c r="BJ32" s="13"/>
      <c r="BK32" s="13"/>
      <c r="BL32" s="13"/>
      <c r="BM32" s="13"/>
      <c r="BN32" s="13"/>
    </row>
    <row r="33" spans="1:66" x14ac:dyDescent="0.25">
      <c r="A33" s="22">
        <v>31</v>
      </c>
      <c r="B33" s="23">
        <v>897.69643419929582</v>
      </c>
      <c r="C33" s="24">
        <v>754.48357444907322</v>
      </c>
      <c r="AH33" s="16">
        <v>1225</v>
      </c>
      <c r="AI33" s="16"/>
      <c r="AJ33" s="16"/>
      <c r="AK33" s="16">
        <v>825</v>
      </c>
      <c r="AL33" s="16">
        <v>75</v>
      </c>
      <c r="AM33" s="16">
        <v>711</v>
      </c>
      <c r="AN33" s="16"/>
      <c r="BC33" s="13"/>
      <c r="BD33" s="13"/>
      <c r="BE33" s="13"/>
      <c r="BF33" s="13"/>
      <c r="BG33" s="13"/>
      <c r="BH33" s="13"/>
      <c r="BI33" s="13"/>
      <c r="BJ33" s="13"/>
      <c r="BK33" s="13"/>
      <c r="BL33" s="13"/>
      <c r="BM33" s="13"/>
      <c r="BN33" s="13"/>
    </row>
    <row r="34" spans="1:66" x14ac:dyDescent="0.25">
      <c r="A34" s="22">
        <v>32</v>
      </c>
      <c r="B34" s="23">
        <v>1609.0601081905411</v>
      </c>
      <c r="C34" s="24">
        <v>800.79236192399321</v>
      </c>
      <c r="AH34" s="16">
        <v>1250</v>
      </c>
      <c r="AI34" s="16"/>
      <c r="AJ34" s="16"/>
      <c r="AK34" s="16">
        <v>850</v>
      </c>
      <c r="AL34" s="16">
        <v>75</v>
      </c>
      <c r="AM34" s="16">
        <v>711</v>
      </c>
      <c r="AN34" s="16"/>
      <c r="BC34" s="13"/>
      <c r="BD34" s="13"/>
      <c r="BE34" s="13"/>
      <c r="BF34" s="13"/>
      <c r="BG34" s="13"/>
      <c r="BH34" s="13"/>
      <c r="BI34" s="13"/>
      <c r="BJ34" s="13"/>
      <c r="BK34" s="13"/>
      <c r="BL34" s="13"/>
      <c r="BM34" s="13"/>
      <c r="BN34" s="13"/>
    </row>
    <row r="35" spans="1:66" x14ac:dyDescent="0.25">
      <c r="A35" s="22">
        <v>33</v>
      </c>
      <c r="B35" s="23">
        <v>1399.4111522758139</v>
      </c>
      <c r="C35" s="24">
        <v>735.51387219499793</v>
      </c>
      <c r="AH35" s="16">
        <v>1275</v>
      </c>
      <c r="AI35" s="16"/>
      <c r="AJ35" s="16"/>
      <c r="AK35" s="16">
        <v>850</v>
      </c>
      <c r="AL35" s="16">
        <v>119</v>
      </c>
      <c r="AM35" s="16">
        <v>702</v>
      </c>
      <c r="AN35" s="16"/>
      <c r="BC35" s="13"/>
      <c r="BD35" s="13"/>
      <c r="BE35" s="13"/>
      <c r="BF35" s="13"/>
      <c r="BG35" s="13"/>
      <c r="BH35" s="13"/>
      <c r="BI35" s="13"/>
      <c r="BJ35" s="13"/>
      <c r="BK35" s="13"/>
      <c r="BL35" s="13"/>
      <c r="BM35" s="13"/>
      <c r="BN35" s="13"/>
    </row>
    <row r="36" spans="1:66" x14ac:dyDescent="0.25">
      <c r="A36" s="22">
        <v>34</v>
      </c>
      <c r="B36" s="23">
        <v>1374.5569035210337</v>
      </c>
      <c r="C36" s="24">
        <v>853.86259527421407</v>
      </c>
      <c r="AH36" s="16">
        <v>1300</v>
      </c>
      <c r="AI36" s="16"/>
      <c r="AJ36" s="16"/>
      <c r="AK36" s="16">
        <v>875</v>
      </c>
      <c r="AL36" s="16">
        <v>119</v>
      </c>
      <c r="AM36" s="16">
        <v>702</v>
      </c>
      <c r="AN36" s="16"/>
      <c r="BC36" s="13"/>
      <c r="BD36" s="13"/>
      <c r="BE36" s="13"/>
      <c r="BF36" s="13"/>
      <c r="BG36" s="13"/>
      <c r="BH36" s="13"/>
      <c r="BI36" s="13"/>
      <c r="BJ36" s="13"/>
      <c r="BK36" s="13"/>
      <c r="BL36" s="13"/>
      <c r="BM36" s="13"/>
      <c r="BN36" s="13"/>
    </row>
    <row r="37" spans="1:66" x14ac:dyDescent="0.25">
      <c r="A37" s="22">
        <v>35</v>
      </c>
      <c r="B37" s="23">
        <v>1257.4421972144362</v>
      </c>
      <c r="C37" s="24">
        <v>840.43105603805236</v>
      </c>
      <c r="AH37" s="16">
        <v>1325</v>
      </c>
      <c r="AI37" s="16"/>
      <c r="AJ37" s="16"/>
      <c r="AK37" s="16">
        <v>875</v>
      </c>
      <c r="AL37" s="16">
        <v>140</v>
      </c>
      <c r="AM37" s="16">
        <v>631</v>
      </c>
      <c r="AN37" s="16"/>
      <c r="BC37" s="13"/>
      <c r="BD37" s="13"/>
      <c r="BE37" s="13"/>
      <c r="BF37" s="13"/>
      <c r="BG37" s="13"/>
      <c r="BH37" s="13"/>
      <c r="BI37" s="13"/>
      <c r="BJ37" s="13"/>
      <c r="BK37" s="13"/>
      <c r="BL37" s="13"/>
      <c r="BM37" s="13"/>
      <c r="BN37" s="13"/>
    </row>
    <row r="38" spans="1:66" x14ac:dyDescent="0.25">
      <c r="A38" s="22">
        <v>36</v>
      </c>
      <c r="B38" s="23">
        <v>1314.8930475924742</v>
      </c>
      <c r="C38" s="24">
        <v>696.05049888083045</v>
      </c>
      <c r="AH38" s="16">
        <v>1350</v>
      </c>
      <c r="AI38" s="16"/>
      <c r="AJ38" s="16"/>
      <c r="AK38" s="16">
        <v>900</v>
      </c>
      <c r="AL38" s="16">
        <v>140</v>
      </c>
      <c r="AM38" s="16">
        <v>631</v>
      </c>
      <c r="AN38" s="16"/>
      <c r="BC38" s="13"/>
      <c r="BD38" s="13"/>
      <c r="BE38" s="13"/>
      <c r="BF38" s="13"/>
      <c r="BG38" s="13"/>
      <c r="BH38" s="13"/>
      <c r="BI38" s="13"/>
      <c r="BJ38" s="13"/>
      <c r="BK38" s="13"/>
      <c r="BL38" s="13"/>
      <c r="BM38" s="13"/>
      <c r="BN38" s="13"/>
    </row>
    <row r="39" spans="1:66" x14ac:dyDescent="0.25">
      <c r="A39" s="22">
        <v>37</v>
      </c>
      <c r="B39" s="23">
        <v>1266.2500248633285</v>
      </c>
      <c r="C39" s="24">
        <v>660.10856544504918</v>
      </c>
      <c r="AH39" s="16">
        <v>1375</v>
      </c>
      <c r="AI39" s="16"/>
      <c r="AJ39" s="16"/>
      <c r="AK39" s="16">
        <v>900</v>
      </c>
      <c r="AL39" s="16">
        <v>150</v>
      </c>
      <c r="AM39" s="16">
        <v>566</v>
      </c>
      <c r="AN39" s="16"/>
      <c r="BC39" s="13"/>
      <c r="BD39" s="13"/>
      <c r="BE39" s="13"/>
      <c r="BF39" s="13"/>
      <c r="BG39" s="13"/>
      <c r="BH39" s="13"/>
      <c r="BI39" s="13"/>
      <c r="BJ39" s="13"/>
      <c r="BK39" s="13"/>
      <c r="BL39" s="13"/>
      <c r="BM39" s="13"/>
      <c r="BN39" s="13"/>
    </row>
    <row r="40" spans="1:66" x14ac:dyDescent="0.25">
      <c r="A40" s="22">
        <v>38</v>
      </c>
      <c r="B40" s="23">
        <v>1073.2351222385525</v>
      </c>
      <c r="C40" s="24">
        <v>1002.8423344236468</v>
      </c>
      <c r="AH40" s="16">
        <v>1400</v>
      </c>
      <c r="AI40" s="16"/>
      <c r="AJ40" s="16"/>
      <c r="AK40" s="16">
        <v>925</v>
      </c>
      <c r="AL40" s="16">
        <v>150</v>
      </c>
      <c r="AM40" s="16">
        <v>566</v>
      </c>
      <c r="AN40" s="16"/>
      <c r="BC40" s="13"/>
      <c r="BD40" s="13"/>
      <c r="BE40" s="13"/>
      <c r="BF40" s="13"/>
      <c r="BG40" s="13"/>
      <c r="BH40" s="13"/>
      <c r="BI40" s="13"/>
      <c r="BJ40" s="13"/>
      <c r="BK40" s="13"/>
      <c r="BL40" s="13"/>
      <c r="BM40" s="13"/>
      <c r="BN40" s="13"/>
    </row>
    <row r="41" spans="1:66" x14ac:dyDescent="0.25">
      <c r="A41" s="22">
        <v>39</v>
      </c>
      <c r="B41" s="23">
        <v>1222.6766698819583</v>
      </c>
      <c r="C41" s="24">
        <v>850.39709751771284</v>
      </c>
      <c r="AH41" s="16">
        <v>1425</v>
      </c>
      <c r="AI41" s="16"/>
      <c r="AJ41" s="16"/>
      <c r="AK41" s="16">
        <v>925</v>
      </c>
      <c r="AL41" s="16">
        <v>199</v>
      </c>
      <c r="AM41" s="16">
        <v>497</v>
      </c>
      <c r="AN41" s="16"/>
      <c r="BC41" s="13"/>
      <c r="BD41" s="13"/>
      <c r="BE41" s="13"/>
      <c r="BF41" s="13"/>
      <c r="BG41" s="13"/>
      <c r="BH41" s="13"/>
      <c r="BI41" s="13"/>
      <c r="BJ41" s="13"/>
      <c r="BK41" s="13"/>
      <c r="BL41" s="13"/>
      <c r="BM41" s="13"/>
      <c r="BN41" s="13"/>
    </row>
    <row r="42" spans="1:66" x14ac:dyDescent="0.25">
      <c r="A42" s="22">
        <v>40</v>
      </c>
      <c r="B42" s="23">
        <v>1111.1290840500035</v>
      </c>
      <c r="C42" s="24">
        <v>824.23066792466523</v>
      </c>
      <c r="AH42" s="16">
        <v>1450</v>
      </c>
      <c r="AI42" s="16"/>
      <c r="AJ42" s="16"/>
      <c r="AK42" s="16">
        <v>950</v>
      </c>
      <c r="AL42" s="16">
        <v>199</v>
      </c>
      <c r="AM42" s="16">
        <v>497</v>
      </c>
      <c r="AN42" s="16"/>
      <c r="BC42" s="13"/>
      <c r="BD42" s="13"/>
      <c r="BE42" s="13"/>
      <c r="BF42" s="13"/>
      <c r="BG42" s="13"/>
      <c r="BH42" s="13"/>
      <c r="BI42" s="13"/>
      <c r="BJ42" s="13"/>
      <c r="BK42" s="13"/>
      <c r="BL42" s="13"/>
      <c r="BM42" s="13"/>
      <c r="BN42" s="13"/>
    </row>
    <row r="43" spans="1:66" x14ac:dyDescent="0.25">
      <c r="A43" s="22">
        <v>41</v>
      </c>
      <c r="B43" s="23">
        <v>1395.7140267256423</v>
      </c>
      <c r="C43" s="24">
        <v>743.52267609236196</v>
      </c>
      <c r="AH43" s="16">
        <v>1475</v>
      </c>
      <c r="AI43" s="16"/>
      <c r="AJ43" s="16"/>
      <c r="AK43" s="16">
        <v>950</v>
      </c>
      <c r="AL43" s="16">
        <v>213</v>
      </c>
      <c r="AM43" s="16">
        <v>412</v>
      </c>
      <c r="AN43" s="16"/>
      <c r="BC43" s="13"/>
      <c r="BD43" s="13"/>
      <c r="BE43" s="13"/>
      <c r="BF43" s="13"/>
      <c r="BG43" s="13"/>
      <c r="BH43" s="13"/>
      <c r="BI43" s="13"/>
      <c r="BJ43" s="13"/>
      <c r="BK43" s="13"/>
      <c r="BL43" s="13"/>
      <c r="BM43" s="13"/>
      <c r="BN43" s="13"/>
    </row>
    <row r="44" spans="1:66" x14ac:dyDescent="0.25">
      <c r="A44" s="22">
        <v>42</v>
      </c>
      <c r="B44" s="23">
        <v>1599.4697370152626</v>
      </c>
      <c r="C44" s="24">
        <v>889.22384409689823</v>
      </c>
      <c r="AH44" s="16">
        <v>1500</v>
      </c>
      <c r="AI44" s="16"/>
      <c r="AJ44" s="16"/>
      <c r="AK44" s="16">
        <v>975</v>
      </c>
      <c r="AL44" s="16">
        <v>213</v>
      </c>
      <c r="AM44" s="16">
        <v>412</v>
      </c>
      <c r="AN44" s="16"/>
      <c r="BC44" s="13"/>
      <c r="BD44" s="13"/>
      <c r="BE44" s="13"/>
      <c r="BF44" s="13"/>
      <c r="BG44" s="13"/>
      <c r="BH44" s="13"/>
      <c r="BI44" s="13"/>
      <c r="BJ44" s="13"/>
      <c r="BK44" s="13"/>
      <c r="BL44" s="13"/>
      <c r="BM44" s="13"/>
      <c r="BN44" s="13"/>
    </row>
    <row r="45" spans="1:66" x14ac:dyDescent="0.25">
      <c r="A45" s="22">
        <v>43</v>
      </c>
      <c r="B45" s="23">
        <v>1133.4973916082058</v>
      </c>
      <c r="C45" s="24">
        <v>822.67334988637492</v>
      </c>
      <c r="AH45" s="16">
        <v>1525</v>
      </c>
      <c r="AI45" s="16"/>
      <c r="AJ45" s="16"/>
      <c r="AK45" s="16">
        <v>975</v>
      </c>
      <c r="AL45" s="16">
        <v>277</v>
      </c>
      <c r="AM45" s="16">
        <v>348</v>
      </c>
      <c r="AN45" s="16"/>
      <c r="BC45" s="13"/>
      <c r="BD45" s="13"/>
      <c r="BE45" s="13"/>
      <c r="BF45" s="13"/>
      <c r="BG45" s="13"/>
      <c r="BH45" s="13"/>
      <c r="BI45" s="13"/>
      <c r="BJ45" s="13"/>
      <c r="BK45" s="13"/>
      <c r="BL45" s="13"/>
      <c r="BM45" s="13"/>
      <c r="BN45" s="13"/>
    </row>
    <row r="46" spans="1:66" x14ac:dyDescent="0.25">
      <c r="A46" s="22">
        <v>44</v>
      </c>
      <c r="B46" s="23">
        <v>1042.416618878455</v>
      </c>
      <c r="C46" s="24">
        <v>666.71057019134821</v>
      </c>
      <c r="I46" s="54"/>
      <c r="AH46" s="16">
        <v>1550</v>
      </c>
      <c r="AI46" s="16"/>
      <c r="AJ46" s="16"/>
      <c r="AK46" s="16">
        <v>1000</v>
      </c>
      <c r="AL46" s="16">
        <v>277</v>
      </c>
      <c r="AM46" s="16">
        <v>348</v>
      </c>
      <c r="AN46" s="16"/>
      <c r="BC46" s="13"/>
      <c r="BD46" s="13"/>
      <c r="BE46" s="13"/>
      <c r="BF46" s="13"/>
      <c r="BG46" s="13"/>
      <c r="BH46" s="13"/>
      <c r="BI46" s="13"/>
      <c r="BJ46" s="13"/>
      <c r="BK46" s="13"/>
      <c r="BL46" s="13"/>
      <c r="BM46" s="13"/>
      <c r="BN46" s="13"/>
    </row>
    <row r="47" spans="1:66" x14ac:dyDescent="0.25">
      <c r="A47" s="22">
        <v>45</v>
      </c>
      <c r="B47" s="23">
        <v>1083.1457816926252</v>
      </c>
      <c r="C47" s="24">
        <v>735.70166387492532</v>
      </c>
      <c r="AH47" s="16">
        <v>1575</v>
      </c>
      <c r="AI47" s="16"/>
      <c r="AJ47" s="16"/>
      <c r="AK47" s="16">
        <v>1000</v>
      </c>
      <c r="AL47" s="16">
        <v>305</v>
      </c>
      <c r="AM47" s="16">
        <v>289</v>
      </c>
      <c r="AN47" s="16"/>
      <c r="BC47" s="13"/>
      <c r="BD47" s="13"/>
      <c r="BE47" s="13"/>
      <c r="BF47" s="13"/>
      <c r="BG47" s="13"/>
      <c r="BH47" s="13"/>
      <c r="BI47" s="13"/>
      <c r="BJ47" s="13"/>
      <c r="BK47" s="13"/>
      <c r="BL47" s="13"/>
      <c r="BM47" s="13"/>
      <c r="BN47" s="13"/>
    </row>
    <row r="48" spans="1:66" x14ac:dyDescent="0.25">
      <c r="A48" s="22">
        <v>46</v>
      </c>
      <c r="B48" s="23">
        <v>1153.7727000858622</v>
      </c>
      <c r="C48" s="24">
        <v>809.12463416257515</v>
      </c>
      <c r="AH48" s="16">
        <v>1600</v>
      </c>
      <c r="AI48" s="16"/>
      <c r="AJ48" s="16"/>
      <c r="AK48" s="16">
        <v>1025</v>
      </c>
      <c r="AL48" s="16">
        <v>305</v>
      </c>
      <c r="AM48" s="16">
        <v>289</v>
      </c>
      <c r="AN48" s="16"/>
      <c r="BC48" s="13"/>
      <c r="BD48" s="13"/>
      <c r="BE48" s="13"/>
      <c r="BF48" s="13"/>
      <c r="BG48" s="13"/>
      <c r="BH48" s="13"/>
      <c r="BI48" s="13"/>
      <c r="BJ48" s="13"/>
      <c r="BK48" s="13"/>
      <c r="BL48" s="13"/>
      <c r="BM48" s="13"/>
      <c r="BN48" s="13"/>
    </row>
    <row r="49" spans="1:66" x14ac:dyDescent="0.25">
      <c r="A49" s="22">
        <v>47</v>
      </c>
      <c r="B49" s="23">
        <v>821.56623768248744</v>
      </c>
      <c r="C49" s="24">
        <v>839.85422883021511</v>
      </c>
      <c r="AH49" s="16">
        <v>1625</v>
      </c>
      <c r="AI49" s="16"/>
      <c r="AJ49" s="16"/>
      <c r="AK49" s="16">
        <v>1025</v>
      </c>
      <c r="AL49" s="16">
        <v>358</v>
      </c>
      <c r="AM49" s="16">
        <v>243</v>
      </c>
      <c r="AN49" s="16"/>
      <c r="BC49" s="13"/>
      <c r="BD49" s="13"/>
      <c r="BE49" s="13"/>
      <c r="BF49" s="13"/>
      <c r="BG49" s="13"/>
      <c r="BH49" s="13"/>
      <c r="BI49" s="13"/>
      <c r="BJ49" s="13"/>
      <c r="BK49" s="13"/>
      <c r="BL49" s="13"/>
      <c r="BM49" s="13"/>
      <c r="BN49" s="13"/>
    </row>
    <row r="50" spans="1:66" x14ac:dyDescent="0.25">
      <c r="A50" s="22">
        <v>48</v>
      </c>
      <c r="B50" s="23">
        <v>1046.6072745094698</v>
      </c>
      <c r="C50" s="24">
        <v>824.34834871754583</v>
      </c>
      <c r="AH50" s="16">
        <v>1650</v>
      </c>
      <c r="AI50" s="16"/>
      <c r="AJ50" s="16"/>
      <c r="AK50" s="16">
        <v>1050</v>
      </c>
      <c r="AL50" s="16">
        <v>358</v>
      </c>
      <c r="AM50" s="16">
        <v>243</v>
      </c>
      <c r="AN50" s="16"/>
      <c r="BC50" s="13"/>
      <c r="BD50" s="13"/>
      <c r="BE50" s="13"/>
      <c r="BF50" s="13"/>
      <c r="BG50" s="13"/>
      <c r="BH50" s="13"/>
      <c r="BI50" s="13"/>
      <c r="BJ50" s="13"/>
      <c r="BK50" s="13"/>
      <c r="BL50" s="13"/>
      <c r="BM50" s="13"/>
      <c r="BN50" s="13"/>
    </row>
    <row r="51" spans="1:66" x14ac:dyDescent="0.25">
      <c r="A51" s="22">
        <v>49</v>
      </c>
      <c r="B51" s="23">
        <v>1443.6844934669878</v>
      </c>
      <c r="C51" s="24">
        <v>854.66830200310164</v>
      </c>
      <c r="AH51" s="16">
        <v>1675</v>
      </c>
      <c r="AI51" s="16"/>
      <c r="AJ51" s="16"/>
      <c r="AK51" s="16">
        <v>1050</v>
      </c>
      <c r="AL51" s="16">
        <v>382</v>
      </c>
      <c r="AM51" s="16">
        <v>192</v>
      </c>
      <c r="AN51" s="16"/>
      <c r="BC51" s="13"/>
      <c r="BD51" s="13"/>
      <c r="BE51" s="13"/>
      <c r="BF51" s="13"/>
      <c r="BG51" s="13"/>
      <c r="BH51" s="13"/>
      <c r="BI51" s="13"/>
      <c r="BJ51" s="13"/>
      <c r="BK51" s="13"/>
      <c r="BL51" s="13"/>
      <c r="BM51" s="13"/>
      <c r="BN51" s="13"/>
    </row>
    <row r="52" spans="1:66" x14ac:dyDescent="0.25">
      <c r="A52" s="22">
        <v>50</v>
      </c>
      <c r="B52" s="23">
        <v>980.99363755289414</v>
      </c>
      <c r="C52" s="24">
        <v>568.96879413427314</v>
      </c>
      <c r="AH52" s="16">
        <v>1700</v>
      </c>
      <c r="AI52" s="16"/>
      <c r="AJ52" s="16"/>
      <c r="AK52" s="16">
        <v>1075</v>
      </c>
      <c r="AL52" s="16">
        <v>382</v>
      </c>
      <c r="AM52" s="16">
        <v>192</v>
      </c>
      <c r="AN52" s="16"/>
      <c r="BC52" s="13"/>
      <c r="BD52" s="13"/>
      <c r="BE52" s="13"/>
      <c r="BF52" s="13"/>
      <c r="BG52" s="13"/>
      <c r="BH52" s="13"/>
      <c r="BI52" s="13"/>
      <c r="BJ52" s="13"/>
      <c r="BK52" s="13"/>
      <c r="BL52" s="13"/>
      <c r="BM52" s="13"/>
      <c r="BN52" s="13"/>
    </row>
    <row r="53" spans="1:66" x14ac:dyDescent="0.25">
      <c r="A53" s="22">
        <v>51</v>
      </c>
      <c r="B53" s="23">
        <v>1343.8853213286816</v>
      </c>
      <c r="C53" s="24">
        <v>785.00875784006189</v>
      </c>
      <c r="AH53" s="16">
        <v>1725</v>
      </c>
      <c r="AI53" s="16"/>
      <c r="AJ53" s="16"/>
      <c r="AK53" s="16">
        <v>1075</v>
      </c>
      <c r="AL53" s="16">
        <v>363</v>
      </c>
      <c r="AM53" s="16">
        <v>146</v>
      </c>
      <c r="AN53" s="16"/>
      <c r="BC53" s="13"/>
      <c r="BD53" s="13"/>
      <c r="BE53" s="13"/>
      <c r="BF53" s="13"/>
      <c r="BG53" s="13"/>
      <c r="BH53" s="13"/>
      <c r="BI53" s="13"/>
      <c r="BJ53" s="13"/>
      <c r="BK53" s="13"/>
      <c r="BL53" s="13"/>
      <c r="BM53" s="13"/>
      <c r="BN53" s="13"/>
    </row>
    <row r="54" spans="1:66" x14ac:dyDescent="0.25">
      <c r="A54" s="22">
        <v>52</v>
      </c>
      <c r="B54" s="23">
        <v>1209.050963904911</v>
      </c>
      <c r="C54" s="24">
        <v>747.09429244493367</v>
      </c>
      <c r="AH54" s="16">
        <v>1750</v>
      </c>
      <c r="AI54" s="16"/>
      <c r="AJ54" s="16"/>
      <c r="AK54" s="16">
        <v>1100</v>
      </c>
      <c r="AL54" s="16">
        <v>363</v>
      </c>
      <c r="AM54" s="16">
        <v>146</v>
      </c>
      <c r="AN54" s="16"/>
      <c r="BC54" s="13"/>
      <c r="BD54" s="13"/>
      <c r="BE54" s="13"/>
      <c r="BF54" s="13"/>
      <c r="BG54" s="13"/>
      <c r="BH54" s="13"/>
      <c r="BI54" s="13"/>
      <c r="BJ54" s="13"/>
      <c r="BK54" s="13"/>
      <c r="BL54" s="13"/>
      <c r="BM54" s="13"/>
      <c r="BN54" s="13"/>
    </row>
    <row r="55" spans="1:66" x14ac:dyDescent="0.25">
      <c r="A55" s="22">
        <v>53</v>
      </c>
      <c r="B55" s="23">
        <v>989.86607744000071</v>
      </c>
      <c r="C55" s="24">
        <v>757.1575083886961</v>
      </c>
      <c r="AH55" s="16">
        <v>1775</v>
      </c>
      <c r="AI55" s="16"/>
      <c r="AJ55" s="16"/>
      <c r="AK55" s="16">
        <v>1100</v>
      </c>
      <c r="AL55" s="16">
        <v>432</v>
      </c>
      <c r="AM55" s="16">
        <v>120</v>
      </c>
      <c r="AN55" s="16"/>
      <c r="BC55" s="13"/>
      <c r="BD55" s="13"/>
      <c r="BE55" s="13"/>
      <c r="BF55" s="13"/>
      <c r="BG55" s="13"/>
      <c r="BH55" s="13"/>
      <c r="BI55" s="13"/>
      <c r="BJ55" s="13"/>
      <c r="BK55" s="13"/>
      <c r="BL55" s="13"/>
      <c r="BM55" s="13"/>
      <c r="BN55" s="13"/>
    </row>
    <row r="56" spans="1:66" x14ac:dyDescent="0.25">
      <c r="A56" s="22">
        <v>54</v>
      </c>
      <c r="B56" s="23">
        <v>1713.6125968412066</v>
      </c>
      <c r="C56" s="24">
        <v>720.51875709800072</v>
      </c>
      <c r="AH56" s="16">
        <v>1800</v>
      </c>
      <c r="AI56" s="16"/>
      <c r="AJ56" s="16"/>
      <c r="AK56" s="16">
        <v>1125</v>
      </c>
      <c r="AL56" s="16">
        <v>432</v>
      </c>
      <c r="AM56" s="16">
        <v>120</v>
      </c>
      <c r="AN56" s="16"/>
      <c r="BC56" s="13"/>
      <c r="BD56" s="13"/>
      <c r="BE56" s="13"/>
      <c r="BF56" s="13"/>
      <c r="BG56" s="13"/>
      <c r="BH56" s="13"/>
      <c r="BI56" s="13"/>
      <c r="BJ56" s="13"/>
      <c r="BK56" s="13"/>
      <c r="BL56" s="13"/>
      <c r="BM56" s="13"/>
      <c r="BN56" s="13"/>
    </row>
    <row r="57" spans="1:66" x14ac:dyDescent="0.25">
      <c r="A57" s="22">
        <v>55</v>
      </c>
      <c r="B57" s="23">
        <v>1197.5693532799196</v>
      </c>
      <c r="C57" s="24">
        <v>729.35709602212069</v>
      </c>
      <c r="AH57" s="16">
        <v>1825</v>
      </c>
      <c r="AI57" s="16"/>
      <c r="AJ57" s="16"/>
      <c r="AK57" s="16">
        <v>1125</v>
      </c>
      <c r="AL57" s="16">
        <v>437</v>
      </c>
      <c r="AM57" s="16">
        <v>74</v>
      </c>
      <c r="AN57" s="16"/>
      <c r="BC57" s="13"/>
      <c r="BD57" s="13"/>
      <c r="BE57" s="13"/>
      <c r="BF57" s="13"/>
      <c r="BG57" s="13"/>
      <c r="BH57" s="13"/>
      <c r="BI57" s="13"/>
      <c r="BJ57" s="13"/>
      <c r="BK57" s="13"/>
      <c r="BL57" s="13"/>
      <c r="BM57" s="13"/>
      <c r="BN57" s="13"/>
    </row>
    <row r="58" spans="1:66" x14ac:dyDescent="0.25">
      <c r="A58" s="22">
        <v>56</v>
      </c>
      <c r="B58" s="23">
        <v>1449.1428536854505</v>
      </c>
      <c r="C58" s="24">
        <v>655.07326756255566</v>
      </c>
      <c r="AH58" s="16">
        <v>1850</v>
      </c>
      <c r="AI58" s="16"/>
      <c r="AJ58" s="16"/>
      <c r="AK58" s="16">
        <v>1150</v>
      </c>
      <c r="AL58" s="16">
        <v>437</v>
      </c>
      <c r="AM58" s="16">
        <v>74</v>
      </c>
      <c r="AN58" s="16"/>
      <c r="BC58" s="13"/>
      <c r="BD58" s="13"/>
      <c r="BE58" s="13"/>
      <c r="BF58" s="13"/>
      <c r="BG58" s="13"/>
      <c r="BH58" s="13"/>
      <c r="BI58" s="13"/>
      <c r="BJ58" s="13"/>
      <c r="BK58" s="13"/>
      <c r="BL58" s="13"/>
      <c r="BM58" s="13"/>
      <c r="BN58" s="13"/>
    </row>
    <row r="59" spans="1:66" x14ac:dyDescent="0.25">
      <c r="A59" s="22">
        <v>57</v>
      </c>
      <c r="B59" s="23">
        <v>1454.4304499824027</v>
      </c>
      <c r="C59" s="24">
        <v>949.62887452293853</v>
      </c>
      <c r="AH59" s="16">
        <v>1875</v>
      </c>
      <c r="AI59" s="16"/>
      <c r="AJ59" s="16"/>
      <c r="AK59" s="16">
        <v>1150</v>
      </c>
      <c r="AL59" s="16">
        <v>426</v>
      </c>
      <c r="AM59" s="16">
        <v>61</v>
      </c>
      <c r="AN59" s="16"/>
      <c r="BC59" s="13"/>
      <c r="BD59" s="13"/>
      <c r="BE59" s="13"/>
      <c r="BF59" s="13"/>
      <c r="BG59" s="13"/>
      <c r="BH59" s="13"/>
      <c r="BI59" s="13"/>
      <c r="BJ59" s="13"/>
      <c r="BK59" s="13"/>
      <c r="BL59" s="13"/>
      <c r="BM59" s="13"/>
      <c r="BN59" s="13"/>
    </row>
    <row r="60" spans="1:66" x14ac:dyDescent="0.25">
      <c r="A60" s="22">
        <v>58</v>
      </c>
      <c r="B60" s="23">
        <v>1353.548369613404</v>
      </c>
      <c r="C60" s="24">
        <v>1012.7035252287545</v>
      </c>
      <c r="AH60" s="16">
        <v>1900</v>
      </c>
      <c r="AI60" s="16"/>
      <c r="AJ60" s="16"/>
      <c r="AK60" s="16">
        <v>1175</v>
      </c>
      <c r="AL60" s="16">
        <v>426</v>
      </c>
      <c r="AM60" s="16">
        <v>61</v>
      </c>
      <c r="AN60" s="16"/>
      <c r="BC60" s="13"/>
      <c r="BD60" s="13"/>
      <c r="BE60" s="13"/>
      <c r="BF60" s="13"/>
      <c r="BG60" s="13"/>
      <c r="BH60" s="13"/>
      <c r="BI60" s="13"/>
      <c r="BJ60" s="13"/>
      <c r="BK60" s="13"/>
      <c r="BL60" s="13"/>
      <c r="BM60" s="13"/>
      <c r="BN60" s="13"/>
    </row>
    <row r="61" spans="1:66" x14ac:dyDescent="0.25">
      <c r="A61" s="22">
        <v>59</v>
      </c>
      <c r="B61" s="23">
        <v>1147.8743219023154</v>
      </c>
      <c r="C61" s="24">
        <v>893.7574561920834</v>
      </c>
      <c r="AH61" s="16">
        <v>1925</v>
      </c>
      <c r="AI61" s="16"/>
      <c r="AJ61" s="16"/>
      <c r="AK61" s="16">
        <v>1175</v>
      </c>
      <c r="AL61" s="16">
        <v>423</v>
      </c>
      <c r="AM61" s="16">
        <v>50</v>
      </c>
      <c r="AN61" s="16"/>
      <c r="BC61" s="13"/>
      <c r="BD61" s="13"/>
      <c r="BE61" s="13"/>
      <c r="BF61" s="13"/>
      <c r="BG61" s="13"/>
      <c r="BH61" s="13"/>
      <c r="BI61" s="13"/>
      <c r="BJ61" s="13"/>
      <c r="BK61" s="13"/>
      <c r="BL61" s="13"/>
      <c r="BM61" s="13"/>
      <c r="BN61" s="13"/>
    </row>
    <row r="62" spans="1:66" x14ac:dyDescent="0.25">
      <c r="A62" s="22">
        <v>60</v>
      </c>
      <c r="B62" s="23">
        <v>2002.3347697988545</v>
      </c>
      <c r="C62" s="24">
        <v>824.30675726095956</v>
      </c>
      <c r="AH62" s="16">
        <v>1950</v>
      </c>
      <c r="AI62" s="16"/>
      <c r="AJ62" s="16"/>
      <c r="AK62" s="16">
        <v>1200</v>
      </c>
      <c r="AL62" s="16">
        <v>423</v>
      </c>
      <c r="AM62" s="16">
        <v>50</v>
      </c>
      <c r="AN62" s="16"/>
      <c r="BC62" s="13"/>
      <c r="BD62" s="13"/>
      <c r="BE62" s="13"/>
      <c r="BF62" s="13"/>
      <c r="BG62" s="13"/>
      <c r="BH62" s="13"/>
      <c r="BI62" s="13"/>
      <c r="BJ62" s="13"/>
      <c r="BK62" s="13"/>
      <c r="BL62" s="13"/>
      <c r="BM62" s="13"/>
      <c r="BN62" s="13"/>
    </row>
    <row r="63" spans="1:66" x14ac:dyDescent="0.25">
      <c r="A63" s="22">
        <v>61</v>
      </c>
      <c r="B63" s="23">
        <v>1141.111796181526</v>
      </c>
      <c r="C63" s="24">
        <v>619.5649654322508</v>
      </c>
      <c r="AH63" s="16">
        <v>1975</v>
      </c>
      <c r="AI63" s="16"/>
      <c r="AJ63" s="16"/>
      <c r="AK63" s="16">
        <v>1200</v>
      </c>
      <c r="AL63" s="16">
        <v>441</v>
      </c>
      <c r="AM63" s="16">
        <v>39</v>
      </c>
      <c r="AN63" s="16"/>
      <c r="BC63" s="13"/>
      <c r="BD63" s="13"/>
      <c r="BE63" s="13"/>
      <c r="BF63" s="13"/>
      <c r="BG63" s="13"/>
      <c r="BH63" s="13"/>
      <c r="BI63" s="13"/>
      <c r="BJ63" s="13"/>
      <c r="BK63" s="13"/>
      <c r="BL63" s="13"/>
      <c r="BM63" s="13"/>
      <c r="BN63" s="13"/>
    </row>
    <row r="64" spans="1:66" x14ac:dyDescent="0.25">
      <c r="A64" s="22">
        <v>62</v>
      </c>
      <c r="B64" s="23">
        <v>1264.5229311874343</v>
      </c>
      <c r="C64" s="24">
        <v>738.37027756584337</v>
      </c>
      <c r="AH64" s="16">
        <v>2000</v>
      </c>
      <c r="AI64" s="16"/>
      <c r="AJ64" s="16"/>
      <c r="AK64" s="16">
        <v>1225</v>
      </c>
      <c r="AL64" s="16">
        <v>441</v>
      </c>
      <c r="AM64" s="16">
        <v>39</v>
      </c>
      <c r="AN64" s="16"/>
      <c r="BC64" s="13"/>
      <c r="BD64" s="13"/>
      <c r="BE64" s="13"/>
      <c r="BF64" s="13"/>
      <c r="BG64" s="13"/>
      <c r="BH64" s="13"/>
      <c r="BI64" s="13"/>
      <c r="BJ64" s="13"/>
      <c r="BK64" s="13"/>
      <c r="BL64" s="13"/>
      <c r="BM64" s="13"/>
      <c r="BN64" s="13"/>
    </row>
    <row r="65" spans="1:66" x14ac:dyDescent="0.25">
      <c r="A65" s="22">
        <v>63</v>
      </c>
      <c r="B65" s="23">
        <v>1128.1579965656329</v>
      </c>
      <c r="C65" s="24">
        <v>729.75080544030334</v>
      </c>
      <c r="AH65" s="16">
        <v>2025</v>
      </c>
      <c r="AI65" s="16"/>
      <c r="AJ65" s="16"/>
      <c r="AK65" s="16">
        <v>1225</v>
      </c>
      <c r="AL65" s="16">
        <v>384</v>
      </c>
      <c r="AM65" s="16">
        <v>26</v>
      </c>
      <c r="AN65" s="16"/>
      <c r="BC65" s="13"/>
      <c r="BD65" s="13"/>
      <c r="BE65" s="13"/>
      <c r="BF65" s="13"/>
      <c r="BG65" s="13"/>
      <c r="BH65" s="13"/>
      <c r="BI65" s="13"/>
      <c r="BJ65" s="13"/>
      <c r="BK65" s="13"/>
      <c r="BL65" s="13"/>
      <c r="BM65" s="13"/>
      <c r="BN65" s="13"/>
    </row>
    <row r="66" spans="1:66" x14ac:dyDescent="0.25">
      <c r="A66" s="22">
        <v>64</v>
      </c>
      <c r="B66" s="23">
        <v>1314.3137550211559</v>
      </c>
      <c r="C66" s="24">
        <v>707.25813098845106</v>
      </c>
      <c r="AH66" s="16">
        <v>2050</v>
      </c>
      <c r="AI66" s="16"/>
      <c r="AJ66" s="16"/>
      <c r="AK66" s="16">
        <v>1250</v>
      </c>
      <c r="AL66" s="16">
        <v>384</v>
      </c>
      <c r="AM66" s="16">
        <v>26</v>
      </c>
      <c r="AN66" s="16"/>
      <c r="BC66" s="13"/>
      <c r="BD66" s="13"/>
      <c r="BE66" s="13"/>
      <c r="BF66" s="13"/>
      <c r="BG66" s="13"/>
      <c r="BH66" s="13"/>
      <c r="BI66" s="13"/>
      <c r="BJ66" s="13"/>
      <c r="BK66" s="13"/>
      <c r="BL66" s="13"/>
      <c r="BM66" s="13"/>
      <c r="BN66" s="13"/>
    </row>
    <row r="67" spans="1:66" x14ac:dyDescent="0.25">
      <c r="A67" s="22">
        <v>65</v>
      </c>
      <c r="B67" s="23">
        <v>1041.3074024676087</v>
      </c>
      <c r="C67" s="24">
        <v>878.0483172326899</v>
      </c>
      <c r="AH67" s="16">
        <v>2075</v>
      </c>
      <c r="AI67" s="16"/>
      <c r="AJ67" s="16"/>
      <c r="AK67" s="16">
        <v>1250</v>
      </c>
      <c r="AL67" s="16">
        <v>406</v>
      </c>
      <c r="AM67" s="16">
        <v>18</v>
      </c>
      <c r="AN67" s="16"/>
      <c r="BC67" s="13"/>
      <c r="BD67" s="13"/>
      <c r="BE67" s="13"/>
      <c r="BF67" s="13"/>
      <c r="BG67" s="13"/>
      <c r="BH67" s="13"/>
      <c r="BI67" s="13"/>
      <c r="BJ67" s="13"/>
      <c r="BK67" s="13"/>
      <c r="BL67" s="13"/>
      <c r="BM67" s="13"/>
      <c r="BN67" s="13"/>
    </row>
    <row r="68" spans="1:66" x14ac:dyDescent="0.25">
      <c r="A68" s="22">
        <v>66</v>
      </c>
      <c r="B68" s="23">
        <v>1237.7619089183827</v>
      </c>
      <c r="C68" s="24">
        <v>1084.5070642645355</v>
      </c>
      <c r="AH68" s="13">
        <v>2100</v>
      </c>
      <c r="AK68" s="13">
        <v>1275</v>
      </c>
      <c r="AL68" s="13">
        <v>406</v>
      </c>
      <c r="AM68" s="13">
        <v>18</v>
      </c>
      <c r="BC68" s="13"/>
      <c r="BD68" s="13"/>
      <c r="BE68" s="13"/>
      <c r="BF68" s="13"/>
      <c r="BG68" s="13"/>
      <c r="BH68" s="13"/>
      <c r="BI68" s="13"/>
      <c r="BJ68" s="13"/>
      <c r="BK68" s="13"/>
      <c r="BL68" s="13"/>
      <c r="BM68" s="13"/>
      <c r="BN68" s="13"/>
    </row>
    <row r="69" spans="1:66" x14ac:dyDescent="0.25">
      <c r="A69" s="22">
        <v>67</v>
      </c>
      <c r="B69" s="23">
        <v>1314.6534245894848</v>
      </c>
      <c r="C69" s="24">
        <v>655.87646673170491</v>
      </c>
      <c r="AH69" s="13">
        <v>2125</v>
      </c>
      <c r="AK69" s="13">
        <v>1275</v>
      </c>
      <c r="AL69" s="13">
        <v>437</v>
      </c>
      <c r="AM69" s="13">
        <v>9</v>
      </c>
      <c r="BC69" s="13"/>
      <c r="BD69" s="13"/>
      <c r="BE69" s="13"/>
      <c r="BF69" s="13"/>
      <c r="BG69" s="13"/>
      <c r="BH69" s="13"/>
      <c r="BI69" s="13"/>
      <c r="BJ69" s="13"/>
      <c r="BK69" s="13"/>
      <c r="BL69" s="13"/>
      <c r="BM69" s="13"/>
      <c r="BN69" s="13"/>
    </row>
    <row r="70" spans="1:66" x14ac:dyDescent="0.25">
      <c r="A70" s="22">
        <v>68</v>
      </c>
      <c r="B70" s="23">
        <v>1321.7553562040621</v>
      </c>
      <c r="C70" s="24">
        <v>840.79249033430369</v>
      </c>
      <c r="AH70" s="13">
        <v>2150</v>
      </c>
      <c r="AK70" s="13">
        <v>1300</v>
      </c>
      <c r="AL70" s="13">
        <v>437</v>
      </c>
      <c r="AM70" s="13">
        <v>9</v>
      </c>
      <c r="BC70" s="13"/>
      <c r="BD70" s="13"/>
      <c r="BE70" s="13"/>
      <c r="BF70" s="13"/>
      <c r="BG70" s="13"/>
      <c r="BH70" s="13"/>
      <c r="BI70" s="13"/>
      <c r="BJ70" s="13"/>
      <c r="BK70" s="13"/>
      <c r="BL70" s="13"/>
      <c r="BM70" s="13"/>
      <c r="BN70" s="13"/>
    </row>
    <row r="71" spans="1:66" x14ac:dyDescent="0.25">
      <c r="A71" s="22">
        <v>69</v>
      </c>
      <c r="B71" s="23">
        <v>891.50322069170261</v>
      </c>
      <c r="C71" s="24">
        <v>777.80489807266292</v>
      </c>
      <c r="AH71" s="13">
        <v>2175</v>
      </c>
      <c r="AK71" s="13">
        <v>1300</v>
      </c>
      <c r="AL71" s="13">
        <v>369</v>
      </c>
      <c r="AM71" s="13">
        <v>11</v>
      </c>
      <c r="BC71" s="13"/>
      <c r="BD71" s="13"/>
      <c r="BE71" s="13"/>
      <c r="BF71" s="13"/>
      <c r="BG71" s="13"/>
      <c r="BH71" s="13"/>
      <c r="BI71" s="13"/>
      <c r="BJ71" s="13"/>
      <c r="BK71" s="13"/>
      <c r="BL71" s="13"/>
      <c r="BM71" s="13"/>
      <c r="BN71" s="13"/>
    </row>
    <row r="72" spans="1:66" x14ac:dyDescent="0.25">
      <c r="A72" s="22">
        <v>70</v>
      </c>
      <c r="B72" s="23">
        <v>1536.6286780780836</v>
      </c>
      <c r="C72" s="24">
        <v>771.21906556367082</v>
      </c>
      <c r="AH72" s="13">
        <v>2200</v>
      </c>
      <c r="AK72" s="13">
        <v>1325</v>
      </c>
      <c r="AL72" s="13">
        <v>369</v>
      </c>
      <c r="AM72" s="13">
        <v>11</v>
      </c>
      <c r="BC72" s="13"/>
      <c r="BD72" s="13"/>
      <c r="BE72" s="13"/>
      <c r="BF72" s="13"/>
      <c r="BG72" s="13"/>
      <c r="BH72" s="13"/>
      <c r="BI72" s="13"/>
      <c r="BJ72" s="13"/>
      <c r="BK72" s="13"/>
      <c r="BL72" s="13"/>
      <c r="BM72" s="13"/>
      <c r="BN72" s="13"/>
    </row>
    <row r="73" spans="1:66" x14ac:dyDescent="0.25">
      <c r="A73" s="22">
        <v>71</v>
      </c>
      <c r="B73" s="23">
        <v>1011.2928189308114</v>
      </c>
      <c r="C73" s="24">
        <v>647.99842645922763</v>
      </c>
      <c r="AH73" s="13">
        <v>2225</v>
      </c>
      <c r="AK73" s="13">
        <v>1325</v>
      </c>
      <c r="AL73" s="13">
        <v>395</v>
      </c>
      <c r="AM73" s="13">
        <v>8</v>
      </c>
      <c r="BC73" s="13"/>
      <c r="BD73" s="13"/>
      <c r="BE73" s="13"/>
      <c r="BF73" s="13"/>
      <c r="BG73" s="13"/>
      <c r="BH73" s="13"/>
      <c r="BI73" s="13"/>
      <c r="BJ73" s="13"/>
      <c r="BK73" s="13"/>
      <c r="BL73" s="13"/>
      <c r="BM73" s="13"/>
      <c r="BN73" s="13"/>
    </row>
    <row r="74" spans="1:66" x14ac:dyDescent="0.25">
      <c r="A74" s="22">
        <v>72</v>
      </c>
      <c r="B74" s="23">
        <v>1081.1304924300912</v>
      </c>
      <c r="C74" s="24">
        <v>904.20088600677343</v>
      </c>
      <c r="AH74" s="13">
        <v>2250</v>
      </c>
      <c r="AK74" s="13">
        <v>1350</v>
      </c>
      <c r="AL74" s="13">
        <v>395</v>
      </c>
      <c r="AM74" s="13">
        <v>8</v>
      </c>
      <c r="BC74" s="13"/>
      <c r="BD74" s="13"/>
      <c r="BE74" s="13"/>
      <c r="BF74" s="13"/>
      <c r="BG74" s="13"/>
      <c r="BH74" s="13"/>
      <c r="BI74" s="13"/>
      <c r="BJ74" s="13"/>
      <c r="BK74" s="13"/>
      <c r="BL74" s="13"/>
      <c r="BM74" s="13"/>
      <c r="BN74" s="13"/>
    </row>
    <row r="75" spans="1:66" x14ac:dyDescent="0.25">
      <c r="A75" s="22">
        <v>73</v>
      </c>
      <c r="B75" s="23">
        <v>978.81306545477241</v>
      </c>
      <c r="C75" s="24">
        <v>993.88338858594</v>
      </c>
      <c r="AH75" s="13">
        <v>2275</v>
      </c>
      <c r="AK75" s="13">
        <v>1350</v>
      </c>
      <c r="AL75" s="13">
        <v>350</v>
      </c>
      <c r="AM75" s="13">
        <v>6</v>
      </c>
      <c r="BC75" s="13"/>
      <c r="BD75" s="13"/>
      <c r="BE75" s="13"/>
      <c r="BF75" s="13"/>
      <c r="BG75" s="13"/>
      <c r="BH75" s="13"/>
      <c r="BI75" s="13"/>
      <c r="BJ75" s="13"/>
      <c r="BK75" s="13"/>
      <c r="BL75" s="13"/>
      <c r="BM75" s="13"/>
      <c r="BN75" s="13"/>
    </row>
    <row r="76" spans="1:66" x14ac:dyDescent="0.25">
      <c r="A76" s="22">
        <v>74</v>
      </c>
      <c r="B76" s="23">
        <v>1133.0153183420111</v>
      </c>
      <c r="C76" s="24">
        <v>717.40957209277781</v>
      </c>
      <c r="AH76" s="13">
        <v>2300</v>
      </c>
      <c r="AK76" s="13">
        <v>1375</v>
      </c>
      <c r="AL76" s="13">
        <v>350</v>
      </c>
      <c r="AM76" s="13">
        <v>6</v>
      </c>
      <c r="BC76" s="13"/>
      <c r="BD76" s="13"/>
      <c r="BE76" s="13"/>
      <c r="BF76" s="13"/>
      <c r="BG76" s="13"/>
      <c r="BH76" s="13"/>
      <c r="BI76" s="13"/>
      <c r="BJ76" s="13"/>
      <c r="BK76" s="13"/>
      <c r="BL76" s="13"/>
      <c r="BM76" s="13"/>
      <c r="BN76" s="13"/>
    </row>
    <row r="77" spans="1:66" x14ac:dyDescent="0.25">
      <c r="A77" s="22">
        <v>75</v>
      </c>
      <c r="B77" s="23">
        <v>984.43869510992988</v>
      </c>
      <c r="C77" s="24">
        <v>766.80768129157332</v>
      </c>
      <c r="AH77" s="13">
        <v>2325</v>
      </c>
      <c r="AK77" s="13">
        <v>1375</v>
      </c>
      <c r="AL77" s="13">
        <v>311</v>
      </c>
      <c r="AM77" s="13">
        <v>0</v>
      </c>
      <c r="BC77" s="13"/>
      <c r="BD77" s="13"/>
      <c r="BE77" s="13"/>
      <c r="BF77" s="13"/>
      <c r="BG77" s="13"/>
      <c r="BH77" s="13"/>
      <c r="BI77" s="13"/>
      <c r="BJ77" s="13"/>
      <c r="BK77" s="13"/>
      <c r="BL77" s="13"/>
      <c r="BM77" s="13"/>
      <c r="BN77" s="13"/>
    </row>
    <row r="78" spans="1:66" x14ac:dyDescent="0.25">
      <c r="A78" s="22">
        <v>76</v>
      </c>
      <c r="B78" s="23">
        <v>1443.0008590601237</v>
      </c>
      <c r="C78" s="24">
        <v>1024.4150845546574</v>
      </c>
      <c r="AH78" s="13">
        <v>2350</v>
      </c>
      <c r="AK78" s="13">
        <v>1400</v>
      </c>
      <c r="AL78" s="13">
        <v>311</v>
      </c>
      <c r="AM78" s="13">
        <v>0</v>
      </c>
      <c r="BC78" s="13"/>
      <c r="BD78" s="13"/>
      <c r="BE78" s="13"/>
      <c r="BF78" s="13"/>
      <c r="BG78" s="13"/>
      <c r="BH78" s="13"/>
      <c r="BI78" s="13"/>
      <c r="BJ78" s="13"/>
      <c r="BK78" s="13"/>
      <c r="BL78" s="13"/>
      <c r="BM78" s="13"/>
      <c r="BN78" s="13"/>
    </row>
    <row r="79" spans="1:66" x14ac:dyDescent="0.25">
      <c r="A79" s="22">
        <v>77</v>
      </c>
      <c r="B79" s="23">
        <v>972.53344355975241</v>
      </c>
      <c r="C79" s="24">
        <v>621.15335539349167</v>
      </c>
      <c r="AH79" s="13">
        <v>2375</v>
      </c>
      <c r="AK79" s="13">
        <v>1400</v>
      </c>
      <c r="AL79" s="13">
        <v>306</v>
      </c>
      <c r="AM79" s="13">
        <v>0</v>
      </c>
      <c r="BC79" s="13"/>
      <c r="BD79" s="13"/>
      <c r="BE79" s="13"/>
      <c r="BF79" s="13"/>
      <c r="BG79" s="13"/>
      <c r="BH79" s="13"/>
      <c r="BI79" s="13"/>
      <c r="BJ79" s="13"/>
      <c r="BK79" s="13"/>
      <c r="BL79" s="13"/>
      <c r="BM79" s="13"/>
      <c r="BN79" s="13"/>
    </row>
    <row r="80" spans="1:66" x14ac:dyDescent="0.25">
      <c r="A80" s="22">
        <v>78</v>
      </c>
      <c r="B80" s="23">
        <v>1061.8608600273587</v>
      </c>
      <c r="C80" s="24">
        <v>1023.928664650456</v>
      </c>
      <c r="AH80" s="13">
        <v>2400</v>
      </c>
      <c r="AK80" s="13">
        <v>1425</v>
      </c>
      <c r="AL80" s="13">
        <v>306</v>
      </c>
      <c r="AM80" s="13">
        <v>0</v>
      </c>
      <c r="BC80" s="13"/>
      <c r="BD80" s="13"/>
      <c r="BE80" s="13"/>
      <c r="BF80" s="13"/>
      <c r="BG80" s="13"/>
      <c r="BH80" s="13"/>
      <c r="BI80" s="13"/>
      <c r="BJ80" s="13"/>
      <c r="BK80" s="13"/>
      <c r="BL80" s="13"/>
      <c r="BM80" s="13"/>
      <c r="BN80" s="13"/>
    </row>
    <row r="81" spans="1:66" x14ac:dyDescent="0.25">
      <c r="A81" s="22">
        <v>79</v>
      </c>
      <c r="B81" s="23">
        <v>1120.3258270674394</v>
      </c>
      <c r="C81" s="24">
        <v>829.6844180781668</v>
      </c>
      <c r="AK81" s="13">
        <v>1425</v>
      </c>
      <c r="AL81" s="13">
        <v>255</v>
      </c>
      <c r="AM81" s="13">
        <v>1</v>
      </c>
      <c r="BC81" s="13"/>
      <c r="BD81" s="13"/>
      <c r="BE81" s="13"/>
      <c r="BF81" s="13"/>
      <c r="BG81" s="13"/>
      <c r="BH81" s="13"/>
      <c r="BI81" s="13"/>
      <c r="BJ81" s="13"/>
      <c r="BK81" s="13"/>
      <c r="BL81" s="13"/>
      <c r="BM81" s="13"/>
      <c r="BN81" s="13"/>
    </row>
    <row r="82" spans="1:66" x14ac:dyDescent="0.25">
      <c r="A82" s="22">
        <v>80</v>
      </c>
      <c r="B82" s="23">
        <v>1288.5845580038254</v>
      </c>
      <c r="C82" s="24">
        <v>737.03290605928191</v>
      </c>
      <c r="AK82" s="13">
        <v>1450</v>
      </c>
      <c r="AL82" s="13">
        <v>255</v>
      </c>
      <c r="AM82" s="13">
        <v>1</v>
      </c>
      <c r="BC82" s="13"/>
      <c r="BD82" s="13"/>
      <c r="BE82" s="13"/>
      <c r="BF82" s="13"/>
      <c r="BG82" s="13"/>
      <c r="BH82" s="13"/>
      <c r="BI82" s="13"/>
      <c r="BJ82" s="13"/>
      <c r="BK82" s="13"/>
      <c r="BL82" s="13"/>
      <c r="BM82" s="13"/>
      <c r="BN82" s="13"/>
    </row>
    <row r="83" spans="1:66" x14ac:dyDescent="0.25">
      <c r="A83" s="22">
        <v>81</v>
      </c>
      <c r="B83" s="23">
        <v>1094.4096241788138</v>
      </c>
      <c r="C83" s="24">
        <v>719.97238709413045</v>
      </c>
      <c r="AK83" s="13">
        <v>1450</v>
      </c>
      <c r="AL83" s="13">
        <v>247</v>
      </c>
      <c r="AM83" s="13">
        <v>0</v>
      </c>
      <c r="BC83" s="13"/>
      <c r="BD83" s="13"/>
      <c r="BE83" s="13"/>
      <c r="BF83" s="13"/>
      <c r="BG83" s="13"/>
      <c r="BH83" s="13"/>
      <c r="BI83" s="13"/>
      <c r="BJ83" s="13"/>
      <c r="BK83" s="13"/>
      <c r="BL83" s="13"/>
      <c r="BM83" s="13"/>
      <c r="BN83" s="13"/>
    </row>
    <row r="84" spans="1:66" x14ac:dyDescent="0.25">
      <c r="A84" s="22">
        <v>82</v>
      </c>
      <c r="B84" s="23">
        <v>1293.7780357249815</v>
      </c>
      <c r="C84" s="24">
        <v>605.15482689325495</v>
      </c>
      <c r="AK84" s="13">
        <v>1475</v>
      </c>
      <c r="AL84" s="13">
        <v>247</v>
      </c>
      <c r="AM84" s="13">
        <v>0</v>
      </c>
      <c r="BC84" s="13"/>
      <c r="BD84" s="13"/>
      <c r="BE84" s="13"/>
      <c r="BF84" s="13"/>
      <c r="BG84" s="13"/>
      <c r="BH84" s="13"/>
      <c r="BI84" s="13"/>
      <c r="BJ84" s="13"/>
      <c r="BK84" s="13"/>
      <c r="BL84" s="13"/>
      <c r="BM84" s="13"/>
      <c r="BN84" s="13"/>
    </row>
    <row r="85" spans="1:66" x14ac:dyDescent="0.25">
      <c r="A85" s="22">
        <v>83</v>
      </c>
      <c r="B85" s="23">
        <v>1464.6558430465082</v>
      </c>
      <c r="C85" s="24">
        <v>784.37097576775705</v>
      </c>
      <c r="AK85" s="13">
        <v>1475</v>
      </c>
      <c r="AL85" s="13">
        <v>197</v>
      </c>
      <c r="AM85" s="13">
        <v>1</v>
      </c>
      <c r="BC85" s="13"/>
      <c r="BD85" s="13"/>
      <c r="BE85" s="13"/>
      <c r="BF85" s="13"/>
      <c r="BG85" s="13"/>
      <c r="BH85" s="13"/>
      <c r="BI85" s="13"/>
      <c r="BJ85" s="13"/>
      <c r="BK85" s="13"/>
      <c r="BL85" s="13"/>
      <c r="BM85" s="13"/>
      <c r="BN85" s="13"/>
    </row>
    <row r="86" spans="1:66" x14ac:dyDescent="0.25">
      <c r="A86" s="22">
        <v>84</v>
      </c>
      <c r="B86" s="23">
        <v>791.47132466116796</v>
      </c>
      <c r="C86" s="24">
        <v>744.94854857847918</v>
      </c>
      <c r="AK86" s="13">
        <v>1500</v>
      </c>
      <c r="AL86" s="13">
        <v>197</v>
      </c>
      <c r="AM86" s="13">
        <v>1</v>
      </c>
      <c r="BC86" s="13"/>
      <c r="BD86" s="13"/>
      <c r="BE86" s="13"/>
      <c r="BF86" s="13"/>
      <c r="BG86" s="13"/>
      <c r="BH86" s="13"/>
      <c r="BI86" s="13"/>
      <c r="BJ86" s="13"/>
      <c r="BK86" s="13"/>
      <c r="BL86" s="13"/>
      <c r="BM86" s="13"/>
      <c r="BN86" s="13"/>
    </row>
    <row r="87" spans="1:66" x14ac:dyDescent="0.25">
      <c r="A87" s="22">
        <v>85</v>
      </c>
      <c r="B87" s="23">
        <v>1362.0048775566347</v>
      </c>
      <c r="C87" s="24">
        <v>560.43497643346836</v>
      </c>
      <c r="AK87" s="13">
        <v>1500</v>
      </c>
      <c r="AL87" s="13">
        <v>195</v>
      </c>
      <c r="AM87" s="13">
        <v>1</v>
      </c>
      <c r="BC87" s="13"/>
      <c r="BD87" s="13"/>
      <c r="BE87" s="13"/>
      <c r="BF87" s="13"/>
      <c r="BG87" s="13"/>
      <c r="BH87" s="13"/>
      <c r="BI87" s="13"/>
      <c r="BJ87" s="13"/>
      <c r="BK87" s="13"/>
      <c r="BL87" s="13"/>
      <c r="BM87" s="13"/>
      <c r="BN87" s="13"/>
    </row>
    <row r="88" spans="1:66" x14ac:dyDescent="0.25">
      <c r="A88" s="22">
        <v>86</v>
      </c>
      <c r="B88" s="23">
        <v>1417.9627793696582</v>
      </c>
      <c r="C88" s="24">
        <v>987.7147284279456</v>
      </c>
      <c r="AK88" s="13">
        <v>1525</v>
      </c>
      <c r="AL88" s="13">
        <v>195</v>
      </c>
      <c r="AM88" s="13">
        <v>1</v>
      </c>
      <c r="BC88" s="13"/>
      <c r="BD88" s="13"/>
      <c r="BE88" s="13"/>
      <c r="BF88" s="13"/>
      <c r="BG88" s="13"/>
      <c r="BH88" s="13"/>
      <c r="BI88" s="13"/>
      <c r="BJ88" s="13"/>
      <c r="BK88" s="13"/>
      <c r="BL88" s="13"/>
      <c r="BM88" s="13"/>
      <c r="BN88" s="13"/>
    </row>
    <row r="89" spans="1:66" x14ac:dyDescent="0.25">
      <c r="A89" s="22">
        <v>87</v>
      </c>
      <c r="B89" s="23">
        <v>1304.0488407672001</v>
      </c>
      <c r="C89" s="24">
        <v>807.04387281611082</v>
      </c>
      <c r="AK89" s="13">
        <v>1525</v>
      </c>
      <c r="AL89" s="13">
        <v>162</v>
      </c>
      <c r="AM89" s="13">
        <v>1</v>
      </c>
      <c r="BC89" s="13"/>
      <c r="BD89" s="13"/>
      <c r="BE89" s="13"/>
      <c r="BF89" s="13"/>
      <c r="BG89" s="13"/>
      <c r="BH89" s="13"/>
      <c r="BI89" s="13"/>
      <c r="BJ89" s="13"/>
      <c r="BK89" s="13"/>
      <c r="BL89" s="13"/>
      <c r="BM89" s="13"/>
      <c r="BN89" s="13"/>
    </row>
    <row r="90" spans="1:66" x14ac:dyDescent="0.25">
      <c r="A90" s="22">
        <v>88</v>
      </c>
      <c r="B90" s="23">
        <v>1262.7206308925277</v>
      </c>
      <c r="C90" s="24">
        <v>622.42747953726962</v>
      </c>
      <c r="AK90" s="13">
        <v>1550</v>
      </c>
      <c r="AL90" s="13">
        <v>162</v>
      </c>
      <c r="AM90" s="13">
        <v>1</v>
      </c>
      <c r="BC90" s="13"/>
      <c r="BD90" s="13"/>
      <c r="BE90" s="13"/>
      <c r="BF90" s="13"/>
      <c r="BG90" s="13"/>
      <c r="BH90" s="13"/>
      <c r="BI90" s="13"/>
      <c r="BJ90" s="13"/>
      <c r="BK90" s="13"/>
      <c r="BL90" s="13"/>
      <c r="BM90" s="13"/>
      <c r="BN90" s="13"/>
    </row>
    <row r="91" spans="1:66" x14ac:dyDescent="0.25">
      <c r="A91" s="22">
        <v>89</v>
      </c>
      <c r="B91" s="23">
        <v>1587.4306786257425</v>
      </c>
      <c r="C91" s="24">
        <v>965.5831319902245</v>
      </c>
      <c r="AK91" s="13">
        <v>1550</v>
      </c>
      <c r="AL91" s="13">
        <v>139</v>
      </c>
      <c r="AM91" s="13">
        <v>0</v>
      </c>
      <c r="BC91" s="13"/>
      <c r="BD91" s="13"/>
      <c r="BE91" s="13"/>
      <c r="BF91" s="13"/>
      <c r="BG91" s="13"/>
      <c r="BH91" s="13"/>
      <c r="BI91" s="13"/>
      <c r="BJ91" s="13"/>
      <c r="BK91" s="13"/>
      <c r="BL91" s="13"/>
      <c r="BM91" s="13"/>
      <c r="BN91" s="13"/>
    </row>
    <row r="92" spans="1:66" x14ac:dyDescent="0.25">
      <c r="A92" s="22">
        <v>90</v>
      </c>
      <c r="B92" s="23">
        <v>1224.117334192704</v>
      </c>
      <c r="C92" s="24">
        <v>740.13634568308737</v>
      </c>
      <c r="AK92" s="13">
        <v>1575</v>
      </c>
      <c r="AL92" s="13">
        <v>139</v>
      </c>
      <c r="BC92" s="13"/>
      <c r="BD92" s="13"/>
      <c r="BE92" s="13"/>
      <c r="BF92" s="13"/>
      <c r="BG92" s="13"/>
      <c r="BH92" s="13"/>
      <c r="BI92" s="13"/>
      <c r="BJ92" s="13"/>
      <c r="BK92" s="13"/>
      <c r="BL92" s="13"/>
      <c r="BM92" s="13"/>
      <c r="BN92" s="13"/>
    </row>
    <row r="93" spans="1:66" x14ac:dyDescent="0.25">
      <c r="A93" s="22">
        <v>91</v>
      </c>
      <c r="B93" s="23">
        <v>1431.8593181959552</v>
      </c>
      <c r="C93" s="24">
        <v>964.84983138629309</v>
      </c>
      <c r="AK93" s="13">
        <v>1575</v>
      </c>
      <c r="AL93" s="13">
        <v>120</v>
      </c>
      <c r="BC93" s="13"/>
      <c r="BD93" s="13"/>
      <c r="BE93" s="13"/>
      <c r="BF93" s="13"/>
      <c r="BG93" s="13"/>
      <c r="BH93" s="13"/>
      <c r="BI93" s="13"/>
      <c r="BJ93" s="13"/>
      <c r="BK93" s="13"/>
      <c r="BL93" s="13"/>
      <c r="BM93" s="13"/>
      <c r="BN93" s="13"/>
    </row>
    <row r="94" spans="1:66" x14ac:dyDescent="0.25">
      <c r="A94" s="22">
        <v>92</v>
      </c>
      <c r="B94" s="23">
        <v>1408.4589887232769</v>
      </c>
      <c r="C94" s="24">
        <v>868.88115202428946</v>
      </c>
      <c r="AK94" s="13">
        <v>1600</v>
      </c>
      <c r="AL94" s="13">
        <v>120</v>
      </c>
      <c r="BC94" s="13"/>
      <c r="BD94" s="13"/>
      <c r="BE94" s="13"/>
      <c r="BF94" s="13"/>
      <c r="BG94" s="13"/>
      <c r="BH94" s="13"/>
      <c r="BI94" s="13"/>
      <c r="BJ94" s="13"/>
      <c r="BK94" s="13"/>
      <c r="BL94" s="13"/>
      <c r="BM94" s="13"/>
      <c r="BN94" s="13"/>
    </row>
    <row r="95" spans="1:66" x14ac:dyDescent="0.25">
      <c r="A95" s="22">
        <v>93</v>
      </c>
      <c r="B95" s="23">
        <v>1739.8670146687105</v>
      </c>
      <c r="C95" s="24">
        <v>851.94035749155137</v>
      </c>
      <c r="AK95" s="13">
        <v>1600</v>
      </c>
      <c r="AL95" s="13">
        <v>123</v>
      </c>
      <c r="BC95" s="13"/>
      <c r="BD95" s="13"/>
      <c r="BE95" s="13"/>
      <c r="BF95" s="13"/>
      <c r="BG95" s="13"/>
      <c r="BH95" s="13"/>
      <c r="BI95" s="13"/>
      <c r="BJ95" s="13"/>
      <c r="BK95" s="13"/>
      <c r="BL95" s="13"/>
      <c r="BM95" s="13"/>
      <c r="BN95" s="13"/>
    </row>
    <row r="96" spans="1:66" x14ac:dyDescent="0.25">
      <c r="A96" s="22">
        <v>94</v>
      </c>
      <c r="B96" s="23">
        <v>1688.5993743715794</v>
      </c>
      <c r="C96" s="24">
        <v>836.71499502739653</v>
      </c>
      <c r="AK96" s="13">
        <v>1625</v>
      </c>
      <c r="AL96" s="13">
        <v>123</v>
      </c>
      <c r="BC96" s="13"/>
      <c r="BD96" s="13"/>
      <c r="BE96" s="13"/>
      <c r="BF96" s="13"/>
      <c r="BG96" s="13"/>
      <c r="BH96" s="13"/>
      <c r="BI96" s="13"/>
      <c r="BJ96" s="13"/>
      <c r="BK96" s="13"/>
      <c r="BL96" s="13"/>
      <c r="BM96" s="13"/>
      <c r="BN96" s="13"/>
    </row>
    <row r="97" spans="1:66" x14ac:dyDescent="0.25">
      <c r="A97" s="22">
        <v>95</v>
      </c>
      <c r="B97" s="23">
        <v>851.69994179626894</v>
      </c>
      <c r="C97" s="24">
        <v>831.06377278789557</v>
      </c>
      <c r="AK97" s="13">
        <v>1625</v>
      </c>
      <c r="AL97" s="13">
        <v>85</v>
      </c>
      <c r="BC97" s="13"/>
      <c r="BD97" s="13"/>
      <c r="BE97" s="13"/>
      <c r="BF97" s="13"/>
      <c r="BG97" s="13"/>
      <c r="BH97" s="13"/>
      <c r="BI97" s="13"/>
      <c r="BJ97" s="13"/>
      <c r="BK97" s="13"/>
      <c r="BL97" s="13"/>
      <c r="BM97" s="13"/>
      <c r="BN97" s="13"/>
    </row>
    <row r="98" spans="1:66" x14ac:dyDescent="0.25">
      <c r="A98" s="22">
        <v>96</v>
      </c>
      <c r="B98" s="23">
        <v>1358.945052102534</v>
      </c>
      <c r="C98" s="24">
        <v>864.16282364177891</v>
      </c>
      <c r="AK98" s="13">
        <v>1650</v>
      </c>
      <c r="AL98" s="13">
        <v>85</v>
      </c>
      <c r="BC98" s="13"/>
      <c r="BD98" s="13"/>
      <c r="BE98" s="13"/>
      <c r="BF98" s="13"/>
      <c r="BG98" s="13"/>
      <c r="BH98" s="13"/>
      <c r="BI98" s="13"/>
      <c r="BJ98" s="13"/>
      <c r="BK98" s="13"/>
      <c r="BL98" s="13"/>
      <c r="BM98" s="13"/>
      <c r="BN98" s="13"/>
    </row>
    <row r="99" spans="1:66" x14ac:dyDescent="0.25">
      <c r="A99" s="22">
        <v>97</v>
      </c>
      <c r="B99" s="23">
        <v>986.80378410913715</v>
      </c>
      <c r="C99" s="24">
        <v>877.85068904736102</v>
      </c>
      <c r="AK99" s="13">
        <v>1650</v>
      </c>
      <c r="AL99" s="13">
        <v>89</v>
      </c>
      <c r="BC99" s="13"/>
      <c r="BD99" s="13"/>
      <c r="BE99" s="13"/>
      <c r="BF99" s="13"/>
      <c r="BG99" s="13"/>
      <c r="BH99" s="13"/>
      <c r="BI99" s="13"/>
      <c r="BJ99" s="13"/>
      <c r="BK99" s="13"/>
      <c r="BL99" s="13"/>
      <c r="BM99" s="13"/>
      <c r="BN99" s="13"/>
    </row>
    <row r="100" spans="1:66" x14ac:dyDescent="0.25">
      <c r="A100" s="22">
        <v>98</v>
      </c>
      <c r="B100" s="23">
        <v>1096.0100530930868</v>
      </c>
      <c r="C100" s="24">
        <v>920.72426161165117</v>
      </c>
      <c r="AK100" s="13">
        <v>1675</v>
      </c>
      <c r="AL100" s="13">
        <v>89</v>
      </c>
      <c r="BC100" s="13"/>
      <c r="BD100" s="13"/>
      <c r="BE100" s="13"/>
      <c r="BF100" s="13"/>
      <c r="BG100" s="13"/>
      <c r="BH100" s="13"/>
      <c r="BI100" s="13"/>
      <c r="BJ100" s="13"/>
      <c r="BK100" s="13"/>
      <c r="BL100" s="13"/>
      <c r="BM100" s="13"/>
      <c r="BN100" s="13"/>
    </row>
    <row r="101" spans="1:66" x14ac:dyDescent="0.25">
      <c r="A101" s="22">
        <v>99</v>
      </c>
      <c r="B101" s="23">
        <v>1691.8859156593551</v>
      </c>
      <c r="C101" s="24">
        <v>1148.6172719962701</v>
      </c>
      <c r="AK101" s="13">
        <v>1675</v>
      </c>
      <c r="AL101" s="13">
        <v>72</v>
      </c>
      <c r="BC101" s="13"/>
      <c r="BD101" s="13"/>
      <c r="BE101" s="13"/>
      <c r="BF101" s="13"/>
      <c r="BG101" s="13"/>
      <c r="BH101" s="13"/>
      <c r="BI101" s="13"/>
      <c r="BJ101" s="13"/>
      <c r="BK101" s="13"/>
      <c r="BL101" s="13"/>
      <c r="BM101" s="13"/>
      <c r="BN101" s="13"/>
    </row>
    <row r="102" spans="1:66" x14ac:dyDescent="0.25">
      <c r="A102" s="22">
        <v>100</v>
      </c>
      <c r="B102" s="23">
        <v>1029.3226801035962</v>
      </c>
      <c r="C102" s="24">
        <v>684.81580682889262</v>
      </c>
      <c r="AK102" s="13">
        <v>1700</v>
      </c>
      <c r="AL102" s="13">
        <v>72</v>
      </c>
      <c r="BC102" s="13"/>
      <c r="BD102" s="13"/>
      <c r="BE102" s="13"/>
      <c r="BF102" s="13"/>
      <c r="BG102" s="13"/>
      <c r="BH102" s="13"/>
      <c r="BI102" s="13"/>
      <c r="BJ102" s="13"/>
      <c r="BK102" s="13"/>
      <c r="BL102" s="13"/>
      <c r="BM102" s="13"/>
      <c r="BN102" s="13"/>
    </row>
    <row r="103" spans="1:66" x14ac:dyDescent="0.25">
      <c r="A103" s="55" t="s">
        <v>29</v>
      </c>
      <c r="AK103" s="13">
        <v>1700</v>
      </c>
      <c r="AL103" s="13">
        <v>58</v>
      </c>
    </row>
    <row r="104" spans="1:66" x14ac:dyDescent="0.25">
      <c r="AK104" s="13">
        <v>1725</v>
      </c>
      <c r="AL104" s="13">
        <v>58</v>
      </c>
    </row>
    <row r="105" spans="1:66" x14ac:dyDescent="0.25">
      <c r="AK105" s="13">
        <v>1725</v>
      </c>
      <c r="AL105" s="13">
        <v>57</v>
      </c>
    </row>
    <row r="106" spans="1:66" x14ac:dyDescent="0.25">
      <c r="AK106" s="13">
        <v>1750</v>
      </c>
      <c r="AL106" s="13">
        <v>57</v>
      </c>
    </row>
    <row r="107" spans="1:66" x14ac:dyDescent="0.25">
      <c r="AK107" s="13">
        <v>1750</v>
      </c>
      <c r="AL107" s="13">
        <v>40</v>
      </c>
    </row>
    <row r="108" spans="1:66" x14ac:dyDescent="0.25">
      <c r="AK108" s="13">
        <v>1775</v>
      </c>
      <c r="AL108" s="13">
        <v>40</v>
      </c>
    </row>
    <row r="109" spans="1:66" x14ac:dyDescent="0.25">
      <c r="AK109" s="13">
        <v>1775</v>
      </c>
      <c r="AL109" s="13">
        <v>36</v>
      </c>
    </row>
    <row r="110" spans="1:66" x14ac:dyDescent="0.25">
      <c r="AK110" s="13">
        <v>1800</v>
      </c>
      <c r="AL110" s="13">
        <v>36</v>
      </c>
    </row>
    <row r="111" spans="1:66" x14ac:dyDescent="0.25">
      <c r="AK111" s="13">
        <v>1800</v>
      </c>
      <c r="AL111" s="13">
        <v>33</v>
      </c>
    </row>
    <row r="112" spans="1:66" x14ac:dyDescent="0.25">
      <c r="AK112" s="13">
        <v>1825</v>
      </c>
      <c r="AL112" s="13">
        <v>33</v>
      </c>
    </row>
    <row r="113" spans="37:38" x14ac:dyDescent="0.25">
      <c r="AK113" s="13">
        <v>1825</v>
      </c>
      <c r="AL113" s="13">
        <v>29</v>
      </c>
    </row>
    <row r="114" spans="37:38" x14ac:dyDescent="0.25">
      <c r="AK114" s="13">
        <v>1850</v>
      </c>
      <c r="AL114" s="13">
        <v>29</v>
      </c>
    </row>
    <row r="115" spans="37:38" x14ac:dyDescent="0.25">
      <c r="AK115" s="13">
        <v>1850</v>
      </c>
      <c r="AL115" s="13">
        <v>23</v>
      </c>
    </row>
    <row r="116" spans="37:38" x14ac:dyDescent="0.25">
      <c r="AK116" s="13">
        <v>1875</v>
      </c>
      <c r="AL116" s="13">
        <v>23</v>
      </c>
    </row>
    <row r="117" spans="37:38" x14ac:dyDescent="0.25">
      <c r="AK117" s="13">
        <v>1875</v>
      </c>
      <c r="AL117" s="13">
        <v>18</v>
      </c>
    </row>
    <row r="118" spans="37:38" x14ac:dyDescent="0.25">
      <c r="AK118" s="13">
        <v>1900</v>
      </c>
      <c r="AL118" s="13">
        <v>18</v>
      </c>
    </row>
    <row r="119" spans="37:38" x14ac:dyDescent="0.25">
      <c r="AK119" s="13">
        <v>1900</v>
      </c>
      <c r="AL119" s="13">
        <v>18</v>
      </c>
    </row>
    <row r="120" spans="37:38" x14ac:dyDescent="0.25">
      <c r="AK120" s="13">
        <v>1925</v>
      </c>
      <c r="AL120" s="13">
        <v>18</v>
      </c>
    </row>
    <row r="121" spans="37:38" x14ac:dyDescent="0.25">
      <c r="AK121" s="13">
        <v>1925</v>
      </c>
      <c r="AL121" s="13">
        <v>9</v>
      </c>
    </row>
    <row r="122" spans="37:38" x14ac:dyDescent="0.25">
      <c r="AK122" s="13">
        <v>1950</v>
      </c>
      <c r="AL122" s="13">
        <v>9</v>
      </c>
    </row>
    <row r="123" spans="37:38" x14ac:dyDescent="0.25">
      <c r="AK123" s="13">
        <v>1950</v>
      </c>
      <c r="AL123" s="13">
        <v>12</v>
      </c>
    </row>
    <row r="124" spans="37:38" x14ac:dyDescent="0.25">
      <c r="AK124" s="13">
        <v>1975</v>
      </c>
      <c r="AL124" s="13">
        <v>12</v>
      </c>
    </row>
    <row r="125" spans="37:38" x14ac:dyDescent="0.25">
      <c r="AK125" s="13">
        <v>1975</v>
      </c>
      <c r="AL125" s="13">
        <v>5</v>
      </c>
    </row>
    <row r="126" spans="37:38" x14ac:dyDescent="0.25">
      <c r="AK126" s="13">
        <v>2000</v>
      </c>
      <c r="AL126" s="13">
        <v>5</v>
      </c>
    </row>
    <row r="127" spans="37:38" x14ac:dyDescent="0.25">
      <c r="AK127" s="13">
        <v>2000</v>
      </c>
      <c r="AL127" s="13">
        <v>5</v>
      </c>
    </row>
    <row r="128" spans="37:38" x14ac:dyDescent="0.25">
      <c r="AK128" s="13">
        <v>2025</v>
      </c>
      <c r="AL128" s="13">
        <v>5</v>
      </c>
    </row>
    <row r="129" spans="37:38" x14ac:dyDescent="0.25">
      <c r="AK129" s="13">
        <v>2025</v>
      </c>
      <c r="AL129" s="13">
        <v>7</v>
      </c>
    </row>
    <row r="130" spans="37:38" x14ac:dyDescent="0.25">
      <c r="AK130" s="13">
        <v>2050</v>
      </c>
      <c r="AL130" s="13">
        <v>7</v>
      </c>
    </row>
    <row r="131" spans="37:38" x14ac:dyDescent="0.25">
      <c r="AK131" s="13">
        <v>2050</v>
      </c>
      <c r="AL131" s="13">
        <v>2</v>
      </c>
    </row>
    <row r="132" spans="37:38" x14ac:dyDescent="0.25">
      <c r="AK132" s="13">
        <v>2075</v>
      </c>
      <c r="AL132" s="13">
        <v>2</v>
      </c>
    </row>
    <row r="133" spans="37:38" x14ac:dyDescent="0.25">
      <c r="AK133" s="13">
        <v>2075</v>
      </c>
      <c r="AL133" s="13">
        <v>3</v>
      </c>
    </row>
    <row r="134" spans="37:38" x14ac:dyDescent="0.25">
      <c r="AK134" s="13">
        <v>2100</v>
      </c>
      <c r="AL134" s="13">
        <v>3</v>
      </c>
    </row>
    <row r="135" spans="37:38" x14ac:dyDescent="0.25">
      <c r="AK135" s="13">
        <v>2100</v>
      </c>
      <c r="AL135" s="13">
        <v>1</v>
      </c>
    </row>
    <row r="136" spans="37:38" x14ac:dyDescent="0.25">
      <c r="AK136" s="13">
        <v>2125</v>
      </c>
      <c r="AL136" s="13">
        <v>1</v>
      </c>
    </row>
    <row r="137" spans="37:38" x14ac:dyDescent="0.25">
      <c r="AK137" s="13">
        <v>2125</v>
      </c>
      <c r="AL137" s="13">
        <v>0</v>
      </c>
    </row>
    <row r="138" spans="37:38" x14ac:dyDescent="0.25">
      <c r="AK138" s="13">
        <v>2150</v>
      </c>
      <c r="AL138" s="13">
        <v>0</v>
      </c>
    </row>
    <row r="139" spans="37:38" x14ac:dyDescent="0.25">
      <c r="AK139" s="13">
        <v>2150</v>
      </c>
      <c r="AL139" s="13">
        <v>0</v>
      </c>
    </row>
    <row r="140" spans="37:38" x14ac:dyDescent="0.25">
      <c r="AK140" s="13">
        <v>2175</v>
      </c>
      <c r="AL140" s="13">
        <v>0</v>
      </c>
    </row>
    <row r="141" spans="37:38" x14ac:dyDescent="0.25">
      <c r="AK141" s="13">
        <v>2175</v>
      </c>
      <c r="AL141" s="13">
        <v>1</v>
      </c>
    </row>
    <row r="142" spans="37:38" x14ac:dyDescent="0.25">
      <c r="AK142" s="13">
        <v>2200</v>
      </c>
      <c r="AL142" s="13">
        <v>1</v>
      </c>
    </row>
    <row r="143" spans="37:38" x14ac:dyDescent="0.25">
      <c r="AK143" s="13">
        <v>2200</v>
      </c>
      <c r="AL143" s="13">
        <v>1</v>
      </c>
    </row>
    <row r="144" spans="37:38" x14ac:dyDescent="0.25">
      <c r="AK144" s="13">
        <v>2225</v>
      </c>
      <c r="AL144" s="13">
        <v>1</v>
      </c>
    </row>
    <row r="145" spans="37:38" x14ac:dyDescent="0.25">
      <c r="AK145" s="13">
        <v>2225</v>
      </c>
      <c r="AL145" s="13">
        <v>0</v>
      </c>
    </row>
    <row r="146" spans="37:38" x14ac:dyDescent="0.25">
      <c r="AK146" s="13">
        <v>2250</v>
      </c>
      <c r="AL146" s="13">
        <v>0</v>
      </c>
    </row>
    <row r="147" spans="37:38" x14ac:dyDescent="0.25">
      <c r="AK147" s="13">
        <v>2250</v>
      </c>
      <c r="AL147" s="13">
        <v>0</v>
      </c>
    </row>
    <row r="148" spans="37:38" x14ac:dyDescent="0.25">
      <c r="AK148" s="13">
        <v>2275</v>
      </c>
      <c r="AL148" s="13">
        <v>0</v>
      </c>
    </row>
    <row r="149" spans="37:38" x14ac:dyDescent="0.25">
      <c r="AK149" s="13">
        <v>2275</v>
      </c>
      <c r="AL149" s="13">
        <v>0</v>
      </c>
    </row>
    <row r="150" spans="37:38" x14ac:dyDescent="0.25">
      <c r="AK150" s="13">
        <v>2300</v>
      </c>
      <c r="AL150" s="13">
        <v>0</v>
      </c>
    </row>
    <row r="151" spans="37:38" x14ac:dyDescent="0.25">
      <c r="AK151" s="13">
        <v>2300</v>
      </c>
      <c r="AL151" s="13">
        <v>0</v>
      </c>
    </row>
    <row r="152" spans="37:38" x14ac:dyDescent="0.25">
      <c r="AK152" s="13">
        <v>2325</v>
      </c>
      <c r="AL152" s="13">
        <v>0</v>
      </c>
    </row>
    <row r="153" spans="37:38" x14ac:dyDescent="0.25">
      <c r="AK153" s="13">
        <v>2325</v>
      </c>
      <c r="AL153" s="13">
        <v>1</v>
      </c>
    </row>
    <row r="154" spans="37:38" x14ac:dyDescent="0.25">
      <c r="AK154" s="13">
        <v>2350</v>
      </c>
      <c r="AL154" s="13">
        <v>1</v>
      </c>
    </row>
    <row r="155" spans="37:38" x14ac:dyDescent="0.25">
      <c r="AK155" s="13">
        <v>2350</v>
      </c>
      <c r="AL155" s="13">
        <v>0</v>
      </c>
    </row>
    <row r="156" spans="37:38" x14ac:dyDescent="0.25">
      <c r="AK156" s="13">
        <v>2375</v>
      </c>
      <c r="AL156" s="13">
        <v>0</v>
      </c>
    </row>
    <row r="157" spans="37:38" x14ac:dyDescent="0.25">
      <c r="AK157" s="13">
        <v>2375</v>
      </c>
      <c r="AL157" s="13">
        <v>1</v>
      </c>
    </row>
    <row r="158" spans="37:38" x14ac:dyDescent="0.25">
      <c r="AK158" s="13">
        <v>2400</v>
      </c>
      <c r="AL158" s="13">
        <v>1</v>
      </c>
    </row>
    <row r="159" spans="37:38" x14ac:dyDescent="0.25">
      <c r="AK159" s="13">
        <v>2400</v>
      </c>
      <c r="AL159" s="13">
        <v>0</v>
      </c>
    </row>
  </sheetData>
  <dataConsolidate/>
  <mergeCells count="4">
    <mergeCell ref="F2:G2"/>
    <mergeCell ref="I4:J4"/>
    <mergeCell ref="K4:L4"/>
    <mergeCell ref="M4:N4"/>
  </mergeCells>
  <pageMargins left="0.75" right="0.75" top="1" bottom="1" header="0.5" footer="0.5"/>
  <pageSetup orientation="portrait" horizontalDpi="200" verticalDpi="200"/>
  <headerFooter alignWithMargins="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BN819"/>
  <sheetViews>
    <sheetView showGridLines="0" workbookViewId="0">
      <selection activeCell="F16" sqref="F16"/>
    </sheetView>
  </sheetViews>
  <sheetFormatPr defaultRowHeight="15.75" x14ac:dyDescent="0.25"/>
  <cols>
    <col min="1" max="1" width="8" style="22" customWidth="1"/>
    <col min="2" max="2" width="10.625" style="11" customWidth="1"/>
    <col min="3" max="3" width="10.625" style="12" customWidth="1"/>
    <col min="4" max="4" width="7.625" style="13" customWidth="1"/>
    <col min="5" max="5" width="7.625" style="14" customWidth="1"/>
    <col min="6" max="6" width="11.625" style="15" customWidth="1"/>
    <col min="7" max="7" width="9" style="14"/>
    <col min="8" max="8" width="6.625" style="14" customWidth="1"/>
    <col min="9" max="14" width="10.125" style="14" customWidth="1"/>
    <col min="15" max="17" width="9" style="14"/>
    <col min="18" max="19" width="9" style="13"/>
    <col min="20" max="20" width="14.25" style="13" customWidth="1"/>
    <col min="21" max="22" width="11.25" style="13" customWidth="1"/>
    <col min="23" max="54" width="9" style="13"/>
    <col min="55" max="256" width="9" style="14"/>
    <col min="257" max="257" width="8" style="14" customWidth="1"/>
    <col min="258" max="259" width="10.625" style="14" customWidth="1"/>
    <col min="260" max="261" width="7.625" style="14" customWidth="1"/>
    <col min="262" max="262" width="11.625" style="14" customWidth="1"/>
    <col min="263" max="263" width="9" style="14"/>
    <col min="264" max="264" width="6.625" style="14" customWidth="1"/>
    <col min="265" max="270" width="10.125" style="14" customWidth="1"/>
    <col min="271" max="275" width="9" style="14"/>
    <col min="276" max="276" width="14.25" style="14" customWidth="1"/>
    <col min="277" max="278" width="11.25" style="14" customWidth="1"/>
    <col min="279" max="512" width="9" style="14"/>
    <col min="513" max="513" width="8" style="14" customWidth="1"/>
    <col min="514" max="515" width="10.625" style="14" customWidth="1"/>
    <col min="516" max="517" width="7.625" style="14" customWidth="1"/>
    <col min="518" max="518" width="11.625" style="14" customWidth="1"/>
    <col min="519" max="519" width="9" style="14"/>
    <col min="520" max="520" width="6.625" style="14" customWidth="1"/>
    <col min="521" max="526" width="10.125" style="14" customWidth="1"/>
    <col min="527" max="531" width="9" style="14"/>
    <col min="532" max="532" width="14.25" style="14" customWidth="1"/>
    <col min="533" max="534" width="11.25" style="14" customWidth="1"/>
    <col min="535" max="768" width="9" style="14"/>
    <col min="769" max="769" width="8" style="14" customWidth="1"/>
    <col min="770" max="771" width="10.625" style="14" customWidth="1"/>
    <col min="772" max="773" width="7.625" style="14" customWidth="1"/>
    <col min="774" max="774" width="11.625" style="14" customWidth="1"/>
    <col min="775" max="775" width="9" style="14"/>
    <col min="776" max="776" width="6.625" style="14" customWidth="1"/>
    <col min="777" max="782" width="10.125" style="14" customWidth="1"/>
    <col min="783" max="787" width="9" style="14"/>
    <col min="788" max="788" width="14.25" style="14" customWidth="1"/>
    <col min="789" max="790" width="11.25" style="14" customWidth="1"/>
    <col min="791" max="1024" width="9" style="14"/>
    <col min="1025" max="1025" width="8" style="14" customWidth="1"/>
    <col min="1026" max="1027" width="10.625" style="14" customWidth="1"/>
    <col min="1028" max="1029" width="7.625" style="14" customWidth="1"/>
    <col min="1030" max="1030" width="11.625" style="14" customWidth="1"/>
    <col min="1031" max="1031" width="9" style="14"/>
    <col min="1032" max="1032" width="6.625" style="14" customWidth="1"/>
    <col min="1033" max="1038" width="10.125" style="14" customWidth="1"/>
    <col min="1039" max="1043" width="9" style="14"/>
    <col min="1044" max="1044" width="14.25" style="14" customWidth="1"/>
    <col min="1045" max="1046" width="11.25" style="14" customWidth="1"/>
    <col min="1047" max="1280" width="9" style="14"/>
    <col min="1281" max="1281" width="8" style="14" customWidth="1"/>
    <col min="1282" max="1283" width="10.625" style="14" customWidth="1"/>
    <col min="1284" max="1285" width="7.625" style="14" customWidth="1"/>
    <col min="1286" max="1286" width="11.625" style="14" customWidth="1"/>
    <col min="1287" max="1287" width="9" style="14"/>
    <col min="1288" max="1288" width="6.625" style="14" customWidth="1"/>
    <col min="1289" max="1294" width="10.125" style="14" customWidth="1"/>
    <col min="1295" max="1299" width="9" style="14"/>
    <col min="1300" max="1300" width="14.25" style="14" customWidth="1"/>
    <col min="1301" max="1302" width="11.25" style="14" customWidth="1"/>
    <col min="1303" max="1536" width="9" style="14"/>
    <col min="1537" max="1537" width="8" style="14" customWidth="1"/>
    <col min="1538" max="1539" width="10.625" style="14" customWidth="1"/>
    <col min="1540" max="1541" width="7.625" style="14" customWidth="1"/>
    <col min="1542" max="1542" width="11.625" style="14" customWidth="1"/>
    <col min="1543" max="1543" width="9" style="14"/>
    <col min="1544" max="1544" width="6.625" style="14" customWidth="1"/>
    <col min="1545" max="1550" width="10.125" style="14" customWidth="1"/>
    <col min="1551" max="1555" width="9" style="14"/>
    <col min="1556" max="1556" width="14.25" style="14" customWidth="1"/>
    <col min="1557" max="1558" width="11.25" style="14" customWidth="1"/>
    <col min="1559" max="1792" width="9" style="14"/>
    <col min="1793" max="1793" width="8" style="14" customWidth="1"/>
    <col min="1794" max="1795" width="10.625" style="14" customWidth="1"/>
    <col min="1796" max="1797" width="7.625" style="14" customWidth="1"/>
    <col min="1798" max="1798" width="11.625" style="14" customWidth="1"/>
    <col min="1799" max="1799" width="9" style="14"/>
    <col min="1800" max="1800" width="6.625" style="14" customWidth="1"/>
    <col min="1801" max="1806" width="10.125" style="14" customWidth="1"/>
    <col min="1807" max="1811" width="9" style="14"/>
    <col min="1812" max="1812" width="14.25" style="14" customWidth="1"/>
    <col min="1813" max="1814" width="11.25" style="14" customWidth="1"/>
    <col min="1815" max="2048" width="9" style="14"/>
    <col min="2049" max="2049" width="8" style="14" customWidth="1"/>
    <col min="2050" max="2051" width="10.625" style="14" customWidth="1"/>
    <col min="2052" max="2053" width="7.625" style="14" customWidth="1"/>
    <col min="2054" max="2054" width="11.625" style="14" customWidth="1"/>
    <col min="2055" max="2055" width="9" style="14"/>
    <col min="2056" max="2056" width="6.625" style="14" customWidth="1"/>
    <col min="2057" max="2062" width="10.125" style="14" customWidth="1"/>
    <col min="2063" max="2067" width="9" style="14"/>
    <col min="2068" max="2068" width="14.25" style="14" customWidth="1"/>
    <col min="2069" max="2070" width="11.25" style="14" customWidth="1"/>
    <col min="2071" max="2304" width="9" style="14"/>
    <col min="2305" max="2305" width="8" style="14" customWidth="1"/>
    <col min="2306" max="2307" width="10.625" style="14" customWidth="1"/>
    <col min="2308" max="2309" width="7.625" style="14" customWidth="1"/>
    <col min="2310" max="2310" width="11.625" style="14" customWidth="1"/>
    <col min="2311" max="2311" width="9" style="14"/>
    <col min="2312" max="2312" width="6.625" style="14" customWidth="1"/>
    <col min="2313" max="2318" width="10.125" style="14" customWidth="1"/>
    <col min="2319" max="2323" width="9" style="14"/>
    <col min="2324" max="2324" width="14.25" style="14" customWidth="1"/>
    <col min="2325" max="2326" width="11.25" style="14" customWidth="1"/>
    <col min="2327" max="2560" width="9" style="14"/>
    <col min="2561" max="2561" width="8" style="14" customWidth="1"/>
    <col min="2562" max="2563" width="10.625" style="14" customWidth="1"/>
    <col min="2564" max="2565" width="7.625" style="14" customWidth="1"/>
    <col min="2566" max="2566" width="11.625" style="14" customWidth="1"/>
    <col min="2567" max="2567" width="9" style="14"/>
    <col min="2568" max="2568" width="6.625" style="14" customWidth="1"/>
    <col min="2569" max="2574" width="10.125" style="14" customWidth="1"/>
    <col min="2575" max="2579" width="9" style="14"/>
    <col min="2580" max="2580" width="14.25" style="14" customWidth="1"/>
    <col min="2581" max="2582" width="11.25" style="14" customWidth="1"/>
    <col min="2583" max="2816" width="9" style="14"/>
    <col min="2817" max="2817" width="8" style="14" customWidth="1"/>
    <col min="2818" max="2819" width="10.625" style="14" customWidth="1"/>
    <col min="2820" max="2821" width="7.625" style="14" customWidth="1"/>
    <col min="2822" max="2822" width="11.625" style="14" customWidth="1"/>
    <col min="2823" max="2823" width="9" style="14"/>
    <col min="2824" max="2824" width="6.625" style="14" customWidth="1"/>
    <col min="2825" max="2830" width="10.125" style="14" customWidth="1"/>
    <col min="2831" max="2835" width="9" style="14"/>
    <col min="2836" max="2836" width="14.25" style="14" customWidth="1"/>
    <col min="2837" max="2838" width="11.25" style="14" customWidth="1"/>
    <col min="2839" max="3072" width="9" style="14"/>
    <col min="3073" max="3073" width="8" style="14" customWidth="1"/>
    <col min="3074" max="3075" width="10.625" style="14" customWidth="1"/>
    <col min="3076" max="3077" width="7.625" style="14" customWidth="1"/>
    <col min="3078" max="3078" width="11.625" style="14" customWidth="1"/>
    <col min="3079" max="3079" width="9" style="14"/>
    <col min="3080" max="3080" width="6.625" style="14" customWidth="1"/>
    <col min="3081" max="3086" width="10.125" style="14" customWidth="1"/>
    <col min="3087" max="3091" width="9" style="14"/>
    <col min="3092" max="3092" width="14.25" style="14" customWidth="1"/>
    <col min="3093" max="3094" width="11.25" style="14" customWidth="1"/>
    <col min="3095" max="3328" width="9" style="14"/>
    <col min="3329" max="3329" width="8" style="14" customWidth="1"/>
    <col min="3330" max="3331" width="10.625" style="14" customWidth="1"/>
    <col min="3332" max="3333" width="7.625" style="14" customWidth="1"/>
    <col min="3334" max="3334" width="11.625" style="14" customWidth="1"/>
    <col min="3335" max="3335" width="9" style="14"/>
    <col min="3336" max="3336" width="6.625" style="14" customWidth="1"/>
    <col min="3337" max="3342" width="10.125" style="14" customWidth="1"/>
    <col min="3343" max="3347" width="9" style="14"/>
    <col min="3348" max="3348" width="14.25" style="14" customWidth="1"/>
    <col min="3349" max="3350" width="11.25" style="14" customWidth="1"/>
    <col min="3351" max="3584" width="9" style="14"/>
    <col min="3585" max="3585" width="8" style="14" customWidth="1"/>
    <col min="3586" max="3587" width="10.625" style="14" customWidth="1"/>
    <col min="3588" max="3589" width="7.625" style="14" customWidth="1"/>
    <col min="3590" max="3590" width="11.625" style="14" customWidth="1"/>
    <col min="3591" max="3591" width="9" style="14"/>
    <col min="3592" max="3592" width="6.625" style="14" customWidth="1"/>
    <col min="3593" max="3598" width="10.125" style="14" customWidth="1"/>
    <col min="3599" max="3603" width="9" style="14"/>
    <col min="3604" max="3604" width="14.25" style="14" customWidth="1"/>
    <col min="3605" max="3606" width="11.25" style="14" customWidth="1"/>
    <col min="3607" max="3840" width="9" style="14"/>
    <col min="3841" max="3841" width="8" style="14" customWidth="1"/>
    <col min="3842" max="3843" width="10.625" style="14" customWidth="1"/>
    <col min="3844" max="3845" width="7.625" style="14" customWidth="1"/>
    <col min="3846" max="3846" width="11.625" style="14" customWidth="1"/>
    <col min="3847" max="3847" width="9" style="14"/>
    <col min="3848" max="3848" width="6.625" style="14" customWidth="1"/>
    <col min="3849" max="3854" width="10.125" style="14" customWidth="1"/>
    <col min="3855" max="3859" width="9" style="14"/>
    <col min="3860" max="3860" width="14.25" style="14" customWidth="1"/>
    <col min="3861" max="3862" width="11.25" style="14" customWidth="1"/>
    <col min="3863" max="4096" width="9" style="14"/>
    <col min="4097" max="4097" width="8" style="14" customWidth="1"/>
    <col min="4098" max="4099" width="10.625" style="14" customWidth="1"/>
    <col min="4100" max="4101" width="7.625" style="14" customWidth="1"/>
    <col min="4102" max="4102" width="11.625" style="14" customWidth="1"/>
    <col min="4103" max="4103" width="9" style="14"/>
    <col min="4104" max="4104" width="6.625" style="14" customWidth="1"/>
    <col min="4105" max="4110" width="10.125" style="14" customWidth="1"/>
    <col min="4111" max="4115" width="9" style="14"/>
    <col min="4116" max="4116" width="14.25" style="14" customWidth="1"/>
    <col min="4117" max="4118" width="11.25" style="14" customWidth="1"/>
    <col min="4119" max="4352" width="9" style="14"/>
    <col min="4353" max="4353" width="8" style="14" customWidth="1"/>
    <col min="4354" max="4355" width="10.625" style="14" customWidth="1"/>
    <col min="4356" max="4357" width="7.625" style="14" customWidth="1"/>
    <col min="4358" max="4358" width="11.625" style="14" customWidth="1"/>
    <col min="4359" max="4359" width="9" style="14"/>
    <col min="4360" max="4360" width="6.625" style="14" customWidth="1"/>
    <col min="4361" max="4366" width="10.125" style="14" customWidth="1"/>
    <col min="4367" max="4371" width="9" style="14"/>
    <col min="4372" max="4372" width="14.25" style="14" customWidth="1"/>
    <col min="4373" max="4374" width="11.25" style="14" customWidth="1"/>
    <col min="4375" max="4608" width="9" style="14"/>
    <col min="4609" max="4609" width="8" style="14" customWidth="1"/>
    <col min="4610" max="4611" width="10.625" style="14" customWidth="1"/>
    <col min="4612" max="4613" width="7.625" style="14" customWidth="1"/>
    <col min="4614" max="4614" width="11.625" style="14" customWidth="1"/>
    <col min="4615" max="4615" width="9" style="14"/>
    <col min="4616" max="4616" width="6.625" style="14" customWidth="1"/>
    <col min="4617" max="4622" width="10.125" style="14" customWidth="1"/>
    <col min="4623" max="4627" width="9" style="14"/>
    <col min="4628" max="4628" width="14.25" style="14" customWidth="1"/>
    <col min="4629" max="4630" width="11.25" style="14" customWidth="1"/>
    <col min="4631" max="4864" width="9" style="14"/>
    <col min="4865" max="4865" width="8" style="14" customWidth="1"/>
    <col min="4866" max="4867" width="10.625" style="14" customWidth="1"/>
    <col min="4868" max="4869" width="7.625" style="14" customWidth="1"/>
    <col min="4870" max="4870" width="11.625" style="14" customWidth="1"/>
    <col min="4871" max="4871" width="9" style="14"/>
    <col min="4872" max="4872" width="6.625" style="14" customWidth="1"/>
    <col min="4873" max="4878" width="10.125" style="14" customWidth="1"/>
    <col min="4879" max="4883" width="9" style="14"/>
    <col min="4884" max="4884" width="14.25" style="14" customWidth="1"/>
    <col min="4885" max="4886" width="11.25" style="14" customWidth="1"/>
    <col min="4887" max="5120" width="9" style="14"/>
    <col min="5121" max="5121" width="8" style="14" customWidth="1"/>
    <col min="5122" max="5123" width="10.625" style="14" customWidth="1"/>
    <col min="5124" max="5125" width="7.625" style="14" customWidth="1"/>
    <col min="5126" max="5126" width="11.625" style="14" customWidth="1"/>
    <col min="5127" max="5127" width="9" style="14"/>
    <col min="5128" max="5128" width="6.625" style="14" customWidth="1"/>
    <col min="5129" max="5134" width="10.125" style="14" customWidth="1"/>
    <col min="5135" max="5139" width="9" style="14"/>
    <col min="5140" max="5140" width="14.25" style="14" customWidth="1"/>
    <col min="5141" max="5142" width="11.25" style="14" customWidth="1"/>
    <col min="5143" max="5376" width="9" style="14"/>
    <col min="5377" max="5377" width="8" style="14" customWidth="1"/>
    <col min="5378" max="5379" width="10.625" style="14" customWidth="1"/>
    <col min="5380" max="5381" width="7.625" style="14" customWidth="1"/>
    <col min="5382" max="5382" width="11.625" style="14" customWidth="1"/>
    <col min="5383" max="5383" width="9" style="14"/>
    <col min="5384" max="5384" width="6.625" style="14" customWidth="1"/>
    <col min="5385" max="5390" width="10.125" style="14" customWidth="1"/>
    <col min="5391" max="5395" width="9" style="14"/>
    <col min="5396" max="5396" width="14.25" style="14" customWidth="1"/>
    <col min="5397" max="5398" width="11.25" style="14" customWidth="1"/>
    <col min="5399" max="5632" width="9" style="14"/>
    <col min="5633" max="5633" width="8" style="14" customWidth="1"/>
    <col min="5634" max="5635" width="10.625" style="14" customWidth="1"/>
    <col min="5636" max="5637" width="7.625" style="14" customWidth="1"/>
    <col min="5638" max="5638" width="11.625" style="14" customWidth="1"/>
    <col min="5639" max="5639" width="9" style="14"/>
    <col min="5640" max="5640" width="6.625" style="14" customWidth="1"/>
    <col min="5641" max="5646" width="10.125" style="14" customWidth="1"/>
    <col min="5647" max="5651" width="9" style="14"/>
    <col min="5652" max="5652" width="14.25" style="14" customWidth="1"/>
    <col min="5653" max="5654" width="11.25" style="14" customWidth="1"/>
    <col min="5655" max="5888" width="9" style="14"/>
    <col min="5889" max="5889" width="8" style="14" customWidth="1"/>
    <col min="5890" max="5891" width="10.625" style="14" customWidth="1"/>
    <col min="5892" max="5893" width="7.625" style="14" customWidth="1"/>
    <col min="5894" max="5894" width="11.625" style="14" customWidth="1"/>
    <col min="5895" max="5895" width="9" style="14"/>
    <col min="5896" max="5896" width="6.625" style="14" customWidth="1"/>
    <col min="5897" max="5902" width="10.125" style="14" customWidth="1"/>
    <col min="5903" max="5907" width="9" style="14"/>
    <col min="5908" max="5908" width="14.25" style="14" customWidth="1"/>
    <col min="5909" max="5910" width="11.25" style="14" customWidth="1"/>
    <col min="5911" max="6144" width="9" style="14"/>
    <col min="6145" max="6145" width="8" style="14" customWidth="1"/>
    <col min="6146" max="6147" width="10.625" style="14" customWidth="1"/>
    <col min="6148" max="6149" width="7.625" style="14" customWidth="1"/>
    <col min="6150" max="6150" width="11.625" style="14" customWidth="1"/>
    <col min="6151" max="6151" width="9" style="14"/>
    <col min="6152" max="6152" width="6.625" style="14" customWidth="1"/>
    <col min="6153" max="6158" width="10.125" style="14" customWidth="1"/>
    <col min="6159" max="6163" width="9" style="14"/>
    <col min="6164" max="6164" width="14.25" style="14" customWidth="1"/>
    <col min="6165" max="6166" width="11.25" style="14" customWidth="1"/>
    <col min="6167" max="6400" width="9" style="14"/>
    <col min="6401" max="6401" width="8" style="14" customWidth="1"/>
    <col min="6402" max="6403" width="10.625" style="14" customWidth="1"/>
    <col min="6404" max="6405" width="7.625" style="14" customWidth="1"/>
    <col min="6406" max="6406" width="11.625" style="14" customWidth="1"/>
    <col min="6407" max="6407" width="9" style="14"/>
    <col min="6408" max="6408" width="6.625" style="14" customWidth="1"/>
    <col min="6409" max="6414" width="10.125" style="14" customWidth="1"/>
    <col min="6415" max="6419" width="9" style="14"/>
    <col min="6420" max="6420" width="14.25" style="14" customWidth="1"/>
    <col min="6421" max="6422" width="11.25" style="14" customWidth="1"/>
    <col min="6423" max="6656" width="9" style="14"/>
    <col min="6657" max="6657" width="8" style="14" customWidth="1"/>
    <col min="6658" max="6659" width="10.625" style="14" customWidth="1"/>
    <col min="6660" max="6661" width="7.625" style="14" customWidth="1"/>
    <col min="6662" max="6662" width="11.625" style="14" customWidth="1"/>
    <col min="6663" max="6663" width="9" style="14"/>
    <col min="6664" max="6664" width="6.625" style="14" customWidth="1"/>
    <col min="6665" max="6670" width="10.125" style="14" customWidth="1"/>
    <col min="6671" max="6675" width="9" style="14"/>
    <col min="6676" max="6676" width="14.25" style="14" customWidth="1"/>
    <col min="6677" max="6678" width="11.25" style="14" customWidth="1"/>
    <col min="6679" max="6912" width="9" style="14"/>
    <col min="6913" max="6913" width="8" style="14" customWidth="1"/>
    <col min="6914" max="6915" width="10.625" style="14" customWidth="1"/>
    <col min="6916" max="6917" width="7.625" style="14" customWidth="1"/>
    <col min="6918" max="6918" width="11.625" style="14" customWidth="1"/>
    <col min="6919" max="6919" width="9" style="14"/>
    <col min="6920" max="6920" width="6.625" style="14" customWidth="1"/>
    <col min="6921" max="6926" width="10.125" style="14" customWidth="1"/>
    <col min="6927" max="6931" width="9" style="14"/>
    <col min="6932" max="6932" width="14.25" style="14" customWidth="1"/>
    <col min="6933" max="6934" width="11.25" style="14" customWidth="1"/>
    <col min="6935" max="7168" width="9" style="14"/>
    <col min="7169" max="7169" width="8" style="14" customWidth="1"/>
    <col min="7170" max="7171" width="10.625" style="14" customWidth="1"/>
    <col min="7172" max="7173" width="7.625" style="14" customWidth="1"/>
    <col min="7174" max="7174" width="11.625" style="14" customWidth="1"/>
    <col min="7175" max="7175" width="9" style="14"/>
    <col min="7176" max="7176" width="6.625" style="14" customWidth="1"/>
    <col min="7177" max="7182" width="10.125" style="14" customWidth="1"/>
    <col min="7183" max="7187" width="9" style="14"/>
    <col min="7188" max="7188" width="14.25" style="14" customWidth="1"/>
    <col min="7189" max="7190" width="11.25" style="14" customWidth="1"/>
    <col min="7191" max="7424" width="9" style="14"/>
    <col min="7425" max="7425" width="8" style="14" customWidth="1"/>
    <col min="7426" max="7427" width="10.625" style="14" customWidth="1"/>
    <col min="7428" max="7429" width="7.625" style="14" customWidth="1"/>
    <col min="7430" max="7430" width="11.625" style="14" customWidth="1"/>
    <col min="7431" max="7431" width="9" style="14"/>
    <col min="7432" max="7432" width="6.625" style="14" customWidth="1"/>
    <col min="7433" max="7438" width="10.125" style="14" customWidth="1"/>
    <col min="7439" max="7443" width="9" style="14"/>
    <col min="7444" max="7444" width="14.25" style="14" customWidth="1"/>
    <col min="7445" max="7446" width="11.25" style="14" customWidth="1"/>
    <col min="7447" max="7680" width="9" style="14"/>
    <col min="7681" max="7681" width="8" style="14" customWidth="1"/>
    <col min="7682" max="7683" width="10.625" style="14" customWidth="1"/>
    <col min="7684" max="7685" width="7.625" style="14" customWidth="1"/>
    <col min="7686" max="7686" width="11.625" style="14" customWidth="1"/>
    <col min="7687" max="7687" width="9" style="14"/>
    <col min="7688" max="7688" width="6.625" style="14" customWidth="1"/>
    <col min="7689" max="7694" width="10.125" style="14" customWidth="1"/>
    <col min="7695" max="7699" width="9" style="14"/>
    <col min="7700" max="7700" width="14.25" style="14" customWidth="1"/>
    <col min="7701" max="7702" width="11.25" style="14" customWidth="1"/>
    <col min="7703" max="7936" width="9" style="14"/>
    <col min="7937" max="7937" width="8" style="14" customWidth="1"/>
    <col min="7938" max="7939" width="10.625" style="14" customWidth="1"/>
    <col min="7940" max="7941" width="7.625" style="14" customWidth="1"/>
    <col min="7942" max="7942" width="11.625" style="14" customWidth="1"/>
    <col min="7943" max="7943" width="9" style="14"/>
    <col min="7944" max="7944" width="6.625" style="14" customWidth="1"/>
    <col min="7945" max="7950" width="10.125" style="14" customWidth="1"/>
    <col min="7951" max="7955" width="9" style="14"/>
    <col min="7956" max="7956" width="14.25" style="14" customWidth="1"/>
    <col min="7957" max="7958" width="11.25" style="14" customWidth="1"/>
    <col min="7959" max="8192" width="9" style="14"/>
    <col min="8193" max="8193" width="8" style="14" customWidth="1"/>
    <col min="8194" max="8195" width="10.625" style="14" customWidth="1"/>
    <col min="8196" max="8197" width="7.625" style="14" customWidth="1"/>
    <col min="8198" max="8198" width="11.625" style="14" customWidth="1"/>
    <col min="8199" max="8199" width="9" style="14"/>
    <col min="8200" max="8200" width="6.625" style="14" customWidth="1"/>
    <col min="8201" max="8206" width="10.125" style="14" customWidth="1"/>
    <col min="8207" max="8211" width="9" style="14"/>
    <col min="8212" max="8212" width="14.25" style="14" customWidth="1"/>
    <col min="8213" max="8214" width="11.25" style="14" customWidth="1"/>
    <col min="8215" max="8448" width="9" style="14"/>
    <col min="8449" max="8449" width="8" style="14" customWidth="1"/>
    <col min="8450" max="8451" width="10.625" style="14" customWidth="1"/>
    <col min="8452" max="8453" width="7.625" style="14" customWidth="1"/>
    <col min="8454" max="8454" width="11.625" style="14" customWidth="1"/>
    <col min="8455" max="8455" width="9" style="14"/>
    <col min="8456" max="8456" width="6.625" style="14" customWidth="1"/>
    <col min="8457" max="8462" width="10.125" style="14" customWidth="1"/>
    <col min="8463" max="8467" width="9" style="14"/>
    <col min="8468" max="8468" width="14.25" style="14" customWidth="1"/>
    <col min="8469" max="8470" width="11.25" style="14" customWidth="1"/>
    <col min="8471" max="8704" width="9" style="14"/>
    <col min="8705" max="8705" width="8" style="14" customWidth="1"/>
    <col min="8706" max="8707" width="10.625" style="14" customWidth="1"/>
    <col min="8708" max="8709" width="7.625" style="14" customWidth="1"/>
    <col min="8710" max="8710" width="11.625" style="14" customWidth="1"/>
    <col min="8711" max="8711" width="9" style="14"/>
    <col min="8712" max="8712" width="6.625" style="14" customWidth="1"/>
    <col min="8713" max="8718" width="10.125" style="14" customWidth="1"/>
    <col min="8719" max="8723" width="9" style="14"/>
    <col min="8724" max="8724" width="14.25" style="14" customWidth="1"/>
    <col min="8725" max="8726" width="11.25" style="14" customWidth="1"/>
    <col min="8727" max="8960" width="9" style="14"/>
    <col min="8961" max="8961" width="8" style="14" customWidth="1"/>
    <col min="8962" max="8963" width="10.625" style="14" customWidth="1"/>
    <col min="8964" max="8965" width="7.625" style="14" customWidth="1"/>
    <col min="8966" max="8966" width="11.625" style="14" customWidth="1"/>
    <col min="8967" max="8967" width="9" style="14"/>
    <col min="8968" max="8968" width="6.625" style="14" customWidth="1"/>
    <col min="8969" max="8974" width="10.125" style="14" customWidth="1"/>
    <col min="8975" max="8979" width="9" style="14"/>
    <col min="8980" max="8980" width="14.25" style="14" customWidth="1"/>
    <col min="8981" max="8982" width="11.25" style="14" customWidth="1"/>
    <col min="8983" max="9216" width="9" style="14"/>
    <col min="9217" max="9217" width="8" style="14" customWidth="1"/>
    <col min="9218" max="9219" width="10.625" style="14" customWidth="1"/>
    <col min="9220" max="9221" width="7.625" style="14" customWidth="1"/>
    <col min="9222" max="9222" width="11.625" style="14" customWidth="1"/>
    <col min="9223" max="9223" width="9" style="14"/>
    <col min="9224" max="9224" width="6.625" style="14" customWidth="1"/>
    <col min="9225" max="9230" width="10.125" style="14" customWidth="1"/>
    <col min="9231" max="9235" width="9" style="14"/>
    <col min="9236" max="9236" width="14.25" style="14" customWidth="1"/>
    <col min="9237" max="9238" width="11.25" style="14" customWidth="1"/>
    <col min="9239" max="9472" width="9" style="14"/>
    <col min="9473" max="9473" width="8" style="14" customWidth="1"/>
    <col min="9474" max="9475" width="10.625" style="14" customWidth="1"/>
    <col min="9476" max="9477" width="7.625" style="14" customWidth="1"/>
    <col min="9478" max="9478" width="11.625" style="14" customWidth="1"/>
    <col min="9479" max="9479" width="9" style="14"/>
    <col min="9480" max="9480" width="6.625" style="14" customWidth="1"/>
    <col min="9481" max="9486" width="10.125" style="14" customWidth="1"/>
    <col min="9487" max="9491" width="9" style="14"/>
    <col min="9492" max="9492" width="14.25" style="14" customWidth="1"/>
    <col min="9493" max="9494" width="11.25" style="14" customWidth="1"/>
    <col min="9495" max="9728" width="9" style="14"/>
    <col min="9729" max="9729" width="8" style="14" customWidth="1"/>
    <col min="9730" max="9731" width="10.625" style="14" customWidth="1"/>
    <col min="9732" max="9733" width="7.625" style="14" customWidth="1"/>
    <col min="9734" max="9734" width="11.625" style="14" customWidth="1"/>
    <col min="9735" max="9735" width="9" style="14"/>
    <col min="9736" max="9736" width="6.625" style="14" customWidth="1"/>
    <col min="9737" max="9742" width="10.125" style="14" customWidth="1"/>
    <col min="9743" max="9747" width="9" style="14"/>
    <col min="9748" max="9748" width="14.25" style="14" customWidth="1"/>
    <col min="9749" max="9750" width="11.25" style="14" customWidth="1"/>
    <col min="9751" max="9984" width="9" style="14"/>
    <col min="9985" max="9985" width="8" style="14" customWidth="1"/>
    <col min="9986" max="9987" width="10.625" style="14" customWidth="1"/>
    <col min="9988" max="9989" width="7.625" style="14" customWidth="1"/>
    <col min="9990" max="9990" width="11.625" style="14" customWidth="1"/>
    <col min="9991" max="9991" width="9" style="14"/>
    <col min="9992" max="9992" width="6.625" style="14" customWidth="1"/>
    <col min="9993" max="9998" width="10.125" style="14" customWidth="1"/>
    <col min="9999" max="10003" width="9" style="14"/>
    <col min="10004" max="10004" width="14.25" style="14" customWidth="1"/>
    <col min="10005" max="10006" width="11.25" style="14" customWidth="1"/>
    <col min="10007" max="10240" width="9" style="14"/>
    <col min="10241" max="10241" width="8" style="14" customWidth="1"/>
    <col min="10242" max="10243" width="10.625" style="14" customWidth="1"/>
    <col min="10244" max="10245" width="7.625" style="14" customWidth="1"/>
    <col min="10246" max="10246" width="11.625" style="14" customWidth="1"/>
    <col min="10247" max="10247" width="9" style="14"/>
    <col min="10248" max="10248" width="6.625" style="14" customWidth="1"/>
    <col min="10249" max="10254" width="10.125" style="14" customWidth="1"/>
    <col min="10255" max="10259" width="9" style="14"/>
    <col min="10260" max="10260" width="14.25" style="14" customWidth="1"/>
    <col min="10261" max="10262" width="11.25" style="14" customWidth="1"/>
    <col min="10263" max="10496" width="9" style="14"/>
    <col min="10497" max="10497" width="8" style="14" customWidth="1"/>
    <col min="10498" max="10499" width="10.625" style="14" customWidth="1"/>
    <col min="10500" max="10501" width="7.625" style="14" customWidth="1"/>
    <col min="10502" max="10502" width="11.625" style="14" customWidth="1"/>
    <col min="10503" max="10503" width="9" style="14"/>
    <col min="10504" max="10504" width="6.625" style="14" customWidth="1"/>
    <col min="10505" max="10510" width="10.125" style="14" customWidth="1"/>
    <col min="10511" max="10515" width="9" style="14"/>
    <col min="10516" max="10516" width="14.25" style="14" customWidth="1"/>
    <col min="10517" max="10518" width="11.25" style="14" customWidth="1"/>
    <col min="10519" max="10752" width="9" style="14"/>
    <col min="10753" max="10753" width="8" style="14" customWidth="1"/>
    <col min="10754" max="10755" width="10.625" style="14" customWidth="1"/>
    <col min="10756" max="10757" width="7.625" style="14" customWidth="1"/>
    <col min="10758" max="10758" width="11.625" style="14" customWidth="1"/>
    <col min="10759" max="10759" width="9" style="14"/>
    <col min="10760" max="10760" width="6.625" style="14" customWidth="1"/>
    <col min="10761" max="10766" width="10.125" style="14" customWidth="1"/>
    <col min="10767" max="10771" width="9" style="14"/>
    <col min="10772" max="10772" width="14.25" style="14" customWidth="1"/>
    <col min="10773" max="10774" width="11.25" style="14" customWidth="1"/>
    <col min="10775" max="11008" width="9" style="14"/>
    <col min="11009" max="11009" width="8" style="14" customWidth="1"/>
    <col min="11010" max="11011" width="10.625" style="14" customWidth="1"/>
    <col min="11012" max="11013" width="7.625" style="14" customWidth="1"/>
    <col min="11014" max="11014" width="11.625" style="14" customWidth="1"/>
    <col min="11015" max="11015" width="9" style="14"/>
    <col min="11016" max="11016" width="6.625" style="14" customWidth="1"/>
    <col min="11017" max="11022" width="10.125" style="14" customWidth="1"/>
    <col min="11023" max="11027" width="9" style="14"/>
    <col min="11028" max="11028" width="14.25" style="14" customWidth="1"/>
    <col min="11029" max="11030" width="11.25" style="14" customWidth="1"/>
    <col min="11031" max="11264" width="9" style="14"/>
    <col min="11265" max="11265" width="8" style="14" customWidth="1"/>
    <col min="11266" max="11267" width="10.625" style="14" customWidth="1"/>
    <col min="11268" max="11269" width="7.625" style="14" customWidth="1"/>
    <col min="11270" max="11270" width="11.625" style="14" customWidth="1"/>
    <col min="11271" max="11271" width="9" style="14"/>
    <col min="11272" max="11272" width="6.625" style="14" customWidth="1"/>
    <col min="11273" max="11278" width="10.125" style="14" customWidth="1"/>
    <col min="11279" max="11283" width="9" style="14"/>
    <col min="11284" max="11284" width="14.25" style="14" customWidth="1"/>
    <col min="11285" max="11286" width="11.25" style="14" customWidth="1"/>
    <col min="11287" max="11520" width="9" style="14"/>
    <col min="11521" max="11521" width="8" style="14" customWidth="1"/>
    <col min="11522" max="11523" width="10.625" style="14" customWidth="1"/>
    <col min="11524" max="11525" width="7.625" style="14" customWidth="1"/>
    <col min="11526" max="11526" width="11.625" style="14" customWidth="1"/>
    <col min="11527" max="11527" width="9" style="14"/>
    <col min="11528" max="11528" width="6.625" style="14" customWidth="1"/>
    <col min="11529" max="11534" width="10.125" style="14" customWidth="1"/>
    <col min="11535" max="11539" width="9" style="14"/>
    <col min="11540" max="11540" width="14.25" style="14" customWidth="1"/>
    <col min="11541" max="11542" width="11.25" style="14" customWidth="1"/>
    <col min="11543" max="11776" width="9" style="14"/>
    <col min="11777" max="11777" width="8" style="14" customWidth="1"/>
    <col min="11778" max="11779" width="10.625" style="14" customWidth="1"/>
    <col min="11780" max="11781" width="7.625" style="14" customWidth="1"/>
    <col min="11782" max="11782" width="11.625" style="14" customWidth="1"/>
    <col min="11783" max="11783" width="9" style="14"/>
    <col min="11784" max="11784" width="6.625" style="14" customWidth="1"/>
    <col min="11785" max="11790" width="10.125" style="14" customWidth="1"/>
    <col min="11791" max="11795" width="9" style="14"/>
    <col min="11796" max="11796" width="14.25" style="14" customWidth="1"/>
    <col min="11797" max="11798" width="11.25" style="14" customWidth="1"/>
    <col min="11799" max="12032" width="9" style="14"/>
    <col min="12033" max="12033" width="8" style="14" customWidth="1"/>
    <col min="12034" max="12035" width="10.625" style="14" customWidth="1"/>
    <col min="12036" max="12037" width="7.625" style="14" customWidth="1"/>
    <col min="12038" max="12038" width="11.625" style="14" customWidth="1"/>
    <col min="12039" max="12039" width="9" style="14"/>
    <col min="12040" max="12040" width="6.625" style="14" customWidth="1"/>
    <col min="12041" max="12046" width="10.125" style="14" customWidth="1"/>
    <col min="12047" max="12051" width="9" style="14"/>
    <col min="12052" max="12052" width="14.25" style="14" customWidth="1"/>
    <col min="12053" max="12054" width="11.25" style="14" customWidth="1"/>
    <col min="12055" max="12288" width="9" style="14"/>
    <col min="12289" max="12289" width="8" style="14" customWidth="1"/>
    <col min="12290" max="12291" width="10.625" style="14" customWidth="1"/>
    <col min="12292" max="12293" width="7.625" style="14" customWidth="1"/>
    <col min="12294" max="12294" width="11.625" style="14" customWidth="1"/>
    <col min="12295" max="12295" width="9" style="14"/>
    <col min="12296" max="12296" width="6.625" style="14" customWidth="1"/>
    <col min="12297" max="12302" width="10.125" style="14" customWidth="1"/>
    <col min="12303" max="12307" width="9" style="14"/>
    <col min="12308" max="12308" width="14.25" style="14" customWidth="1"/>
    <col min="12309" max="12310" width="11.25" style="14" customWidth="1"/>
    <col min="12311" max="12544" width="9" style="14"/>
    <col min="12545" max="12545" width="8" style="14" customWidth="1"/>
    <col min="12546" max="12547" width="10.625" style="14" customWidth="1"/>
    <col min="12548" max="12549" width="7.625" style="14" customWidth="1"/>
    <col min="12550" max="12550" width="11.625" style="14" customWidth="1"/>
    <col min="12551" max="12551" width="9" style="14"/>
    <col min="12552" max="12552" width="6.625" style="14" customWidth="1"/>
    <col min="12553" max="12558" width="10.125" style="14" customWidth="1"/>
    <col min="12559" max="12563" width="9" style="14"/>
    <col min="12564" max="12564" width="14.25" style="14" customWidth="1"/>
    <col min="12565" max="12566" width="11.25" style="14" customWidth="1"/>
    <col min="12567" max="12800" width="9" style="14"/>
    <col min="12801" max="12801" width="8" style="14" customWidth="1"/>
    <col min="12802" max="12803" width="10.625" style="14" customWidth="1"/>
    <col min="12804" max="12805" width="7.625" style="14" customWidth="1"/>
    <col min="12806" max="12806" width="11.625" style="14" customWidth="1"/>
    <col min="12807" max="12807" width="9" style="14"/>
    <col min="12808" max="12808" width="6.625" style="14" customWidth="1"/>
    <col min="12809" max="12814" width="10.125" style="14" customWidth="1"/>
    <col min="12815" max="12819" width="9" style="14"/>
    <col min="12820" max="12820" width="14.25" style="14" customWidth="1"/>
    <col min="12821" max="12822" width="11.25" style="14" customWidth="1"/>
    <col min="12823" max="13056" width="9" style="14"/>
    <col min="13057" max="13057" width="8" style="14" customWidth="1"/>
    <col min="13058" max="13059" width="10.625" style="14" customWidth="1"/>
    <col min="13060" max="13061" width="7.625" style="14" customWidth="1"/>
    <col min="13062" max="13062" width="11.625" style="14" customWidth="1"/>
    <col min="13063" max="13063" width="9" style="14"/>
    <col min="13064" max="13064" width="6.625" style="14" customWidth="1"/>
    <col min="13065" max="13070" width="10.125" style="14" customWidth="1"/>
    <col min="13071" max="13075" width="9" style="14"/>
    <col min="13076" max="13076" width="14.25" style="14" customWidth="1"/>
    <col min="13077" max="13078" width="11.25" style="14" customWidth="1"/>
    <col min="13079" max="13312" width="9" style="14"/>
    <col min="13313" max="13313" width="8" style="14" customWidth="1"/>
    <col min="13314" max="13315" width="10.625" style="14" customWidth="1"/>
    <col min="13316" max="13317" width="7.625" style="14" customWidth="1"/>
    <col min="13318" max="13318" width="11.625" style="14" customWidth="1"/>
    <col min="13319" max="13319" width="9" style="14"/>
    <col min="13320" max="13320" width="6.625" style="14" customWidth="1"/>
    <col min="13321" max="13326" width="10.125" style="14" customWidth="1"/>
    <col min="13327" max="13331" width="9" style="14"/>
    <col min="13332" max="13332" width="14.25" style="14" customWidth="1"/>
    <col min="13333" max="13334" width="11.25" style="14" customWidth="1"/>
    <col min="13335" max="13568" width="9" style="14"/>
    <col min="13569" max="13569" width="8" style="14" customWidth="1"/>
    <col min="13570" max="13571" width="10.625" style="14" customWidth="1"/>
    <col min="13572" max="13573" width="7.625" style="14" customWidth="1"/>
    <col min="13574" max="13574" width="11.625" style="14" customWidth="1"/>
    <col min="13575" max="13575" width="9" style="14"/>
    <col min="13576" max="13576" width="6.625" style="14" customWidth="1"/>
    <col min="13577" max="13582" width="10.125" style="14" customWidth="1"/>
    <col min="13583" max="13587" width="9" style="14"/>
    <col min="13588" max="13588" width="14.25" style="14" customWidth="1"/>
    <col min="13589" max="13590" width="11.25" style="14" customWidth="1"/>
    <col min="13591" max="13824" width="9" style="14"/>
    <col min="13825" max="13825" width="8" style="14" customWidth="1"/>
    <col min="13826" max="13827" width="10.625" style="14" customWidth="1"/>
    <col min="13828" max="13829" width="7.625" style="14" customWidth="1"/>
    <col min="13830" max="13830" width="11.625" style="14" customWidth="1"/>
    <col min="13831" max="13831" width="9" style="14"/>
    <col min="13832" max="13832" width="6.625" style="14" customWidth="1"/>
    <col min="13833" max="13838" width="10.125" style="14" customWidth="1"/>
    <col min="13839" max="13843" width="9" style="14"/>
    <col min="13844" max="13844" width="14.25" style="14" customWidth="1"/>
    <col min="13845" max="13846" width="11.25" style="14" customWidth="1"/>
    <col min="13847" max="14080" width="9" style="14"/>
    <col min="14081" max="14081" width="8" style="14" customWidth="1"/>
    <col min="14082" max="14083" width="10.625" style="14" customWidth="1"/>
    <col min="14084" max="14085" width="7.625" style="14" customWidth="1"/>
    <col min="14086" max="14086" width="11.625" style="14" customWidth="1"/>
    <col min="14087" max="14087" width="9" style="14"/>
    <col min="14088" max="14088" width="6.625" style="14" customWidth="1"/>
    <col min="14089" max="14094" width="10.125" style="14" customWidth="1"/>
    <col min="14095" max="14099" width="9" style="14"/>
    <col min="14100" max="14100" width="14.25" style="14" customWidth="1"/>
    <col min="14101" max="14102" width="11.25" style="14" customWidth="1"/>
    <col min="14103" max="14336" width="9" style="14"/>
    <col min="14337" max="14337" width="8" style="14" customWidth="1"/>
    <col min="14338" max="14339" width="10.625" style="14" customWidth="1"/>
    <col min="14340" max="14341" width="7.625" style="14" customWidth="1"/>
    <col min="14342" max="14342" width="11.625" style="14" customWidth="1"/>
    <col min="14343" max="14343" width="9" style="14"/>
    <col min="14344" max="14344" width="6.625" style="14" customWidth="1"/>
    <col min="14345" max="14350" width="10.125" style="14" customWidth="1"/>
    <col min="14351" max="14355" width="9" style="14"/>
    <col min="14356" max="14356" width="14.25" style="14" customWidth="1"/>
    <col min="14357" max="14358" width="11.25" style="14" customWidth="1"/>
    <col min="14359" max="14592" width="9" style="14"/>
    <col min="14593" max="14593" width="8" style="14" customWidth="1"/>
    <col min="14594" max="14595" width="10.625" style="14" customWidth="1"/>
    <col min="14596" max="14597" width="7.625" style="14" customWidth="1"/>
    <col min="14598" max="14598" width="11.625" style="14" customWidth="1"/>
    <col min="14599" max="14599" width="9" style="14"/>
    <col min="14600" max="14600" width="6.625" style="14" customWidth="1"/>
    <col min="14601" max="14606" width="10.125" style="14" customWidth="1"/>
    <col min="14607" max="14611" width="9" style="14"/>
    <col min="14612" max="14612" width="14.25" style="14" customWidth="1"/>
    <col min="14613" max="14614" width="11.25" style="14" customWidth="1"/>
    <col min="14615" max="14848" width="9" style="14"/>
    <col min="14849" max="14849" width="8" style="14" customWidth="1"/>
    <col min="14850" max="14851" width="10.625" style="14" customWidth="1"/>
    <col min="14852" max="14853" width="7.625" style="14" customWidth="1"/>
    <col min="14854" max="14854" width="11.625" style="14" customWidth="1"/>
    <col min="14855" max="14855" width="9" style="14"/>
    <col min="14856" max="14856" width="6.625" style="14" customWidth="1"/>
    <col min="14857" max="14862" width="10.125" style="14" customWidth="1"/>
    <col min="14863" max="14867" width="9" style="14"/>
    <col min="14868" max="14868" width="14.25" style="14" customWidth="1"/>
    <col min="14869" max="14870" width="11.25" style="14" customWidth="1"/>
    <col min="14871" max="15104" width="9" style="14"/>
    <col min="15105" max="15105" width="8" style="14" customWidth="1"/>
    <col min="15106" max="15107" width="10.625" style="14" customWidth="1"/>
    <col min="15108" max="15109" width="7.625" style="14" customWidth="1"/>
    <col min="15110" max="15110" width="11.625" style="14" customWidth="1"/>
    <col min="15111" max="15111" width="9" style="14"/>
    <col min="15112" max="15112" width="6.625" style="14" customWidth="1"/>
    <col min="15113" max="15118" width="10.125" style="14" customWidth="1"/>
    <col min="15119" max="15123" width="9" style="14"/>
    <col min="15124" max="15124" width="14.25" style="14" customWidth="1"/>
    <col min="15125" max="15126" width="11.25" style="14" customWidth="1"/>
    <col min="15127" max="15360" width="9" style="14"/>
    <col min="15361" max="15361" width="8" style="14" customWidth="1"/>
    <col min="15362" max="15363" width="10.625" style="14" customWidth="1"/>
    <col min="15364" max="15365" width="7.625" style="14" customWidth="1"/>
    <col min="15366" max="15366" width="11.625" style="14" customWidth="1"/>
    <col min="15367" max="15367" width="9" style="14"/>
    <col min="15368" max="15368" width="6.625" style="14" customWidth="1"/>
    <col min="15369" max="15374" width="10.125" style="14" customWidth="1"/>
    <col min="15375" max="15379" width="9" style="14"/>
    <col min="15380" max="15380" width="14.25" style="14" customWidth="1"/>
    <col min="15381" max="15382" width="11.25" style="14" customWidth="1"/>
    <col min="15383" max="15616" width="9" style="14"/>
    <col min="15617" max="15617" width="8" style="14" customWidth="1"/>
    <col min="15618" max="15619" width="10.625" style="14" customWidth="1"/>
    <col min="15620" max="15621" width="7.625" style="14" customWidth="1"/>
    <col min="15622" max="15622" width="11.625" style="14" customWidth="1"/>
    <col min="15623" max="15623" width="9" style="14"/>
    <col min="15624" max="15624" width="6.625" style="14" customWidth="1"/>
    <col min="15625" max="15630" width="10.125" style="14" customWidth="1"/>
    <col min="15631" max="15635" width="9" style="14"/>
    <col min="15636" max="15636" width="14.25" style="14" customWidth="1"/>
    <col min="15637" max="15638" width="11.25" style="14" customWidth="1"/>
    <col min="15639" max="15872" width="9" style="14"/>
    <col min="15873" max="15873" width="8" style="14" customWidth="1"/>
    <col min="15874" max="15875" width="10.625" style="14" customWidth="1"/>
    <col min="15876" max="15877" width="7.625" style="14" customWidth="1"/>
    <col min="15878" max="15878" width="11.625" style="14" customWidth="1"/>
    <col min="15879" max="15879" width="9" style="14"/>
    <col min="15880" max="15880" width="6.625" style="14" customWidth="1"/>
    <col min="15881" max="15886" width="10.125" style="14" customWidth="1"/>
    <col min="15887" max="15891" width="9" style="14"/>
    <col min="15892" max="15892" width="14.25" style="14" customWidth="1"/>
    <col min="15893" max="15894" width="11.25" style="14" customWidth="1"/>
    <col min="15895" max="16128" width="9" style="14"/>
    <col min="16129" max="16129" width="8" style="14" customWidth="1"/>
    <col min="16130" max="16131" width="10.625" style="14" customWidth="1"/>
    <col min="16132" max="16133" width="7.625" style="14" customWidth="1"/>
    <col min="16134" max="16134" width="11.625" style="14" customWidth="1"/>
    <col min="16135" max="16135" width="9" style="14"/>
    <col min="16136" max="16136" width="6.625" style="14" customWidth="1"/>
    <col min="16137" max="16142" width="10.125" style="14" customWidth="1"/>
    <col min="16143" max="16147" width="9" style="14"/>
    <col min="16148" max="16148" width="14.25" style="14" customWidth="1"/>
    <col min="16149" max="16150" width="11.25" style="14" customWidth="1"/>
    <col min="16151" max="16384" width="9" style="14"/>
  </cols>
  <sheetData>
    <row r="1" spans="1:66" ht="31.5" thickBot="1" x14ac:dyDescent="0.5">
      <c r="A1" s="10" t="s">
        <v>19</v>
      </c>
      <c r="I1" s="13"/>
      <c r="J1" s="13"/>
      <c r="K1" s="13"/>
      <c r="L1" s="13"/>
      <c r="M1" s="13"/>
      <c r="N1" s="13"/>
      <c r="O1" s="13"/>
      <c r="Q1" s="13"/>
      <c r="AH1" s="16"/>
      <c r="AI1" s="16"/>
      <c r="AJ1" s="16"/>
      <c r="AK1" s="16"/>
      <c r="AL1" s="16" t="s">
        <v>49</v>
      </c>
      <c r="AM1" s="58" t="s">
        <v>50</v>
      </c>
      <c r="AN1" s="16"/>
      <c r="BC1" s="13"/>
      <c r="BD1" s="13"/>
      <c r="BE1" s="13"/>
      <c r="BF1" s="13"/>
      <c r="BG1" s="13"/>
      <c r="BH1" s="13"/>
      <c r="BI1" s="13"/>
      <c r="BJ1" s="13"/>
      <c r="BK1" s="13"/>
      <c r="BL1" s="13"/>
      <c r="BM1" s="13"/>
      <c r="BN1" s="13"/>
    </row>
    <row r="2" spans="1:66" s="20" customFormat="1" ht="39.75" customHeight="1" thickBot="1" x14ac:dyDescent="0.35">
      <c r="A2" s="17" t="s">
        <v>20</v>
      </c>
      <c r="B2" s="18" t="s">
        <v>49</v>
      </c>
      <c r="C2" s="57" t="s">
        <v>50</v>
      </c>
      <c r="D2" s="13"/>
      <c r="E2" s="19"/>
      <c r="F2" s="59" t="s">
        <v>21</v>
      </c>
      <c r="G2" s="60"/>
      <c r="I2" s="21"/>
      <c r="J2" s="21"/>
      <c r="K2" s="21"/>
      <c r="L2" s="21"/>
      <c r="M2" s="21"/>
      <c r="N2" s="21"/>
      <c r="O2" s="21"/>
      <c r="Q2" s="21"/>
      <c r="R2" s="13"/>
      <c r="S2" s="13"/>
      <c r="T2" s="13"/>
      <c r="U2" s="13"/>
      <c r="V2" s="13"/>
      <c r="W2" s="21"/>
      <c r="X2" s="21"/>
      <c r="Y2" s="13"/>
      <c r="Z2" s="13"/>
      <c r="AA2" s="13"/>
      <c r="AB2" s="13"/>
      <c r="AC2" s="13"/>
      <c r="AD2" s="13"/>
      <c r="AE2" s="13"/>
      <c r="AF2" s="13"/>
      <c r="AG2" s="13"/>
      <c r="AH2" s="16">
        <v>130</v>
      </c>
      <c r="AI2" s="16"/>
      <c r="AJ2" s="16"/>
      <c r="AK2" s="16">
        <v>130</v>
      </c>
      <c r="AL2" s="16">
        <v>0</v>
      </c>
      <c r="AM2" s="16">
        <v>0</v>
      </c>
      <c r="AN2" s="16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21"/>
      <c r="BD2" s="21"/>
      <c r="BE2" s="21"/>
      <c r="BF2" s="21"/>
      <c r="BG2" s="21"/>
      <c r="BH2" s="21"/>
      <c r="BI2" s="21"/>
      <c r="BJ2" s="21"/>
      <c r="BK2" s="21"/>
      <c r="BL2" s="21"/>
      <c r="BM2" s="21"/>
      <c r="BN2" s="21"/>
    </row>
    <row r="3" spans="1:66" ht="16.5" thickBot="1" x14ac:dyDescent="0.3">
      <c r="A3" s="22">
        <v>1</v>
      </c>
      <c r="B3" s="23">
        <v>4176.6575514732895</v>
      </c>
      <c r="C3" s="24">
        <v>281.80520441930844</v>
      </c>
      <c r="E3" s="25"/>
      <c r="F3" s="26">
        <v>10000</v>
      </c>
      <c r="G3" s="27" t="s">
        <v>22</v>
      </c>
      <c r="AH3" s="16">
        <v>140</v>
      </c>
      <c r="AI3" s="16"/>
      <c r="AJ3" s="16"/>
      <c r="AK3" s="16">
        <v>130</v>
      </c>
      <c r="AL3" s="16">
        <v>0</v>
      </c>
      <c r="AM3" s="16">
        <v>2</v>
      </c>
      <c r="AN3" s="16"/>
      <c r="BC3" s="13"/>
      <c r="BD3" s="13"/>
      <c r="BE3" s="13"/>
      <c r="BF3" s="13"/>
      <c r="BG3" s="13"/>
      <c r="BH3" s="13"/>
      <c r="BI3" s="13"/>
      <c r="BJ3" s="13"/>
      <c r="BK3" s="13"/>
      <c r="BL3" s="13"/>
      <c r="BM3" s="13"/>
      <c r="BN3" s="13"/>
    </row>
    <row r="4" spans="1:66" ht="16.5" thickBot="1" x14ac:dyDescent="0.3">
      <c r="A4" s="22">
        <v>2</v>
      </c>
      <c r="B4" s="23">
        <v>4179.4730404558259</v>
      </c>
      <c r="C4" s="24">
        <v>241.21947925070685</v>
      </c>
      <c r="E4" s="25"/>
      <c r="F4" s="28">
        <v>68.000000179745257</v>
      </c>
      <c r="G4" s="29" t="s">
        <v>23</v>
      </c>
      <c r="I4" s="67" t="s">
        <v>36</v>
      </c>
      <c r="J4" s="62"/>
      <c r="K4" s="63" t="s">
        <v>37</v>
      </c>
      <c r="L4" s="64"/>
      <c r="M4" s="65" t="s">
        <v>24</v>
      </c>
      <c r="N4" s="66"/>
      <c r="P4" s="30"/>
      <c r="AH4" s="16">
        <v>150</v>
      </c>
      <c r="AI4" s="16"/>
      <c r="AJ4" s="16"/>
      <c r="AK4" s="16">
        <v>140</v>
      </c>
      <c r="AL4" s="16">
        <v>0</v>
      </c>
      <c r="AM4" s="16">
        <v>2</v>
      </c>
      <c r="AN4" s="16"/>
      <c r="BC4" s="13"/>
      <c r="BD4" s="13"/>
      <c r="BE4" s="13"/>
      <c r="BF4" s="13"/>
      <c r="BG4" s="13"/>
      <c r="BH4" s="13"/>
      <c r="BI4" s="13"/>
      <c r="BJ4" s="13"/>
      <c r="BK4" s="13"/>
      <c r="BL4" s="13"/>
      <c r="BM4" s="13"/>
      <c r="BN4" s="13"/>
    </row>
    <row r="5" spans="1:66" x14ac:dyDescent="0.25">
      <c r="A5" s="22">
        <v>3</v>
      </c>
      <c r="B5" s="23">
        <v>4177.9646356891944</v>
      </c>
      <c r="C5" s="24">
        <v>272.99143348376049</v>
      </c>
      <c r="E5" s="31"/>
      <c r="F5" s="32"/>
      <c r="G5" s="31"/>
      <c r="I5" s="33" t="s">
        <v>25</v>
      </c>
      <c r="J5" s="34">
        <v>4180.0746495480125</v>
      </c>
      <c r="K5" s="35" t="s">
        <v>25</v>
      </c>
      <c r="L5" s="36">
        <v>263.34154825847878</v>
      </c>
      <c r="M5" s="37"/>
      <c r="N5" s="38"/>
      <c r="P5" s="30"/>
      <c r="AH5" s="16">
        <v>160</v>
      </c>
      <c r="AI5" s="16"/>
      <c r="AJ5" s="16"/>
      <c r="AK5" s="16">
        <v>140</v>
      </c>
      <c r="AL5" s="16">
        <v>0</v>
      </c>
      <c r="AM5" s="16">
        <v>4</v>
      </c>
      <c r="AN5" s="16"/>
      <c r="BC5" s="13"/>
      <c r="BD5" s="13"/>
      <c r="BE5" s="13"/>
      <c r="BF5" s="13"/>
      <c r="BG5" s="13"/>
      <c r="BH5" s="13"/>
      <c r="BI5" s="13"/>
      <c r="BJ5" s="13"/>
      <c r="BK5" s="13"/>
      <c r="BL5" s="13"/>
      <c r="BM5" s="13"/>
      <c r="BN5" s="13"/>
    </row>
    <row r="6" spans="1:66" x14ac:dyDescent="0.25">
      <c r="A6" s="22">
        <v>4</v>
      </c>
      <c r="B6" s="23">
        <v>4175.4475086555549</v>
      </c>
      <c r="C6" s="24">
        <v>234.07298602835525</v>
      </c>
      <c r="I6" s="33" t="s">
        <v>26</v>
      </c>
      <c r="J6" s="39">
        <v>4.9499777906161269</v>
      </c>
      <c r="K6" s="35" t="s">
        <v>26</v>
      </c>
      <c r="L6" s="40">
        <v>46.518868110359115</v>
      </c>
      <c r="M6" s="41"/>
      <c r="N6" s="42"/>
      <c r="AH6" s="16">
        <v>170</v>
      </c>
      <c r="AI6" s="16"/>
      <c r="AJ6" s="16"/>
      <c r="AK6" s="16">
        <v>150</v>
      </c>
      <c r="AL6" s="16">
        <v>0</v>
      </c>
      <c r="AM6" s="16">
        <v>4</v>
      </c>
      <c r="AN6" s="16"/>
      <c r="BC6" s="13"/>
      <c r="BD6" s="13"/>
      <c r="BE6" s="13"/>
      <c r="BF6" s="13"/>
      <c r="BG6" s="13"/>
      <c r="BH6" s="13"/>
      <c r="BI6" s="13"/>
      <c r="BJ6" s="13"/>
      <c r="BK6" s="13"/>
      <c r="BL6" s="13"/>
      <c r="BM6" s="13"/>
      <c r="BN6" s="13"/>
    </row>
    <row r="7" spans="1:66" x14ac:dyDescent="0.25">
      <c r="A7" s="22">
        <v>5</v>
      </c>
      <c r="B7" s="23">
        <v>4187.5623221318319</v>
      </c>
      <c r="C7" s="24">
        <v>306.50714133231389</v>
      </c>
      <c r="F7" s="43"/>
      <c r="I7" s="33" t="s">
        <v>27</v>
      </c>
      <c r="J7" s="34">
        <v>4201.0467947547531</v>
      </c>
      <c r="K7" s="35" t="s">
        <v>27</v>
      </c>
      <c r="L7" s="36">
        <v>496.23417478341082</v>
      </c>
      <c r="M7" s="25"/>
      <c r="N7" s="44"/>
      <c r="AH7" s="16">
        <v>180</v>
      </c>
      <c r="AI7" s="16"/>
      <c r="AJ7" s="16"/>
      <c r="AK7" s="16">
        <v>150</v>
      </c>
      <c r="AL7" s="16">
        <v>0</v>
      </c>
      <c r="AM7" s="16">
        <v>15</v>
      </c>
      <c r="AN7" s="16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</row>
    <row r="8" spans="1:66" ht="16.5" thickBot="1" x14ac:dyDescent="0.3">
      <c r="A8" s="22">
        <v>6</v>
      </c>
      <c r="B8" s="23">
        <v>4185.9765813334543</v>
      </c>
      <c r="C8" s="24">
        <v>351.50580011500722</v>
      </c>
      <c r="F8" s="43"/>
      <c r="I8" s="45" t="s">
        <v>28</v>
      </c>
      <c r="J8" s="46">
        <v>4159.0919624745138</v>
      </c>
      <c r="K8" s="47" t="s">
        <v>28</v>
      </c>
      <c r="L8" s="48">
        <v>132.91525002649962</v>
      </c>
      <c r="M8" s="49"/>
      <c r="N8" s="50"/>
      <c r="AH8" s="16">
        <v>190</v>
      </c>
      <c r="AI8" s="16"/>
      <c r="AJ8" s="16"/>
      <c r="AK8" s="16">
        <v>160</v>
      </c>
      <c r="AL8" s="16">
        <v>0</v>
      </c>
      <c r="AM8" s="16">
        <v>15</v>
      </c>
      <c r="AN8" s="16"/>
      <c r="BC8" s="13"/>
      <c r="BD8" s="13"/>
      <c r="BE8" s="13"/>
      <c r="BF8" s="13"/>
      <c r="BG8" s="13"/>
      <c r="BH8" s="13"/>
      <c r="BI8" s="13"/>
      <c r="BJ8" s="13"/>
      <c r="BK8" s="13"/>
      <c r="BL8" s="13"/>
      <c r="BM8" s="13"/>
      <c r="BN8" s="13"/>
    </row>
    <row r="9" spans="1:66" x14ac:dyDescent="0.25">
      <c r="A9" s="22">
        <v>7</v>
      </c>
      <c r="B9" s="23">
        <v>4178.3278833289687</v>
      </c>
      <c r="C9" s="24">
        <v>233.74492745532041</v>
      </c>
      <c r="F9" s="43"/>
      <c r="I9" s="31"/>
      <c r="J9" s="51"/>
      <c r="K9" s="31"/>
      <c r="L9" s="31"/>
      <c r="M9" s="31"/>
      <c r="N9" s="31"/>
      <c r="AH9" s="16">
        <v>200</v>
      </c>
      <c r="AI9" s="16"/>
      <c r="AJ9" s="16"/>
      <c r="AK9" s="16">
        <v>160</v>
      </c>
      <c r="AL9" s="16">
        <v>0</v>
      </c>
      <c r="AM9" s="16">
        <v>41</v>
      </c>
      <c r="AN9" s="16"/>
      <c r="BC9" s="13"/>
      <c r="BD9" s="13"/>
      <c r="BE9" s="13"/>
      <c r="BF9" s="13"/>
      <c r="BG9" s="13"/>
      <c r="BH9" s="13"/>
      <c r="BI9" s="13"/>
      <c r="BJ9" s="13"/>
      <c r="BK9" s="13"/>
      <c r="BL9" s="13"/>
      <c r="BM9" s="13"/>
      <c r="BN9" s="13"/>
    </row>
    <row r="10" spans="1:66" x14ac:dyDescent="0.25">
      <c r="A10" s="22">
        <v>8</v>
      </c>
      <c r="B10" s="23">
        <v>4187.7781449938739</v>
      </c>
      <c r="C10" s="24">
        <v>292.95804290407989</v>
      </c>
      <c r="F10" s="43"/>
      <c r="I10" s="25"/>
      <c r="J10" s="51"/>
      <c r="K10" s="31"/>
      <c r="L10" s="31"/>
      <c r="M10" s="31"/>
      <c r="N10" s="31"/>
      <c r="P10" s="30"/>
      <c r="AH10" s="16">
        <v>210</v>
      </c>
      <c r="AI10" s="16"/>
      <c r="AJ10" s="16"/>
      <c r="AK10" s="16">
        <v>170</v>
      </c>
      <c r="AL10" s="16">
        <v>0</v>
      </c>
      <c r="AM10" s="16">
        <v>41</v>
      </c>
      <c r="AN10" s="16"/>
      <c r="BC10" s="13"/>
      <c r="BD10" s="13"/>
      <c r="BE10" s="13"/>
      <c r="BF10" s="13"/>
      <c r="BG10" s="13"/>
      <c r="BH10" s="13"/>
      <c r="BI10" s="13"/>
      <c r="BJ10" s="13"/>
      <c r="BK10" s="13"/>
      <c r="BL10" s="13"/>
      <c r="BM10" s="13"/>
      <c r="BN10" s="13"/>
    </row>
    <row r="11" spans="1:66" x14ac:dyDescent="0.25">
      <c r="A11" s="22">
        <v>9</v>
      </c>
      <c r="B11" s="23">
        <v>4183.5445467280942</v>
      </c>
      <c r="C11" s="24">
        <v>356.15492596427117</v>
      </c>
      <c r="I11" s="31"/>
      <c r="J11" s="51"/>
      <c r="K11" s="31"/>
      <c r="L11" s="31"/>
      <c r="M11" s="31"/>
      <c r="N11" s="31"/>
      <c r="P11" s="30"/>
      <c r="AH11" s="16">
        <v>220</v>
      </c>
      <c r="AI11" s="16"/>
      <c r="AJ11" s="16"/>
      <c r="AK11" s="16">
        <v>170</v>
      </c>
      <c r="AL11" s="16">
        <v>0</v>
      </c>
      <c r="AM11" s="16">
        <v>81</v>
      </c>
      <c r="AN11" s="16"/>
      <c r="BC11" s="13"/>
      <c r="BD11" s="13"/>
      <c r="BE11" s="13"/>
      <c r="BF11" s="13"/>
      <c r="BG11" s="13"/>
      <c r="BH11" s="13"/>
      <c r="BI11" s="13"/>
      <c r="BJ11" s="13"/>
      <c r="BK11" s="13"/>
      <c r="BL11" s="13"/>
      <c r="BM11" s="13"/>
      <c r="BN11" s="13"/>
    </row>
    <row r="12" spans="1:66" x14ac:dyDescent="0.25">
      <c r="A12" s="22">
        <v>10</v>
      </c>
      <c r="B12" s="23">
        <v>4180.9006918709656</v>
      </c>
      <c r="C12" s="24">
        <v>277.40554855088124</v>
      </c>
      <c r="I12" s="31"/>
      <c r="J12" s="31"/>
      <c r="K12" s="31"/>
      <c r="L12" s="31"/>
      <c r="M12" s="31"/>
      <c r="N12" s="31"/>
      <c r="P12" s="30"/>
      <c r="AH12" s="16">
        <v>230</v>
      </c>
      <c r="AI12" s="16"/>
      <c r="AJ12" s="16"/>
      <c r="AK12" s="16">
        <v>180</v>
      </c>
      <c r="AL12" s="16">
        <v>0</v>
      </c>
      <c r="AM12" s="16">
        <v>81</v>
      </c>
      <c r="AN12" s="16"/>
      <c r="BC12" s="13"/>
      <c r="BD12" s="13"/>
      <c r="BE12" s="13"/>
      <c r="BF12" s="13"/>
      <c r="BG12" s="13"/>
      <c r="BH12" s="13"/>
      <c r="BI12" s="13"/>
      <c r="BJ12" s="13"/>
      <c r="BK12" s="13"/>
      <c r="BL12" s="13"/>
      <c r="BM12" s="13"/>
      <c r="BN12" s="13"/>
    </row>
    <row r="13" spans="1:66" x14ac:dyDescent="0.25">
      <c r="A13" s="22">
        <v>11</v>
      </c>
      <c r="B13" s="23">
        <v>4174.7259570687456</v>
      </c>
      <c r="C13" s="24">
        <v>296.07580823454526</v>
      </c>
      <c r="I13" s="31"/>
      <c r="J13" s="31"/>
      <c r="K13" s="31"/>
      <c r="L13" s="31"/>
      <c r="M13" s="31"/>
      <c r="N13" s="31"/>
      <c r="AH13" s="16">
        <v>240</v>
      </c>
      <c r="AI13" s="16"/>
      <c r="AJ13" s="16"/>
      <c r="AK13" s="16">
        <v>180</v>
      </c>
      <c r="AL13" s="16">
        <v>0</v>
      </c>
      <c r="AM13" s="16">
        <v>175</v>
      </c>
      <c r="AN13" s="16"/>
      <c r="BC13" s="13"/>
      <c r="BD13" s="13"/>
      <c r="BE13" s="13"/>
      <c r="BF13" s="13"/>
      <c r="BG13" s="13"/>
      <c r="BH13" s="13"/>
      <c r="BI13" s="13"/>
      <c r="BJ13" s="13"/>
      <c r="BK13" s="13"/>
      <c r="BL13" s="13"/>
      <c r="BM13" s="13"/>
      <c r="BN13" s="13"/>
    </row>
    <row r="14" spans="1:66" x14ac:dyDescent="0.25">
      <c r="A14" s="22">
        <v>12</v>
      </c>
      <c r="B14" s="23">
        <v>4177.3224105833297</v>
      </c>
      <c r="C14" s="24">
        <v>269.34012991756708</v>
      </c>
      <c r="E14" s="52"/>
      <c r="I14" s="31"/>
      <c r="J14" s="31"/>
      <c r="K14" s="31"/>
      <c r="L14" s="31"/>
      <c r="M14" s="31"/>
      <c r="N14" s="31"/>
      <c r="AH14" s="16">
        <v>250</v>
      </c>
      <c r="AI14" s="16"/>
      <c r="AJ14" s="16"/>
      <c r="AK14" s="16">
        <v>190</v>
      </c>
      <c r="AL14" s="16">
        <v>0</v>
      </c>
      <c r="AM14" s="16">
        <v>175</v>
      </c>
      <c r="AN14" s="16"/>
      <c r="BC14" s="13"/>
      <c r="BD14" s="13"/>
      <c r="BE14" s="13"/>
      <c r="BF14" s="13"/>
      <c r="BG14" s="13"/>
      <c r="BH14" s="13"/>
      <c r="BI14" s="13"/>
      <c r="BJ14" s="13"/>
      <c r="BK14" s="13"/>
      <c r="BL14" s="13"/>
      <c r="BM14" s="13"/>
      <c r="BN14" s="13"/>
    </row>
    <row r="15" spans="1:66" x14ac:dyDescent="0.25">
      <c r="A15" s="22">
        <v>13</v>
      </c>
      <c r="B15" s="23">
        <v>4181.0610058145994</v>
      </c>
      <c r="C15" s="24">
        <v>314.87323980812954</v>
      </c>
      <c r="E15" s="52"/>
      <c r="I15" s="31"/>
      <c r="J15" s="31"/>
      <c r="K15" s="31"/>
      <c r="L15" s="31"/>
      <c r="M15" s="31"/>
      <c r="N15" s="31"/>
      <c r="AH15" s="16">
        <v>260</v>
      </c>
      <c r="AI15" s="16"/>
      <c r="AJ15" s="16"/>
      <c r="AK15" s="16">
        <v>190</v>
      </c>
      <c r="AL15" s="16">
        <v>0</v>
      </c>
      <c r="AM15" s="16">
        <v>313</v>
      </c>
      <c r="AN15" s="16"/>
      <c r="BC15" s="13"/>
      <c r="BD15" s="13"/>
      <c r="BE15" s="13"/>
      <c r="BF15" s="13"/>
      <c r="BG15" s="13"/>
      <c r="BH15" s="13"/>
      <c r="BI15" s="13"/>
      <c r="BJ15" s="13"/>
      <c r="BK15" s="13"/>
      <c r="BL15" s="13"/>
      <c r="BM15" s="13"/>
      <c r="BN15" s="13"/>
    </row>
    <row r="16" spans="1:66" x14ac:dyDescent="0.25">
      <c r="A16" s="22">
        <v>14</v>
      </c>
      <c r="B16" s="23">
        <v>4174.208795515935</v>
      </c>
      <c r="C16" s="24">
        <v>235.1456729581181</v>
      </c>
      <c r="E16" s="52"/>
      <c r="I16" s="31"/>
      <c r="J16" s="31"/>
      <c r="K16" s="31"/>
      <c r="L16" s="31"/>
      <c r="M16" s="31"/>
      <c r="N16" s="31"/>
      <c r="AH16" s="16">
        <v>270</v>
      </c>
      <c r="AI16" s="16"/>
      <c r="AJ16" s="16"/>
      <c r="AK16" s="16">
        <v>200</v>
      </c>
      <c r="AL16" s="16">
        <v>0</v>
      </c>
      <c r="AM16" s="16">
        <v>313</v>
      </c>
      <c r="AN16" s="16"/>
      <c r="BC16" s="13"/>
      <c r="BD16" s="13"/>
      <c r="BE16" s="13"/>
      <c r="BF16" s="13"/>
      <c r="BG16" s="13"/>
      <c r="BH16" s="13"/>
      <c r="BI16" s="13"/>
      <c r="BJ16" s="13"/>
      <c r="BK16" s="13"/>
      <c r="BL16" s="13"/>
      <c r="BM16" s="13"/>
      <c r="BN16" s="13"/>
    </row>
    <row r="17" spans="1:66" x14ac:dyDescent="0.25">
      <c r="A17" s="22">
        <v>15</v>
      </c>
      <c r="B17" s="23">
        <v>4180.2997056484428</v>
      </c>
      <c r="C17" s="24">
        <v>227.02471762568354</v>
      </c>
      <c r="I17" s="31"/>
      <c r="J17" s="31"/>
      <c r="K17" s="31"/>
      <c r="L17" s="31"/>
      <c r="M17" s="31"/>
      <c r="N17" s="31"/>
      <c r="AH17" s="16">
        <v>280</v>
      </c>
      <c r="AI17" s="16"/>
      <c r="AJ17" s="16"/>
      <c r="AK17" s="16">
        <v>200</v>
      </c>
      <c r="AL17" s="16">
        <v>0</v>
      </c>
      <c r="AM17" s="16">
        <v>454</v>
      </c>
      <c r="AN17" s="16"/>
      <c r="BC17" s="13"/>
      <c r="BD17" s="13"/>
      <c r="BE17" s="13"/>
      <c r="BF17" s="13"/>
      <c r="BG17" s="13"/>
      <c r="BH17" s="13"/>
      <c r="BI17" s="13"/>
      <c r="BJ17" s="13"/>
      <c r="BK17" s="13"/>
      <c r="BL17" s="13"/>
      <c r="BM17" s="13"/>
      <c r="BN17" s="13"/>
    </row>
    <row r="18" spans="1:66" x14ac:dyDescent="0.25">
      <c r="A18" s="22">
        <v>16</v>
      </c>
      <c r="B18" s="23">
        <v>4180.6881034128628</v>
      </c>
      <c r="C18" s="24">
        <v>259.22882532320506</v>
      </c>
      <c r="I18" s="31"/>
      <c r="J18" s="31"/>
      <c r="K18" s="31"/>
      <c r="L18" s="31"/>
      <c r="M18" s="31"/>
      <c r="N18" s="31"/>
      <c r="AH18" s="16">
        <v>290</v>
      </c>
      <c r="AI18" s="16"/>
      <c r="AJ18" s="16"/>
      <c r="AK18" s="16">
        <v>210</v>
      </c>
      <c r="AL18" s="16">
        <v>0</v>
      </c>
      <c r="AM18" s="16">
        <v>454</v>
      </c>
      <c r="AN18" s="16"/>
      <c r="BC18" s="13"/>
      <c r="BD18" s="13"/>
      <c r="BE18" s="13"/>
      <c r="BF18" s="13"/>
      <c r="BG18" s="13"/>
      <c r="BH18" s="13"/>
      <c r="BI18" s="13"/>
      <c r="BJ18" s="13"/>
      <c r="BK18" s="13"/>
      <c r="BL18" s="13"/>
      <c r="BM18" s="13"/>
      <c r="BN18" s="13"/>
    </row>
    <row r="19" spans="1:66" x14ac:dyDescent="0.25">
      <c r="A19" s="22">
        <v>17</v>
      </c>
      <c r="B19" s="23">
        <v>4184.6641417465789</v>
      </c>
      <c r="C19" s="24">
        <v>264.4948157404603</v>
      </c>
      <c r="F19" s="53">
        <v>1</v>
      </c>
      <c r="I19" s="31"/>
      <c r="J19" s="31"/>
      <c r="K19" s="31"/>
      <c r="L19" s="31"/>
      <c r="M19" s="31"/>
      <c r="N19" s="31"/>
      <c r="AH19" s="16">
        <v>300</v>
      </c>
      <c r="AI19" s="16"/>
      <c r="AJ19" s="16"/>
      <c r="AK19" s="16">
        <v>210</v>
      </c>
      <c r="AL19" s="16">
        <v>0</v>
      </c>
      <c r="AM19" s="16">
        <v>632</v>
      </c>
      <c r="AN19" s="16"/>
      <c r="BC19" s="13"/>
      <c r="BD19" s="13"/>
      <c r="BE19" s="13"/>
      <c r="BF19" s="13"/>
      <c r="BG19" s="13"/>
      <c r="BH19" s="13"/>
      <c r="BI19" s="13"/>
      <c r="BJ19" s="13"/>
      <c r="BK19" s="13"/>
      <c r="BL19" s="13"/>
      <c r="BM19" s="13"/>
      <c r="BN19" s="13"/>
    </row>
    <row r="20" spans="1:66" x14ac:dyDescent="0.25">
      <c r="A20" s="22">
        <v>18</v>
      </c>
      <c r="B20" s="23">
        <v>4168.9470719428073</v>
      </c>
      <c r="C20" s="24">
        <v>407.27922462869196</v>
      </c>
      <c r="I20" s="31"/>
      <c r="J20" s="31"/>
      <c r="K20" s="31"/>
      <c r="L20" s="31"/>
      <c r="M20" s="31"/>
      <c r="N20" s="31"/>
      <c r="AH20" s="16">
        <v>310</v>
      </c>
      <c r="AI20" s="16"/>
      <c r="AJ20" s="16"/>
      <c r="AK20" s="16">
        <v>220</v>
      </c>
      <c r="AL20" s="16">
        <v>0</v>
      </c>
      <c r="AM20" s="16">
        <v>632</v>
      </c>
      <c r="AN20" s="16"/>
      <c r="BC20" s="13"/>
      <c r="BD20" s="13"/>
      <c r="BE20" s="13"/>
      <c r="BF20" s="13"/>
      <c r="BG20" s="13"/>
      <c r="BH20" s="13"/>
      <c r="BI20" s="13"/>
      <c r="BJ20" s="13"/>
      <c r="BK20" s="13"/>
      <c r="BL20" s="13"/>
      <c r="BM20" s="13"/>
      <c r="BN20" s="13"/>
    </row>
    <row r="21" spans="1:66" x14ac:dyDescent="0.25">
      <c r="A21" s="22">
        <v>19</v>
      </c>
      <c r="B21" s="23">
        <v>4184.6442253909881</v>
      </c>
      <c r="C21" s="24">
        <v>229.81125497351113</v>
      </c>
      <c r="I21" s="31"/>
      <c r="J21" s="31"/>
      <c r="K21" s="31"/>
      <c r="L21" s="31"/>
      <c r="M21" s="31"/>
      <c r="N21" s="31"/>
      <c r="AH21" s="16">
        <v>320</v>
      </c>
      <c r="AI21" s="16"/>
      <c r="AJ21" s="16"/>
      <c r="AK21" s="16">
        <v>220</v>
      </c>
      <c r="AL21" s="16">
        <v>0</v>
      </c>
      <c r="AM21" s="16">
        <v>762</v>
      </c>
      <c r="AN21" s="16"/>
      <c r="BC21" s="13"/>
      <c r="BD21" s="13"/>
      <c r="BE21" s="13"/>
      <c r="BF21" s="13"/>
      <c r="BG21" s="13"/>
      <c r="BH21" s="13"/>
      <c r="BI21" s="13"/>
      <c r="BJ21" s="13"/>
      <c r="BK21" s="13"/>
      <c r="BL21" s="13"/>
      <c r="BM21" s="13"/>
      <c r="BN21" s="13"/>
    </row>
    <row r="22" spans="1:66" x14ac:dyDescent="0.25">
      <c r="A22" s="22">
        <v>20</v>
      </c>
      <c r="B22" s="23">
        <v>4178.2158330900893</v>
      </c>
      <c r="C22" s="24">
        <v>259.78377136420124</v>
      </c>
      <c r="I22" s="31"/>
      <c r="J22" s="31"/>
      <c r="K22" s="31"/>
      <c r="L22" s="31"/>
      <c r="M22" s="31"/>
      <c r="N22" s="31"/>
      <c r="AH22" s="16">
        <v>330</v>
      </c>
      <c r="AI22" s="16"/>
      <c r="AJ22" s="16"/>
      <c r="AK22" s="16">
        <v>230</v>
      </c>
      <c r="AL22" s="16">
        <v>0</v>
      </c>
      <c r="AM22" s="16">
        <v>762</v>
      </c>
      <c r="AN22" s="16"/>
      <c r="BC22" s="13"/>
      <c r="BD22" s="13"/>
      <c r="BE22" s="13"/>
      <c r="BF22" s="13"/>
      <c r="BG22" s="13"/>
      <c r="BH22" s="13"/>
      <c r="BI22" s="13"/>
      <c r="BJ22" s="13"/>
      <c r="BK22" s="13"/>
      <c r="BL22" s="13"/>
      <c r="BM22" s="13"/>
      <c r="BN22" s="13"/>
    </row>
    <row r="23" spans="1:66" x14ac:dyDescent="0.25">
      <c r="A23" s="22">
        <v>21</v>
      </c>
      <c r="B23" s="23">
        <v>4172.9379812832603</v>
      </c>
      <c r="C23" s="24">
        <v>211.84754040050524</v>
      </c>
      <c r="AH23" s="16">
        <v>340</v>
      </c>
      <c r="AI23" s="16"/>
      <c r="AJ23" s="16"/>
      <c r="AK23" s="16">
        <v>230</v>
      </c>
      <c r="AL23" s="16">
        <v>0</v>
      </c>
      <c r="AM23" s="16">
        <v>830</v>
      </c>
      <c r="AN23" s="16"/>
      <c r="BC23" s="13"/>
      <c r="BD23" s="13"/>
      <c r="BE23" s="13"/>
      <c r="BF23" s="13"/>
      <c r="BG23" s="13"/>
      <c r="BH23" s="13"/>
      <c r="BI23" s="13"/>
      <c r="BJ23" s="13"/>
      <c r="BK23" s="13"/>
      <c r="BL23" s="13"/>
      <c r="BM23" s="13"/>
      <c r="BN23" s="13"/>
    </row>
    <row r="24" spans="1:66" x14ac:dyDescent="0.25">
      <c r="A24" s="22">
        <v>22</v>
      </c>
      <c r="B24" s="23">
        <v>4179.0580981195035</v>
      </c>
      <c r="C24" s="24">
        <v>208.29773721146236</v>
      </c>
      <c r="I24" s="54"/>
      <c r="AH24" s="16">
        <v>350</v>
      </c>
      <c r="AI24" s="16"/>
      <c r="AJ24" s="16"/>
      <c r="AK24" s="16">
        <v>240</v>
      </c>
      <c r="AL24" s="16">
        <v>0</v>
      </c>
      <c r="AM24" s="16">
        <v>830</v>
      </c>
      <c r="AN24" s="16"/>
      <c r="BC24" s="13"/>
      <c r="BD24" s="13"/>
      <c r="BE24" s="13"/>
      <c r="BF24" s="13"/>
      <c r="BG24" s="13"/>
      <c r="BH24" s="13"/>
      <c r="BI24" s="13"/>
      <c r="BJ24" s="13"/>
      <c r="BK24" s="13"/>
      <c r="BL24" s="13"/>
      <c r="BM24" s="13"/>
      <c r="BN24" s="13"/>
    </row>
    <row r="25" spans="1:66" x14ac:dyDescent="0.25">
      <c r="A25" s="22">
        <v>23</v>
      </c>
      <c r="B25" s="23">
        <v>4179.0055748491459</v>
      </c>
      <c r="C25" s="24">
        <v>221.26760383285446</v>
      </c>
      <c r="AH25" s="16">
        <v>360</v>
      </c>
      <c r="AI25" s="16"/>
      <c r="AJ25" s="16"/>
      <c r="AK25" s="16">
        <v>240</v>
      </c>
      <c r="AL25" s="16">
        <v>0</v>
      </c>
      <c r="AM25" s="16">
        <v>922</v>
      </c>
      <c r="AN25" s="16"/>
      <c r="BC25" s="13"/>
      <c r="BD25" s="13"/>
      <c r="BE25" s="13"/>
      <c r="BF25" s="13"/>
      <c r="BG25" s="13"/>
      <c r="BH25" s="13"/>
      <c r="BI25" s="13"/>
      <c r="BJ25" s="13"/>
      <c r="BK25" s="13"/>
      <c r="BL25" s="13"/>
      <c r="BM25" s="13"/>
      <c r="BN25" s="13"/>
    </row>
    <row r="26" spans="1:66" x14ac:dyDescent="0.25">
      <c r="A26" s="22">
        <v>24</v>
      </c>
      <c r="B26" s="23">
        <v>4185.8223113728645</v>
      </c>
      <c r="C26" s="24">
        <v>245.3773188634749</v>
      </c>
      <c r="AH26" s="16">
        <v>370</v>
      </c>
      <c r="AI26" s="16"/>
      <c r="AJ26" s="16"/>
      <c r="AK26" s="16">
        <v>250</v>
      </c>
      <c r="AL26" s="16">
        <v>0</v>
      </c>
      <c r="AM26" s="16">
        <v>922</v>
      </c>
      <c r="AN26" s="16"/>
      <c r="BC26" s="13"/>
      <c r="BD26" s="13"/>
      <c r="BE26" s="13"/>
      <c r="BF26" s="13"/>
      <c r="BG26" s="13"/>
      <c r="BH26" s="13"/>
      <c r="BI26" s="13"/>
      <c r="BJ26" s="13"/>
      <c r="BK26" s="13"/>
      <c r="BL26" s="13"/>
      <c r="BM26" s="13"/>
      <c r="BN26" s="13"/>
    </row>
    <row r="27" spans="1:66" x14ac:dyDescent="0.25">
      <c r="A27" s="22">
        <v>25</v>
      </c>
      <c r="B27" s="23">
        <v>4173.3051852569861</v>
      </c>
      <c r="C27" s="24">
        <v>255.19729297224822</v>
      </c>
      <c r="AH27" s="16">
        <v>380</v>
      </c>
      <c r="AI27" s="16"/>
      <c r="AJ27" s="16"/>
      <c r="AK27" s="16">
        <v>250</v>
      </c>
      <c r="AL27" s="16">
        <v>0</v>
      </c>
      <c r="AM27" s="16">
        <v>931</v>
      </c>
      <c r="AN27" s="16"/>
      <c r="BC27" s="13"/>
      <c r="BD27" s="13"/>
      <c r="BE27" s="13"/>
      <c r="BF27" s="13"/>
      <c r="BG27" s="13"/>
      <c r="BH27" s="13"/>
      <c r="BI27" s="13"/>
      <c r="BJ27" s="13"/>
      <c r="BK27" s="13"/>
      <c r="BL27" s="13"/>
      <c r="BM27" s="13"/>
      <c r="BN27" s="13"/>
    </row>
    <row r="28" spans="1:66" x14ac:dyDescent="0.25">
      <c r="A28" s="22">
        <v>26</v>
      </c>
      <c r="B28" s="23">
        <v>4181.8795287429048</v>
      </c>
      <c r="C28" s="24">
        <v>267.46383576197877</v>
      </c>
      <c r="AH28" s="16">
        <v>390</v>
      </c>
      <c r="AI28" s="16"/>
      <c r="AJ28" s="16"/>
      <c r="AK28" s="16">
        <v>260</v>
      </c>
      <c r="AL28" s="16">
        <v>0</v>
      </c>
      <c r="AM28" s="16">
        <v>931</v>
      </c>
      <c r="AN28" s="16"/>
      <c r="BC28" s="13"/>
      <c r="BD28" s="13"/>
      <c r="BE28" s="13"/>
      <c r="BF28" s="13"/>
      <c r="BG28" s="13"/>
      <c r="BH28" s="13"/>
      <c r="BI28" s="13"/>
      <c r="BJ28" s="13"/>
      <c r="BK28" s="13"/>
      <c r="BL28" s="13"/>
      <c r="BM28" s="13"/>
      <c r="BN28" s="13"/>
    </row>
    <row r="29" spans="1:66" x14ac:dyDescent="0.25">
      <c r="A29" s="22">
        <v>27</v>
      </c>
      <c r="B29" s="23">
        <v>4183.412267625069</v>
      </c>
      <c r="C29" s="24">
        <v>233.90118140116914</v>
      </c>
      <c r="AH29" s="16">
        <v>400</v>
      </c>
      <c r="AI29" s="16"/>
      <c r="AJ29" s="16"/>
      <c r="AK29" s="16">
        <v>260</v>
      </c>
      <c r="AL29" s="16">
        <v>0</v>
      </c>
      <c r="AM29" s="16">
        <v>862</v>
      </c>
      <c r="AN29" s="16"/>
      <c r="BC29" s="13"/>
      <c r="BD29" s="13"/>
      <c r="BE29" s="13"/>
      <c r="BF29" s="13"/>
      <c r="BG29" s="13"/>
      <c r="BH29" s="13"/>
      <c r="BI29" s="13"/>
      <c r="BJ29" s="13"/>
      <c r="BK29" s="13"/>
      <c r="BL29" s="13"/>
      <c r="BM29" s="13"/>
      <c r="BN29" s="13"/>
    </row>
    <row r="30" spans="1:66" x14ac:dyDescent="0.25">
      <c r="A30" s="22">
        <v>28</v>
      </c>
      <c r="B30" s="23">
        <v>4174.3331017612709</v>
      </c>
      <c r="C30" s="24">
        <v>322.65799266999483</v>
      </c>
      <c r="AH30" s="16">
        <v>410</v>
      </c>
      <c r="AI30" s="16"/>
      <c r="AJ30" s="16"/>
      <c r="AK30" s="16">
        <v>270</v>
      </c>
      <c r="AL30" s="16">
        <v>0</v>
      </c>
      <c r="AM30" s="16">
        <v>862</v>
      </c>
      <c r="AN30" s="16"/>
      <c r="BC30" s="13"/>
      <c r="BD30" s="13"/>
      <c r="BE30" s="13"/>
      <c r="BF30" s="13"/>
      <c r="BG30" s="13"/>
      <c r="BH30" s="13"/>
      <c r="BI30" s="13"/>
      <c r="BJ30" s="13"/>
      <c r="BK30" s="13"/>
      <c r="BL30" s="13"/>
      <c r="BM30" s="13"/>
      <c r="BN30" s="13"/>
    </row>
    <row r="31" spans="1:66" x14ac:dyDescent="0.25">
      <c r="A31" s="22">
        <v>29</v>
      </c>
      <c r="B31" s="23">
        <v>4180.3416477194733</v>
      </c>
      <c r="C31" s="24">
        <v>262.69881825863024</v>
      </c>
      <c r="AH31" s="16">
        <v>420</v>
      </c>
      <c r="AI31" s="16"/>
      <c r="AJ31" s="16"/>
      <c r="AK31" s="16">
        <v>270</v>
      </c>
      <c r="AL31" s="16">
        <v>0</v>
      </c>
      <c r="AM31" s="16">
        <v>743</v>
      </c>
      <c r="AN31" s="16"/>
      <c r="BC31" s="13"/>
      <c r="BD31" s="13"/>
      <c r="BE31" s="13"/>
      <c r="BF31" s="13"/>
      <c r="BG31" s="13"/>
      <c r="BH31" s="13"/>
      <c r="BI31" s="13"/>
      <c r="BJ31" s="13"/>
      <c r="BK31" s="13"/>
      <c r="BL31" s="13"/>
      <c r="BM31" s="13"/>
      <c r="BN31" s="13"/>
    </row>
    <row r="32" spans="1:66" x14ac:dyDescent="0.25">
      <c r="A32" s="22">
        <v>30</v>
      </c>
      <c r="B32" s="23">
        <v>4177.446286258094</v>
      </c>
      <c r="C32" s="24">
        <v>260.67078586272225</v>
      </c>
      <c r="AH32" s="16">
        <v>430</v>
      </c>
      <c r="AI32" s="16"/>
      <c r="AJ32" s="16"/>
      <c r="AK32" s="16">
        <v>280</v>
      </c>
      <c r="AL32" s="16">
        <v>0</v>
      </c>
      <c r="AM32" s="16">
        <v>743</v>
      </c>
      <c r="AN32" s="16"/>
      <c r="BC32" s="13"/>
      <c r="BD32" s="13"/>
      <c r="BE32" s="13"/>
      <c r="BF32" s="13"/>
      <c r="BG32" s="13"/>
      <c r="BH32" s="13"/>
      <c r="BI32" s="13"/>
      <c r="BJ32" s="13"/>
      <c r="BK32" s="13"/>
      <c r="BL32" s="13"/>
      <c r="BM32" s="13"/>
      <c r="BN32" s="13"/>
    </row>
    <row r="33" spans="1:66" x14ac:dyDescent="0.25">
      <c r="A33" s="22">
        <v>31</v>
      </c>
      <c r="B33" s="23">
        <v>4180.0082197778784</v>
      </c>
      <c r="C33" s="24">
        <v>306.08531157254754</v>
      </c>
      <c r="AH33" s="16">
        <v>440</v>
      </c>
      <c r="AI33" s="16"/>
      <c r="AJ33" s="16"/>
      <c r="AK33" s="16">
        <v>280</v>
      </c>
      <c r="AL33" s="16">
        <v>0</v>
      </c>
      <c r="AM33" s="16">
        <v>661</v>
      </c>
      <c r="AN33" s="16"/>
      <c r="BC33" s="13"/>
      <c r="BD33" s="13"/>
      <c r="BE33" s="13"/>
      <c r="BF33" s="13"/>
      <c r="BG33" s="13"/>
      <c r="BH33" s="13"/>
      <c r="BI33" s="13"/>
      <c r="BJ33" s="13"/>
      <c r="BK33" s="13"/>
      <c r="BL33" s="13"/>
      <c r="BM33" s="13"/>
      <c r="BN33" s="13"/>
    </row>
    <row r="34" spans="1:66" x14ac:dyDescent="0.25">
      <c r="A34" s="22">
        <v>32</v>
      </c>
      <c r="B34" s="23">
        <v>4174.6669332699976</v>
      </c>
      <c r="C34" s="24">
        <v>198.79883784279039</v>
      </c>
      <c r="AH34" s="16">
        <v>450</v>
      </c>
      <c r="AI34" s="16"/>
      <c r="AJ34" s="16"/>
      <c r="AK34" s="16">
        <v>290</v>
      </c>
      <c r="AL34" s="16">
        <v>0</v>
      </c>
      <c r="AM34" s="16">
        <v>661</v>
      </c>
      <c r="AN34" s="16"/>
      <c r="BC34" s="13"/>
      <c r="BD34" s="13"/>
      <c r="BE34" s="13"/>
      <c r="BF34" s="13"/>
      <c r="BG34" s="13"/>
      <c r="BH34" s="13"/>
      <c r="BI34" s="13"/>
      <c r="BJ34" s="13"/>
      <c r="BK34" s="13"/>
      <c r="BL34" s="13"/>
      <c r="BM34" s="13"/>
      <c r="BN34" s="13"/>
    </row>
    <row r="35" spans="1:66" x14ac:dyDescent="0.25">
      <c r="A35" s="22">
        <v>33</v>
      </c>
      <c r="B35" s="23">
        <v>4174.9917052033106</v>
      </c>
      <c r="C35" s="24">
        <v>284.81471109600471</v>
      </c>
      <c r="AH35" s="16">
        <v>460</v>
      </c>
      <c r="AI35" s="16"/>
      <c r="AJ35" s="16"/>
      <c r="AK35" s="16">
        <v>290</v>
      </c>
      <c r="AL35" s="16">
        <v>0</v>
      </c>
      <c r="AM35" s="16">
        <v>566</v>
      </c>
      <c r="AN35" s="16"/>
      <c r="BC35" s="13"/>
      <c r="BD35" s="13"/>
      <c r="BE35" s="13"/>
      <c r="BF35" s="13"/>
      <c r="BG35" s="13"/>
      <c r="BH35" s="13"/>
      <c r="BI35" s="13"/>
      <c r="BJ35" s="13"/>
      <c r="BK35" s="13"/>
      <c r="BL35" s="13"/>
      <c r="BM35" s="13"/>
      <c r="BN35" s="13"/>
    </row>
    <row r="36" spans="1:66" x14ac:dyDescent="0.25">
      <c r="A36" s="22">
        <v>34</v>
      </c>
      <c r="B36" s="23">
        <v>4176.8365107855871</v>
      </c>
      <c r="C36" s="24">
        <v>248.22062890718493</v>
      </c>
      <c r="AH36" s="16">
        <v>470</v>
      </c>
      <c r="AI36" s="16"/>
      <c r="AJ36" s="16"/>
      <c r="AK36" s="16">
        <v>300</v>
      </c>
      <c r="AL36" s="16">
        <v>0</v>
      </c>
      <c r="AM36" s="16">
        <v>566</v>
      </c>
      <c r="AN36" s="16"/>
      <c r="BC36" s="13"/>
      <c r="BD36" s="13"/>
      <c r="BE36" s="13"/>
      <c r="BF36" s="13"/>
      <c r="BG36" s="13"/>
      <c r="BH36" s="13"/>
      <c r="BI36" s="13"/>
      <c r="BJ36" s="13"/>
      <c r="BK36" s="13"/>
      <c r="BL36" s="13"/>
      <c r="BM36" s="13"/>
      <c r="BN36" s="13"/>
    </row>
    <row r="37" spans="1:66" x14ac:dyDescent="0.25">
      <c r="A37" s="22">
        <v>35</v>
      </c>
      <c r="B37" s="23">
        <v>4174.4994756201595</v>
      </c>
      <c r="C37" s="24">
        <v>219.07168731828094</v>
      </c>
      <c r="AH37" s="16">
        <v>480</v>
      </c>
      <c r="AI37" s="16"/>
      <c r="AJ37" s="16"/>
      <c r="AK37" s="16">
        <v>300</v>
      </c>
      <c r="AL37" s="16">
        <v>0</v>
      </c>
      <c r="AM37" s="16">
        <v>455</v>
      </c>
      <c r="AN37" s="16"/>
      <c r="BC37" s="13"/>
      <c r="BD37" s="13"/>
      <c r="BE37" s="13"/>
      <c r="BF37" s="13"/>
      <c r="BG37" s="13"/>
      <c r="BH37" s="13"/>
      <c r="BI37" s="13"/>
      <c r="BJ37" s="13"/>
      <c r="BK37" s="13"/>
      <c r="BL37" s="13"/>
      <c r="BM37" s="13"/>
      <c r="BN37" s="13"/>
    </row>
    <row r="38" spans="1:66" x14ac:dyDescent="0.25">
      <c r="A38" s="22">
        <v>36</v>
      </c>
      <c r="B38" s="23">
        <v>4190.2928807279313</v>
      </c>
      <c r="C38" s="24">
        <v>286.47119953577811</v>
      </c>
      <c r="AH38" s="16">
        <v>490</v>
      </c>
      <c r="AI38" s="16"/>
      <c r="AJ38" s="16"/>
      <c r="AK38" s="16">
        <v>310</v>
      </c>
      <c r="AL38" s="16">
        <v>0</v>
      </c>
      <c r="AM38" s="16">
        <v>455</v>
      </c>
      <c r="AN38" s="16"/>
      <c r="BC38" s="13"/>
      <c r="BD38" s="13"/>
      <c r="BE38" s="13"/>
      <c r="BF38" s="13"/>
      <c r="BG38" s="13"/>
      <c r="BH38" s="13"/>
      <c r="BI38" s="13"/>
      <c r="BJ38" s="13"/>
      <c r="BK38" s="13"/>
      <c r="BL38" s="13"/>
      <c r="BM38" s="13"/>
      <c r="BN38" s="13"/>
    </row>
    <row r="39" spans="1:66" x14ac:dyDescent="0.25">
      <c r="A39" s="22">
        <v>37</v>
      </c>
      <c r="B39" s="23">
        <v>4178.8120636660333</v>
      </c>
      <c r="C39" s="24">
        <v>276.98892109398935</v>
      </c>
      <c r="AH39" s="16">
        <v>500</v>
      </c>
      <c r="AI39" s="16"/>
      <c r="AJ39" s="16"/>
      <c r="AK39" s="16">
        <v>310</v>
      </c>
      <c r="AL39" s="16">
        <v>0</v>
      </c>
      <c r="AM39" s="16">
        <v>409</v>
      </c>
      <c r="AN39" s="16"/>
      <c r="BC39" s="13"/>
      <c r="BD39" s="13"/>
      <c r="BE39" s="13"/>
      <c r="BF39" s="13"/>
      <c r="BG39" s="13"/>
      <c r="BH39" s="13"/>
      <c r="BI39" s="13"/>
      <c r="BJ39" s="13"/>
      <c r="BK39" s="13"/>
      <c r="BL39" s="13"/>
      <c r="BM39" s="13"/>
      <c r="BN39" s="13"/>
    </row>
    <row r="40" spans="1:66" x14ac:dyDescent="0.25">
      <c r="A40" s="22">
        <v>38</v>
      </c>
      <c r="B40" s="23">
        <v>4174.693682384911</v>
      </c>
      <c r="C40" s="24">
        <v>243.37723447507645</v>
      </c>
      <c r="AH40" s="16">
        <v>510</v>
      </c>
      <c r="AI40" s="16"/>
      <c r="AJ40" s="16"/>
      <c r="AK40" s="16">
        <v>320</v>
      </c>
      <c r="AL40" s="16">
        <v>0</v>
      </c>
      <c r="AM40" s="16">
        <v>409</v>
      </c>
      <c r="AN40" s="16"/>
      <c r="BC40" s="13"/>
      <c r="BD40" s="13"/>
      <c r="BE40" s="13"/>
      <c r="BF40" s="13"/>
      <c r="BG40" s="13"/>
      <c r="BH40" s="13"/>
      <c r="BI40" s="13"/>
      <c r="BJ40" s="13"/>
      <c r="BK40" s="13"/>
      <c r="BL40" s="13"/>
      <c r="BM40" s="13"/>
      <c r="BN40" s="13"/>
    </row>
    <row r="41" spans="1:66" x14ac:dyDescent="0.25">
      <c r="A41" s="22">
        <v>39</v>
      </c>
      <c r="B41" s="23">
        <v>4180.9405070743023</v>
      </c>
      <c r="C41" s="24">
        <v>339.8882852888039</v>
      </c>
      <c r="AH41" s="16">
        <v>520</v>
      </c>
      <c r="AI41" s="16"/>
      <c r="AJ41" s="16"/>
      <c r="AK41" s="16">
        <v>320</v>
      </c>
      <c r="AL41" s="16">
        <v>0</v>
      </c>
      <c r="AM41" s="16">
        <v>299</v>
      </c>
      <c r="AN41" s="16"/>
      <c r="BC41" s="13"/>
      <c r="BD41" s="13"/>
      <c r="BE41" s="13"/>
      <c r="BF41" s="13"/>
      <c r="BG41" s="13"/>
      <c r="BH41" s="13"/>
      <c r="BI41" s="13"/>
      <c r="BJ41" s="13"/>
      <c r="BK41" s="13"/>
      <c r="BL41" s="13"/>
      <c r="BM41" s="13"/>
      <c r="BN41" s="13"/>
    </row>
    <row r="42" spans="1:66" x14ac:dyDescent="0.25">
      <c r="A42" s="22">
        <v>40</v>
      </c>
      <c r="B42" s="23">
        <v>4184.746981953338</v>
      </c>
      <c r="C42" s="24">
        <v>317.91129389555488</v>
      </c>
      <c r="AH42" s="16">
        <v>530</v>
      </c>
      <c r="AI42" s="16"/>
      <c r="AJ42" s="16"/>
      <c r="AK42" s="16">
        <v>330</v>
      </c>
      <c r="AL42" s="16">
        <v>0</v>
      </c>
      <c r="AM42" s="16">
        <v>299</v>
      </c>
      <c r="AN42" s="16"/>
      <c r="BC42" s="13"/>
      <c r="BD42" s="13"/>
      <c r="BE42" s="13"/>
      <c r="BF42" s="13"/>
      <c r="BG42" s="13"/>
      <c r="BH42" s="13"/>
      <c r="BI42" s="13"/>
      <c r="BJ42" s="13"/>
      <c r="BK42" s="13"/>
      <c r="BL42" s="13"/>
      <c r="BM42" s="13"/>
      <c r="BN42" s="13"/>
    </row>
    <row r="43" spans="1:66" x14ac:dyDescent="0.25">
      <c r="A43" s="22">
        <v>41</v>
      </c>
      <c r="B43" s="23">
        <v>4184.0395889338106</v>
      </c>
      <c r="C43" s="24">
        <v>242.47239967368316</v>
      </c>
      <c r="AH43" s="16">
        <v>540</v>
      </c>
      <c r="AI43" s="16"/>
      <c r="AJ43" s="16"/>
      <c r="AK43" s="16">
        <v>330</v>
      </c>
      <c r="AL43" s="16">
        <v>0</v>
      </c>
      <c r="AM43" s="16">
        <v>233</v>
      </c>
      <c r="AN43" s="16"/>
      <c r="BC43" s="13"/>
      <c r="BD43" s="13"/>
      <c r="BE43" s="13"/>
      <c r="BF43" s="13"/>
      <c r="BG43" s="13"/>
      <c r="BH43" s="13"/>
      <c r="BI43" s="13"/>
      <c r="BJ43" s="13"/>
      <c r="BK43" s="13"/>
      <c r="BL43" s="13"/>
      <c r="BM43" s="13"/>
      <c r="BN43" s="13"/>
    </row>
    <row r="44" spans="1:66" x14ac:dyDescent="0.25">
      <c r="A44" s="22">
        <v>42</v>
      </c>
      <c r="B44" s="23">
        <v>4180.7494958813732</v>
      </c>
      <c r="C44" s="24">
        <v>196.63446075568595</v>
      </c>
      <c r="AH44" s="16">
        <v>550</v>
      </c>
      <c r="AI44" s="16"/>
      <c r="AJ44" s="16"/>
      <c r="AK44" s="16">
        <v>340</v>
      </c>
      <c r="AL44" s="16">
        <v>0</v>
      </c>
      <c r="AM44" s="16">
        <v>233</v>
      </c>
      <c r="AN44" s="16"/>
      <c r="BC44" s="13"/>
      <c r="BD44" s="13"/>
      <c r="BE44" s="13"/>
      <c r="BF44" s="13"/>
      <c r="BG44" s="13"/>
      <c r="BH44" s="13"/>
      <c r="BI44" s="13"/>
      <c r="BJ44" s="13"/>
      <c r="BK44" s="13"/>
      <c r="BL44" s="13"/>
      <c r="BM44" s="13"/>
      <c r="BN44" s="13"/>
    </row>
    <row r="45" spans="1:66" x14ac:dyDescent="0.25">
      <c r="A45" s="22">
        <v>43</v>
      </c>
      <c r="B45" s="23">
        <v>4173.636210978656</v>
      </c>
      <c r="C45" s="24">
        <v>271.01568981166128</v>
      </c>
      <c r="AH45" s="16">
        <v>560</v>
      </c>
      <c r="AI45" s="16"/>
      <c r="AJ45" s="16"/>
      <c r="AK45" s="16">
        <v>340</v>
      </c>
      <c r="AL45" s="16">
        <v>0</v>
      </c>
      <c r="AM45" s="16">
        <v>161</v>
      </c>
      <c r="AN45" s="16"/>
      <c r="BC45" s="13"/>
      <c r="BD45" s="13"/>
      <c r="BE45" s="13"/>
      <c r="BF45" s="13"/>
      <c r="BG45" s="13"/>
      <c r="BH45" s="13"/>
      <c r="BI45" s="13"/>
      <c r="BJ45" s="13"/>
      <c r="BK45" s="13"/>
      <c r="BL45" s="13"/>
      <c r="BM45" s="13"/>
      <c r="BN45" s="13"/>
    </row>
    <row r="46" spans="1:66" x14ac:dyDescent="0.25">
      <c r="A46" s="22">
        <v>44</v>
      </c>
      <c r="B46" s="23">
        <v>4180.1089855023047</v>
      </c>
      <c r="C46" s="24">
        <v>248.6863461142899</v>
      </c>
      <c r="I46" s="54"/>
      <c r="AH46" s="16">
        <v>570</v>
      </c>
      <c r="AI46" s="16"/>
      <c r="AJ46" s="16"/>
      <c r="AK46" s="16">
        <v>350</v>
      </c>
      <c r="AL46" s="16">
        <v>0</v>
      </c>
      <c r="AM46" s="16">
        <v>161</v>
      </c>
      <c r="AN46" s="16"/>
      <c r="BC46" s="13"/>
      <c r="BD46" s="13"/>
      <c r="BE46" s="13"/>
      <c r="BF46" s="13"/>
      <c r="BG46" s="13"/>
      <c r="BH46" s="13"/>
      <c r="BI46" s="13"/>
      <c r="BJ46" s="13"/>
      <c r="BK46" s="13"/>
      <c r="BL46" s="13"/>
      <c r="BM46" s="13"/>
      <c r="BN46" s="13"/>
    </row>
    <row r="47" spans="1:66" x14ac:dyDescent="0.25">
      <c r="A47" s="22">
        <v>45</v>
      </c>
      <c r="B47" s="23">
        <v>4182.2648989799327</v>
      </c>
      <c r="C47" s="24">
        <v>238.14994520631555</v>
      </c>
      <c r="AH47" s="16">
        <v>580</v>
      </c>
      <c r="AI47" s="16"/>
      <c r="AJ47" s="16"/>
      <c r="AK47" s="16">
        <v>350</v>
      </c>
      <c r="AL47" s="16">
        <v>0</v>
      </c>
      <c r="AM47" s="16">
        <v>128</v>
      </c>
      <c r="AN47" s="16"/>
      <c r="BC47" s="13"/>
      <c r="BD47" s="13"/>
      <c r="BE47" s="13"/>
      <c r="BF47" s="13"/>
      <c r="BG47" s="13"/>
      <c r="BH47" s="13"/>
      <c r="BI47" s="13"/>
      <c r="BJ47" s="13"/>
      <c r="BK47" s="13"/>
      <c r="BL47" s="13"/>
      <c r="BM47" s="13"/>
      <c r="BN47" s="13"/>
    </row>
    <row r="48" spans="1:66" x14ac:dyDescent="0.25">
      <c r="A48" s="22">
        <v>46</v>
      </c>
      <c r="B48" s="23">
        <v>4181.5204994831947</v>
      </c>
      <c r="C48" s="24">
        <v>367.07755337485003</v>
      </c>
      <c r="AH48" s="16">
        <v>590</v>
      </c>
      <c r="AI48" s="16"/>
      <c r="AJ48" s="16"/>
      <c r="AK48" s="16">
        <v>360</v>
      </c>
      <c r="AL48" s="16">
        <v>0</v>
      </c>
      <c r="AM48" s="16">
        <v>128</v>
      </c>
      <c r="AN48" s="16"/>
      <c r="BC48" s="13"/>
      <c r="BD48" s="13"/>
      <c r="BE48" s="13"/>
      <c r="BF48" s="13"/>
      <c r="BG48" s="13"/>
      <c r="BH48" s="13"/>
      <c r="BI48" s="13"/>
      <c r="BJ48" s="13"/>
      <c r="BK48" s="13"/>
      <c r="BL48" s="13"/>
      <c r="BM48" s="13"/>
      <c r="BN48" s="13"/>
    </row>
    <row r="49" spans="1:66" x14ac:dyDescent="0.25">
      <c r="A49" s="22">
        <v>47</v>
      </c>
      <c r="B49" s="23">
        <v>4175.1879956174353</v>
      </c>
      <c r="C49" s="24">
        <v>357.39099255504613</v>
      </c>
      <c r="AH49" s="16">
        <v>600</v>
      </c>
      <c r="AI49" s="16"/>
      <c r="AJ49" s="16"/>
      <c r="AK49" s="16">
        <v>360</v>
      </c>
      <c r="AL49" s="16">
        <v>0</v>
      </c>
      <c r="AM49" s="16">
        <v>97</v>
      </c>
      <c r="AN49" s="16"/>
      <c r="BC49" s="13"/>
      <c r="BD49" s="13"/>
      <c r="BE49" s="13"/>
      <c r="BF49" s="13"/>
      <c r="BG49" s="13"/>
      <c r="BH49" s="13"/>
      <c r="BI49" s="13"/>
      <c r="BJ49" s="13"/>
      <c r="BK49" s="13"/>
      <c r="BL49" s="13"/>
      <c r="BM49" s="13"/>
      <c r="BN49" s="13"/>
    </row>
    <row r="50" spans="1:66" x14ac:dyDescent="0.25">
      <c r="A50" s="22">
        <v>48</v>
      </c>
      <c r="B50" s="23">
        <v>4185.3598282878047</v>
      </c>
      <c r="C50" s="24">
        <v>283.15660156060767</v>
      </c>
      <c r="AH50" s="16">
        <v>610</v>
      </c>
      <c r="AI50" s="16"/>
      <c r="AJ50" s="16"/>
      <c r="AK50" s="16">
        <v>370</v>
      </c>
      <c r="AL50" s="16">
        <v>0</v>
      </c>
      <c r="AM50" s="16">
        <v>97</v>
      </c>
      <c r="AN50" s="16"/>
      <c r="BC50" s="13"/>
      <c r="BD50" s="13"/>
      <c r="BE50" s="13"/>
      <c r="BF50" s="13"/>
      <c r="BG50" s="13"/>
      <c r="BH50" s="13"/>
      <c r="BI50" s="13"/>
      <c r="BJ50" s="13"/>
      <c r="BK50" s="13"/>
      <c r="BL50" s="13"/>
      <c r="BM50" s="13"/>
      <c r="BN50" s="13"/>
    </row>
    <row r="51" spans="1:66" x14ac:dyDescent="0.25">
      <c r="A51" s="22">
        <v>49</v>
      </c>
      <c r="B51" s="23">
        <v>4185.4781194480202</v>
      </c>
      <c r="C51" s="24">
        <v>272.18815238835231</v>
      </c>
      <c r="AH51" s="16">
        <v>620</v>
      </c>
      <c r="AI51" s="16"/>
      <c r="AJ51" s="16"/>
      <c r="AK51" s="16">
        <v>370</v>
      </c>
      <c r="AL51" s="16">
        <v>0</v>
      </c>
      <c r="AM51" s="16">
        <v>57</v>
      </c>
      <c r="AN51" s="16"/>
      <c r="BC51" s="13"/>
      <c r="BD51" s="13"/>
      <c r="BE51" s="13"/>
      <c r="BF51" s="13"/>
      <c r="BG51" s="13"/>
      <c r="BH51" s="13"/>
      <c r="BI51" s="13"/>
      <c r="BJ51" s="13"/>
      <c r="BK51" s="13"/>
      <c r="BL51" s="13"/>
      <c r="BM51" s="13"/>
      <c r="BN51" s="13"/>
    </row>
    <row r="52" spans="1:66" x14ac:dyDescent="0.25">
      <c r="A52" s="22">
        <v>50</v>
      </c>
      <c r="B52" s="23">
        <v>4179.0865041950101</v>
      </c>
      <c r="C52" s="24">
        <v>254.94496896418036</v>
      </c>
      <c r="AH52" s="16">
        <v>630</v>
      </c>
      <c r="AI52" s="16"/>
      <c r="AJ52" s="16"/>
      <c r="AK52" s="16">
        <v>380</v>
      </c>
      <c r="AL52" s="16">
        <v>0</v>
      </c>
      <c r="AM52" s="16">
        <v>57</v>
      </c>
      <c r="AN52" s="16"/>
      <c r="BC52" s="13"/>
      <c r="BD52" s="13"/>
      <c r="BE52" s="13"/>
      <c r="BF52" s="13"/>
      <c r="BG52" s="13"/>
      <c r="BH52" s="13"/>
      <c r="BI52" s="13"/>
      <c r="BJ52" s="13"/>
      <c r="BK52" s="13"/>
      <c r="BL52" s="13"/>
      <c r="BM52" s="13"/>
      <c r="BN52" s="13"/>
    </row>
    <row r="53" spans="1:66" x14ac:dyDescent="0.25">
      <c r="A53" s="22">
        <v>51</v>
      </c>
      <c r="B53" s="23">
        <v>4184.18920805992</v>
      </c>
      <c r="C53" s="24">
        <v>382.07490394458927</v>
      </c>
      <c r="AH53" s="16">
        <v>640</v>
      </c>
      <c r="AI53" s="16"/>
      <c r="AJ53" s="16"/>
      <c r="AK53" s="16">
        <v>380</v>
      </c>
      <c r="AL53" s="16">
        <v>0</v>
      </c>
      <c r="AM53" s="16">
        <v>48</v>
      </c>
      <c r="AN53" s="16"/>
      <c r="BC53" s="13"/>
      <c r="BD53" s="13"/>
      <c r="BE53" s="13"/>
      <c r="BF53" s="13"/>
      <c r="BG53" s="13"/>
      <c r="BH53" s="13"/>
      <c r="BI53" s="13"/>
      <c r="BJ53" s="13"/>
      <c r="BK53" s="13"/>
      <c r="BL53" s="13"/>
      <c r="BM53" s="13"/>
      <c r="BN53" s="13"/>
    </row>
    <row r="54" spans="1:66" x14ac:dyDescent="0.25">
      <c r="A54" s="22">
        <v>52</v>
      </c>
      <c r="B54" s="23">
        <v>4179.5151473908818</v>
      </c>
      <c r="C54" s="24">
        <v>265.45134533963869</v>
      </c>
      <c r="AH54" s="16">
        <v>650</v>
      </c>
      <c r="AI54" s="16"/>
      <c r="AJ54" s="16"/>
      <c r="AK54" s="16">
        <v>390</v>
      </c>
      <c r="AL54" s="16">
        <v>0</v>
      </c>
      <c r="AM54" s="16">
        <v>48</v>
      </c>
      <c r="AN54" s="16"/>
      <c r="BC54" s="13"/>
      <c r="BD54" s="13"/>
      <c r="BE54" s="13"/>
      <c r="BF54" s="13"/>
      <c r="BG54" s="13"/>
      <c r="BH54" s="13"/>
      <c r="BI54" s="13"/>
      <c r="BJ54" s="13"/>
      <c r="BK54" s="13"/>
      <c r="BL54" s="13"/>
      <c r="BM54" s="13"/>
      <c r="BN54" s="13"/>
    </row>
    <row r="55" spans="1:66" x14ac:dyDescent="0.25">
      <c r="A55" s="22">
        <v>53</v>
      </c>
      <c r="B55" s="23">
        <v>4178.4776315740255</v>
      </c>
      <c r="C55" s="24">
        <v>230.88919448488275</v>
      </c>
      <c r="AH55" s="16">
        <v>660</v>
      </c>
      <c r="AI55" s="16"/>
      <c r="AJ55" s="16"/>
      <c r="AK55" s="16">
        <v>390</v>
      </c>
      <c r="AL55" s="16">
        <v>0</v>
      </c>
      <c r="AM55" s="16">
        <v>29</v>
      </c>
      <c r="AN55" s="16"/>
      <c r="BC55" s="13"/>
      <c r="BD55" s="13"/>
      <c r="BE55" s="13"/>
      <c r="BF55" s="13"/>
      <c r="BG55" s="13"/>
      <c r="BH55" s="13"/>
      <c r="BI55" s="13"/>
      <c r="BJ55" s="13"/>
      <c r="BK55" s="13"/>
      <c r="BL55" s="13"/>
      <c r="BM55" s="13"/>
      <c r="BN55" s="13"/>
    </row>
    <row r="56" spans="1:66" x14ac:dyDescent="0.25">
      <c r="A56" s="22">
        <v>54</v>
      </c>
      <c r="B56" s="23">
        <v>4184.8152123511645</v>
      </c>
      <c r="C56" s="24">
        <v>211.57286690490122</v>
      </c>
      <c r="AH56" s="16">
        <v>670</v>
      </c>
      <c r="AI56" s="16"/>
      <c r="AJ56" s="16"/>
      <c r="AK56" s="16">
        <v>400</v>
      </c>
      <c r="AL56" s="16">
        <v>0</v>
      </c>
      <c r="AM56" s="16">
        <v>29</v>
      </c>
      <c r="AN56" s="16"/>
      <c r="BC56" s="13"/>
      <c r="BD56" s="13"/>
      <c r="BE56" s="13"/>
      <c r="BF56" s="13"/>
      <c r="BG56" s="13"/>
      <c r="BH56" s="13"/>
      <c r="BI56" s="13"/>
      <c r="BJ56" s="13"/>
      <c r="BK56" s="13"/>
      <c r="BL56" s="13"/>
      <c r="BM56" s="13"/>
      <c r="BN56" s="13"/>
    </row>
    <row r="57" spans="1:66" x14ac:dyDescent="0.25">
      <c r="A57" s="22">
        <v>55</v>
      </c>
      <c r="B57" s="23">
        <v>4188.4470435005223</v>
      </c>
      <c r="C57" s="24">
        <v>259.84024111756179</v>
      </c>
      <c r="AH57" s="16">
        <v>680</v>
      </c>
      <c r="AI57" s="16"/>
      <c r="AJ57" s="16"/>
      <c r="AK57" s="16">
        <v>400</v>
      </c>
      <c r="AL57" s="16">
        <v>0</v>
      </c>
      <c r="AM57" s="16">
        <v>33</v>
      </c>
      <c r="AN57" s="16"/>
      <c r="BC57" s="13"/>
      <c r="BD57" s="13"/>
      <c r="BE57" s="13"/>
      <c r="BF57" s="13"/>
      <c r="BG57" s="13"/>
      <c r="BH57" s="13"/>
      <c r="BI57" s="13"/>
      <c r="BJ57" s="13"/>
      <c r="BK57" s="13"/>
      <c r="BL57" s="13"/>
      <c r="BM57" s="13"/>
      <c r="BN57" s="13"/>
    </row>
    <row r="58" spans="1:66" x14ac:dyDescent="0.25">
      <c r="A58" s="22">
        <v>56</v>
      </c>
      <c r="B58" s="23">
        <v>4183.5493014964923</v>
      </c>
      <c r="C58" s="24">
        <v>285.60723268092931</v>
      </c>
      <c r="AH58" s="16">
        <v>690</v>
      </c>
      <c r="AI58" s="16"/>
      <c r="AJ58" s="16"/>
      <c r="AK58" s="16">
        <v>410</v>
      </c>
      <c r="AL58" s="16">
        <v>0</v>
      </c>
      <c r="AM58" s="16">
        <v>33</v>
      </c>
      <c r="AN58" s="16"/>
      <c r="BC58" s="13"/>
      <c r="BD58" s="13"/>
      <c r="BE58" s="13"/>
      <c r="BF58" s="13"/>
      <c r="BG58" s="13"/>
      <c r="BH58" s="13"/>
      <c r="BI58" s="13"/>
      <c r="BJ58" s="13"/>
      <c r="BK58" s="13"/>
      <c r="BL58" s="13"/>
      <c r="BM58" s="13"/>
      <c r="BN58" s="13"/>
    </row>
    <row r="59" spans="1:66" x14ac:dyDescent="0.25">
      <c r="A59" s="22">
        <v>57</v>
      </c>
      <c r="B59" s="23">
        <v>4170.6562242073633</v>
      </c>
      <c r="C59" s="24">
        <v>279.59563650055219</v>
      </c>
      <c r="AH59" s="16">
        <v>700</v>
      </c>
      <c r="AI59" s="16"/>
      <c r="AJ59" s="16"/>
      <c r="AK59" s="16">
        <v>410</v>
      </c>
      <c r="AL59" s="16">
        <v>0</v>
      </c>
      <c r="AM59" s="16">
        <v>12</v>
      </c>
      <c r="AN59" s="16"/>
      <c r="BC59" s="13"/>
      <c r="BD59" s="13"/>
      <c r="BE59" s="13"/>
      <c r="BF59" s="13"/>
      <c r="BG59" s="13"/>
      <c r="BH59" s="13"/>
      <c r="BI59" s="13"/>
      <c r="BJ59" s="13"/>
      <c r="BK59" s="13"/>
      <c r="BL59" s="13"/>
      <c r="BM59" s="13"/>
      <c r="BN59" s="13"/>
    </row>
    <row r="60" spans="1:66" x14ac:dyDescent="0.25">
      <c r="A60" s="22">
        <v>58</v>
      </c>
      <c r="B60" s="23">
        <v>4177.1568759944685</v>
      </c>
      <c r="C60" s="24">
        <v>262.02306538675447</v>
      </c>
      <c r="AH60" s="16">
        <v>710</v>
      </c>
      <c r="AI60" s="16"/>
      <c r="AJ60" s="16"/>
      <c r="AK60" s="16">
        <v>420</v>
      </c>
      <c r="AL60" s="16">
        <v>0</v>
      </c>
      <c r="AM60" s="16">
        <v>12</v>
      </c>
      <c r="AN60" s="16"/>
      <c r="BC60" s="13"/>
      <c r="BD60" s="13"/>
      <c r="BE60" s="13"/>
      <c r="BF60" s="13"/>
      <c r="BG60" s="13"/>
      <c r="BH60" s="13"/>
      <c r="BI60" s="13"/>
      <c r="BJ60" s="13"/>
      <c r="BK60" s="13"/>
      <c r="BL60" s="13"/>
      <c r="BM60" s="13"/>
      <c r="BN60" s="13"/>
    </row>
    <row r="61" spans="1:66" x14ac:dyDescent="0.25">
      <c r="A61" s="22">
        <v>59</v>
      </c>
      <c r="B61" s="23">
        <v>4176.8261145003435</v>
      </c>
      <c r="C61" s="24">
        <v>330.32896023132935</v>
      </c>
      <c r="AH61" s="16">
        <v>720</v>
      </c>
      <c r="AI61" s="16"/>
      <c r="AJ61" s="16"/>
      <c r="AK61" s="16">
        <v>420</v>
      </c>
      <c r="AL61" s="16">
        <v>0</v>
      </c>
      <c r="AM61" s="16">
        <v>14</v>
      </c>
      <c r="AN61" s="16"/>
      <c r="BC61" s="13"/>
      <c r="BD61" s="13"/>
      <c r="BE61" s="13"/>
      <c r="BF61" s="13"/>
      <c r="BG61" s="13"/>
      <c r="BH61" s="13"/>
      <c r="BI61" s="13"/>
      <c r="BJ61" s="13"/>
      <c r="BK61" s="13"/>
      <c r="BL61" s="13"/>
      <c r="BM61" s="13"/>
      <c r="BN61" s="13"/>
    </row>
    <row r="62" spans="1:66" x14ac:dyDescent="0.25">
      <c r="A62" s="22">
        <v>60</v>
      </c>
      <c r="B62" s="23">
        <v>4180.7290522546955</v>
      </c>
      <c r="C62" s="24">
        <v>265.19069004108275</v>
      </c>
      <c r="AH62" s="16">
        <v>730</v>
      </c>
      <c r="AI62" s="16"/>
      <c r="AJ62" s="16"/>
      <c r="AK62" s="16">
        <v>430</v>
      </c>
      <c r="AL62" s="16">
        <v>0</v>
      </c>
      <c r="AM62" s="16">
        <v>14</v>
      </c>
      <c r="AN62" s="16"/>
      <c r="BC62" s="13"/>
      <c r="BD62" s="13"/>
      <c r="BE62" s="13"/>
      <c r="BF62" s="13"/>
      <c r="BG62" s="13"/>
      <c r="BH62" s="13"/>
      <c r="BI62" s="13"/>
      <c r="BJ62" s="13"/>
      <c r="BK62" s="13"/>
      <c r="BL62" s="13"/>
      <c r="BM62" s="13"/>
      <c r="BN62" s="13"/>
    </row>
    <row r="63" spans="1:66" x14ac:dyDescent="0.25">
      <c r="A63" s="22">
        <v>61</v>
      </c>
      <c r="B63" s="23">
        <v>4178.2107018854213</v>
      </c>
      <c r="C63" s="24">
        <v>219.77527609815724</v>
      </c>
      <c r="AH63" s="16">
        <v>740</v>
      </c>
      <c r="AI63" s="16"/>
      <c r="AJ63" s="16"/>
      <c r="AK63" s="16">
        <v>430</v>
      </c>
      <c r="AL63" s="16">
        <v>0</v>
      </c>
      <c r="AM63" s="16">
        <v>11</v>
      </c>
      <c r="AN63" s="16"/>
      <c r="BC63" s="13"/>
      <c r="BD63" s="13"/>
      <c r="BE63" s="13"/>
      <c r="BF63" s="13"/>
      <c r="BG63" s="13"/>
      <c r="BH63" s="13"/>
      <c r="BI63" s="13"/>
      <c r="BJ63" s="13"/>
      <c r="BK63" s="13"/>
      <c r="BL63" s="13"/>
      <c r="BM63" s="13"/>
      <c r="BN63" s="13"/>
    </row>
    <row r="64" spans="1:66" x14ac:dyDescent="0.25">
      <c r="A64" s="22">
        <v>62</v>
      </c>
      <c r="B64" s="23">
        <v>4183.3872646310219</v>
      </c>
      <c r="C64" s="24">
        <v>224.15073913650963</v>
      </c>
      <c r="AH64" s="16">
        <v>750</v>
      </c>
      <c r="AI64" s="16"/>
      <c r="AJ64" s="16"/>
      <c r="AK64" s="16">
        <v>440</v>
      </c>
      <c r="AL64" s="16">
        <v>0</v>
      </c>
      <c r="AM64" s="16">
        <v>11</v>
      </c>
      <c r="AN64" s="16"/>
      <c r="BC64" s="13"/>
      <c r="BD64" s="13"/>
      <c r="BE64" s="13"/>
      <c r="BF64" s="13"/>
      <c r="BG64" s="13"/>
      <c r="BH64" s="13"/>
      <c r="BI64" s="13"/>
      <c r="BJ64" s="13"/>
      <c r="BK64" s="13"/>
      <c r="BL64" s="13"/>
      <c r="BM64" s="13"/>
      <c r="BN64" s="13"/>
    </row>
    <row r="65" spans="1:66" x14ac:dyDescent="0.25">
      <c r="A65" s="22">
        <v>63</v>
      </c>
      <c r="B65" s="23">
        <v>4183.150967192144</v>
      </c>
      <c r="C65" s="24">
        <v>330.35199446238664</v>
      </c>
      <c r="AH65" s="16">
        <v>760</v>
      </c>
      <c r="AI65" s="16"/>
      <c r="AJ65" s="16"/>
      <c r="AK65" s="16">
        <v>440</v>
      </c>
      <c r="AL65" s="16">
        <v>0</v>
      </c>
      <c r="AM65" s="16">
        <v>9</v>
      </c>
      <c r="AN65" s="16"/>
      <c r="BC65" s="13"/>
      <c r="BD65" s="13"/>
      <c r="BE65" s="13"/>
      <c r="BF65" s="13"/>
      <c r="BG65" s="13"/>
      <c r="BH65" s="13"/>
      <c r="BI65" s="13"/>
      <c r="BJ65" s="13"/>
      <c r="BK65" s="13"/>
      <c r="BL65" s="13"/>
      <c r="BM65" s="13"/>
      <c r="BN65" s="13"/>
    </row>
    <row r="66" spans="1:66" x14ac:dyDescent="0.25">
      <c r="A66" s="22">
        <v>64</v>
      </c>
      <c r="B66" s="23">
        <v>4174.3571952454768</v>
      </c>
      <c r="C66" s="24">
        <v>259.29561457125681</v>
      </c>
      <c r="AH66" s="16">
        <v>770</v>
      </c>
      <c r="AI66" s="16"/>
      <c r="AJ66" s="16"/>
      <c r="AK66" s="16">
        <v>450</v>
      </c>
      <c r="AL66" s="16">
        <v>0</v>
      </c>
      <c r="AM66" s="16">
        <v>9</v>
      </c>
      <c r="AN66" s="16"/>
      <c r="BC66" s="13"/>
      <c r="BD66" s="13"/>
      <c r="BE66" s="13"/>
      <c r="BF66" s="13"/>
      <c r="BG66" s="13"/>
      <c r="BH66" s="13"/>
      <c r="BI66" s="13"/>
      <c r="BJ66" s="13"/>
      <c r="BK66" s="13"/>
      <c r="BL66" s="13"/>
      <c r="BM66" s="13"/>
      <c r="BN66" s="13"/>
    </row>
    <row r="67" spans="1:66" x14ac:dyDescent="0.25">
      <c r="A67" s="22">
        <v>65</v>
      </c>
      <c r="B67" s="23">
        <v>4183.142318106954</v>
      </c>
      <c r="C67" s="24">
        <v>317.77956127797455</v>
      </c>
      <c r="AH67" s="16">
        <v>780</v>
      </c>
      <c r="AI67" s="16"/>
      <c r="AJ67" s="16"/>
      <c r="AK67" s="16">
        <v>450</v>
      </c>
      <c r="AL67" s="16">
        <v>0</v>
      </c>
      <c r="AM67" s="16">
        <v>2</v>
      </c>
      <c r="AN67" s="16"/>
      <c r="BC67" s="13"/>
      <c r="BD67" s="13"/>
      <c r="BE67" s="13"/>
      <c r="BF67" s="13"/>
      <c r="BG67" s="13"/>
      <c r="BH67" s="13"/>
      <c r="BI67" s="13"/>
      <c r="BJ67" s="13"/>
      <c r="BK67" s="13"/>
      <c r="BL67" s="13"/>
      <c r="BM67" s="13"/>
      <c r="BN67" s="13"/>
    </row>
    <row r="68" spans="1:66" x14ac:dyDescent="0.25">
      <c r="A68" s="22">
        <v>66</v>
      </c>
      <c r="B68" s="23">
        <v>4184.9862666855561</v>
      </c>
      <c r="C68" s="24">
        <v>281.82742228485131</v>
      </c>
      <c r="AH68" s="13">
        <v>790</v>
      </c>
      <c r="AK68" s="13">
        <v>460</v>
      </c>
      <c r="AL68" s="13">
        <v>0</v>
      </c>
      <c r="AM68" s="13">
        <v>2</v>
      </c>
      <c r="BC68" s="13"/>
      <c r="BD68" s="13"/>
      <c r="BE68" s="13"/>
      <c r="BF68" s="13"/>
      <c r="BG68" s="13"/>
      <c r="BH68" s="13"/>
      <c r="BI68" s="13"/>
      <c r="BJ68" s="13"/>
      <c r="BK68" s="13"/>
      <c r="BL68" s="13"/>
      <c r="BM68" s="13"/>
      <c r="BN68" s="13"/>
    </row>
    <row r="69" spans="1:66" x14ac:dyDescent="0.25">
      <c r="A69" s="22">
        <v>67</v>
      </c>
      <c r="B69" s="23">
        <v>4174.6184666047393</v>
      </c>
      <c r="C69" s="24">
        <v>234.7835293151127</v>
      </c>
      <c r="AH69" s="13">
        <v>800</v>
      </c>
      <c r="AK69" s="13">
        <v>460</v>
      </c>
      <c r="AL69" s="13">
        <v>0</v>
      </c>
      <c r="AM69" s="13">
        <v>2</v>
      </c>
      <c r="BC69" s="13"/>
      <c r="BD69" s="13"/>
      <c r="BE69" s="13"/>
      <c r="BF69" s="13"/>
      <c r="BG69" s="13"/>
      <c r="BH69" s="13"/>
      <c r="BI69" s="13"/>
      <c r="BJ69" s="13"/>
      <c r="BK69" s="13"/>
      <c r="BL69" s="13"/>
      <c r="BM69" s="13"/>
      <c r="BN69" s="13"/>
    </row>
    <row r="70" spans="1:66" x14ac:dyDescent="0.25">
      <c r="A70" s="22">
        <v>68</v>
      </c>
      <c r="B70" s="23">
        <v>4181.2888837992432</v>
      </c>
      <c r="C70" s="24">
        <v>255.91276990858401</v>
      </c>
      <c r="AH70" s="13">
        <v>810</v>
      </c>
      <c r="AK70" s="13">
        <v>470</v>
      </c>
      <c r="AL70" s="13">
        <v>0</v>
      </c>
      <c r="AM70" s="13">
        <v>2</v>
      </c>
      <c r="BC70" s="13"/>
      <c r="BD70" s="13"/>
      <c r="BE70" s="13"/>
      <c r="BF70" s="13"/>
      <c r="BG70" s="13"/>
      <c r="BH70" s="13"/>
      <c r="BI70" s="13"/>
      <c r="BJ70" s="13"/>
      <c r="BK70" s="13"/>
      <c r="BL70" s="13"/>
      <c r="BM70" s="13"/>
      <c r="BN70" s="13"/>
    </row>
    <row r="71" spans="1:66" x14ac:dyDescent="0.25">
      <c r="A71" s="22">
        <v>69</v>
      </c>
      <c r="B71" s="23">
        <v>4179.5891164187688</v>
      </c>
      <c r="C71" s="24">
        <v>266.04637448084128</v>
      </c>
      <c r="AH71" s="13">
        <v>820</v>
      </c>
      <c r="AK71" s="13">
        <v>470</v>
      </c>
      <c r="AL71" s="13">
        <v>0</v>
      </c>
      <c r="AM71" s="13">
        <v>6</v>
      </c>
      <c r="BC71" s="13"/>
      <c r="BD71" s="13"/>
      <c r="BE71" s="13"/>
      <c r="BF71" s="13"/>
      <c r="BG71" s="13"/>
      <c r="BH71" s="13"/>
      <c r="BI71" s="13"/>
      <c r="BJ71" s="13"/>
      <c r="BK71" s="13"/>
      <c r="BL71" s="13"/>
      <c r="BM71" s="13"/>
      <c r="BN71" s="13"/>
    </row>
    <row r="72" spans="1:66" x14ac:dyDescent="0.25">
      <c r="A72" s="22">
        <v>70</v>
      </c>
      <c r="B72" s="23">
        <v>4181.9765343218551</v>
      </c>
      <c r="C72" s="24">
        <v>278.49904541233718</v>
      </c>
      <c r="AH72" s="13">
        <v>830</v>
      </c>
      <c r="AK72" s="13">
        <v>480</v>
      </c>
      <c r="AL72" s="13">
        <v>0</v>
      </c>
      <c r="AM72" s="13">
        <v>6</v>
      </c>
      <c r="BC72" s="13"/>
      <c r="BD72" s="13"/>
      <c r="BE72" s="13"/>
      <c r="BF72" s="13"/>
      <c r="BG72" s="13"/>
      <c r="BH72" s="13"/>
      <c r="BI72" s="13"/>
      <c r="BJ72" s="13"/>
      <c r="BK72" s="13"/>
      <c r="BL72" s="13"/>
      <c r="BM72" s="13"/>
      <c r="BN72" s="13"/>
    </row>
    <row r="73" spans="1:66" x14ac:dyDescent="0.25">
      <c r="A73" s="22">
        <v>71</v>
      </c>
      <c r="B73" s="23">
        <v>4189.0336504076986</v>
      </c>
      <c r="C73" s="24">
        <v>291.86056280765672</v>
      </c>
      <c r="AH73" s="13">
        <v>840</v>
      </c>
      <c r="AK73" s="13">
        <v>480</v>
      </c>
      <c r="AL73" s="13">
        <v>0</v>
      </c>
      <c r="AM73" s="13">
        <v>0</v>
      </c>
      <c r="BC73" s="13"/>
      <c r="BD73" s="13"/>
      <c r="BE73" s="13"/>
      <c r="BF73" s="13"/>
      <c r="BG73" s="13"/>
      <c r="BH73" s="13"/>
      <c r="BI73" s="13"/>
      <c r="BJ73" s="13"/>
      <c r="BK73" s="13"/>
      <c r="BL73" s="13"/>
      <c r="BM73" s="13"/>
      <c r="BN73" s="13"/>
    </row>
    <row r="74" spans="1:66" x14ac:dyDescent="0.25">
      <c r="A74" s="22">
        <v>72</v>
      </c>
      <c r="B74" s="23">
        <v>4179.4475640040237</v>
      </c>
      <c r="C74" s="24">
        <v>237.59802323864039</v>
      </c>
      <c r="AH74" s="13">
        <v>850</v>
      </c>
      <c r="AK74" s="13">
        <v>490</v>
      </c>
      <c r="AL74" s="13">
        <v>0</v>
      </c>
      <c r="AM74" s="13">
        <v>0</v>
      </c>
      <c r="BC74" s="13"/>
      <c r="BD74" s="13"/>
      <c r="BE74" s="13"/>
      <c r="BF74" s="13"/>
      <c r="BG74" s="13"/>
      <c r="BH74" s="13"/>
      <c r="BI74" s="13"/>
      <c r="BJ74" s="13"/>
      <c r="BK74" s="13"/>
      <c r="BL74" s="13"/>
      <c r="BM74" s="13"/>
      <c r="BN74" s="13"/>
    </row>
    <row r="75" spans="1:66" x14ac:dyDescent="0.25">
      <c r="A75" s="22">
        <v>73</v>
      </c>
      <c r="B75" s="23">
        <v>4181.3357579794056</v>
      </c>
      <c r="C75" s="24">
        <v>276.61287244913609</v>
      </c>
      <c r="AH75" s="13">
        <v>860</v>
      </c>
      <c r="AK75" s="13">
        <v>490</v>
      </c>
      <c r="AL75" s="13">
        <v>0</v>
      </c>
      <c r="AM75" s="13">
        <v>1</v>
      </c>
      <c r="BC75" s="13"/>
      <c r="BD75" s="13"/>
      <c r="BE75" s="13"/>
      <c r="BF75" s="13"/>
      <c r="BG75" s="13"/>
      <c r="BH75" s="13"/>
      <c r="BI75" s="13"/>
      <c r="BJ75" s="13"/>
      <c r="BK75" s="13"/>
      <c r="BL75" s="13"/>
      <c r="BM75" s="13"/>
      <c r="BN75" s="13"/>
    </row>
    <row r="76" spans="1:66" x14ac:dyDescent="0.25">
      <c r="A76" s="22">
        <v>74</v>
      </c>
      <c r="B76" s="23">
        <v>4186.8631452052723</v>
      </c>
      <c r="C76" s="24">
        <v>267.74453746761179</v>
      </c>
      <c r="AH76" s="13">
        <v>870</v>
      </c>
      <c r="AK76" s="13">
        <v>500</v>
      </c>
      <c r="AL76" s="13">
        <v>0</v>
      </c>
      <c r="AM76" s="13">
        <v>1</v>
      </c>
      <c r="BC76" s="13"/>
      <c r="BD76" s="13"/>
      <c r="BE76" s="13"/>
      <c r="BF76" s="13"/>
      <c r="BG76" s="13"/>
      <c r="BH76" s="13"/>
      <c r="BI76" s="13"/>
      <c r="BJ76" s="13"/>
      <c r="BK76" s="13"/>
      <c r="BL76" s="13"/>
      <c r="BM76" s="13"/>
      <c r="BN76" s="13"/>
    </row>
    <row r="77" spans="1:66" x14ac:dyDescent="0.25">
      <c r="A77" s="22">
        <v>75</v>
      </c>
      <c r="B77" s="23">
        <v>4179.3547833624662</v>
      </c>
      <c r="C77" s="24">
        <v>221.60448162834606</v>
      </c>
      <c r="AH77" s="13">
        <v>880</v>
      </c>
      <c r="AK77" s="13">
        <v>500</v>
      </c>
      <c r="AL77" s="13">
        <v>0</v>
      </c>
      <c r="AM77" s="13">
        <v>0</v>
      </c>
      <c r="BC77" s="13"/>
      <c r="BD77" s="13"/>
      <c r="BE77" s="13"/>
      <c r="BF77" s="13"/>
      <c r="BG77" s="13"/>
      <c r="BH77" s="13"/>
      <c r="BI77" s="13"/>
      <c r="BJ77" s="13"/>
      <c r="BK77" s="13"/>
      <c r="BL77" s="13"/>
      <c r="BM77" s="13"/>
      <c r="BN77" s="13"/>
    </row>
    <row r="78" spans="1:66" x14ac:dyDescent="0.25">
      <c r="A78" s="22">
        <v>76</v>
      </c>
      <c r="B78" s="23">
        <v>4189.4409563945401</v>
      </c>
      <c r="C78" s="24">
        <v>366.06216572965809</v>
      </c>
      <c r="AH78" s="13">
        <v>890</v>
      </c>
      <c r="AK78" s="13">
        <v>510</v>
      </c>
      <c r="AL78" s="13">
        <v>0</v>
      </c>
      <c r="BC78" s="13"/>
      <c r="BD78" s="13"/>
      <c r="BE78" s="13"/>
      <c r="BF78" s="13"/>
      <c r="BG78" s="13"/>
      <c r="BH78" s="13"/>
      <c r="BI78" s="13"/>
      <c r="BJ78" s="13"/>
      <c r="BK78" s="13"/>
      <c r="BL78" s="13"/>
      <c r="BM78" s="13"/>
      <c r="BN78" s="13"/>
    </row>
    <row r="79" spans="1:66" x14ac:dyDescent="0.25">
      <c r="A79" s="22">
        <v>77</v>
      </c>
      <c r="B79" s="23">
        <v>4183.1294112188889</v>
      </c>
      <c r="C79" s="24">
        <v>322.75254423637836</v>
      </c>
      <c r="AH79" s="13">
        <v>900</v>
      </c>
      <c r="AK79" s="13">
        <v>510</v>
      </c>
      <c r="AL79" s="13">
        <v>0</v>
      </c>
      <c r="BC79" s="13"/>
      <c r="BD79" s="13"/>
      <c r="BE79" s="13"/>
      <c r="BF79" s="13"/>
      <c r="BG79" s="13"/>
      <c r="BH79" s="13"/>
      <c r="BI79" s="13"/>
      <c r="BJ79" s="13"/>
      <c r="BK79" s="13"/>
      <c r="BL79" s="13"/>
      <c r="BM79" s="13"/>
      <c r="BN79" s="13"/>
    </row>
    <row r="80" spans="1:66" x14ac:dyDescent="0.25">
      <c r="A80" s="22">
        <v>78</v>
      </c>
      <c r="B80" s="23">
        <v>4187.0110817487966</v>
      </c>
      <c r="C80" s="24">
        <v>202.2673471066783</v>
      </c>
      <c r="AH80" s="13">
        <v>910</v>
      </c>
      <c r="AK80" s="13">
        <v>520</v>
      </c>
      <c r="AL80" s="13">
        <v>0</v>
      </c>
      <c r="BC80" s="13"/>
      <c r="BD80" s="13"/>
      <c r="BE80" s="13"/>
      <c r="BF80" s="13"/>
      <c r="BG80" s="13"/>
      <c r="BH80" s="13"/>
      <c r="BI80" s="13"/>
      <c r="BJ80" s="13"/>
      <c r="BK80" s="13"/>
      <c r="BL80" s="13"/>
      <c r="BM80" s="13"/>
      <c r="BN80" s="13"/>
    </row>
    <row r="81" spans="1:66" x14ac:dyDescent="0.25">
      <c r="A81" s="22">
        <v>79</v>
      </c>
      <c r="B81" s="23">
        <v>4174.528514236059</v>
      </c>
      <c r="C81" s="24">
        <v>263.12787097088716</v>
      </c>
      <c r="AH81" s="13">
        <v>920</v>
      </c>
      <c r="AK81" s="13">
        <v>520</v>
      </c>
      <c r="AL81" s="13">
        <v>0</v>
      </c>
      <c r="BC81" s="13"/>
      <c r="BD81" s="13"/>
      <c r="BE81" s="13"/>
      <c r="BF81" s="13"/>
      <c r="BG81" s="13"/>
      <c r="BH81" s="13"/>
      <c r="BI81" s="13"/>
      <c r="BJ81" s="13"/>
      <c r="BK81" s="13"/>
      <c r="BL81" s="13"/>
      <c r="BM81" s="13"/>
      <c r="BN81" s="13"/>
    </row>
    <row r="82" spans="1:66" x14ac:dyDescent="0.25">
      <c r="A82" s="22">
        <v>80</v>
      </c>
      <c r="B82" s="23">
        <v>4183.330453662471</v>
      </c>
      <c r="C82" s="24">
        <v>226.52945389962684</v>
      </c>
      <c r="AH82" s="13">
        <v>930</v>
      </c>
      <c r="AK82" s="13">
        <v>530</v>
      </c>
      <c r="AL82" s="13">
        <v>0</v>
      </c>
      <c r="BC82" s="13"/>
      <c r="BD82" s="13"/>
      <c r="BE82" s="13"/>
      <c r="BF82" s="13"/>
      <c r="BG82" s="13"/>
      <c r="BH82" s="13"/>
      <c r="BI82" s="13"/>
      <c r="BJ82" s="13"/>
      <c r="BK82" s="13"/>
      <c r="BL82" s="13"/>
      <c r="BM82" s="13"/>
      <c r="BN82" s="13"/>
    </row>
    <row r="83" spans="1:66" x14ac:dyDescent="0.25">
      <c r="A83" s="22">
        <v>81</v>
      </c>
      <c r="B83" s="23">
        <v>4180.75594545885</v>
      </c>
      <c r="C83" s="24">
        <v>221.61910501912612</v>
      </c>
      <c r="AH83" s="13">
        <v>940</v>
      </c>
      <c r="AK83" s="13">
        <v>530</v>
      </c>
      <c r="AL83" s="13">
        <v>0</v>
      </c>
      <c r="BC83" s="13"/>
      <c r="BD83" s="13"/>
      <c r="BE83" s="13"/>
      <c r="BF83" s="13"/>
      <c r="BG83" s="13"/>
      <c r="BH83" s="13"/>
      <c r="BI83" s="13"/>
      <c r="BJ83" s="13"/>
      <c r="BK83" s="13"/>
      <c r="BL83" s="13"/>
      <c r="BM83" s="13"/>
      <c r="BN83" s="13"/>
    </row>
    <row r="84" spans="1:66" x14ac:dyDescent="0.25">
      <c r="A84" s="22">
        <v>82</v>
      </c>
      <c r="B84" s="23">
        <v>4176.2342610830665</v>
      </c>
      <c r="C84" s="24">
        <v>255.71777608088465</v>
      </c>
      <c r="AH84" s="13">
        <v>950</v>
      </c>
      <c r="AK84" s="13">
        <v>540</v>
      </c>
      <c r="AL84" s="13">
        <v>0</v>
      </c>
      <c r="BC84" s="13"/>
      <c r="BD84" s="13"/>
      <c r="BE84" s="13"/>
      <c r="BF84" s="13"/>
      <c r="BG84" s="13"/>
      <c r="BH84" s="13"/>
      <c r="BI84" s="13"/>
      <c r="BJ84" s="13"/>
      <c r="BK84" s="13"/>
      <c r="BL84" s="13"/>
      <c r="BM84" s="13"/>
      <c r="BN84" s="13"/>
    </row>
    <row r="85" spans="1:66" x14ac:dyDescent="0.25">
      <c r="A85" s="22">
        <v>83</v>
      </c>
      <c r="B85" s="23">
        <v>4183.0917778923258</v>
      </c>
      <c r="C85" s="24">
        <v>375.70743947657644</v>
      </c>
      <c r="AH85" s="13">
        <v>960</v>
      </c>
      <c r="AK85" s="13">
        <v>540</v>
      </c>
      <c r="AL85" s="13">
        <v>0</v>
      </c>
      <c r="BC85" s="13"/>
      <c r="BD85" s="13"/>
      <c r="BE85" s="13"/>
      <c r="BF85" s="13"/>
      <c r="BG85" s="13"/>
      <c r="BH85" s="13"/>
      <c r="BI85" s="13"/>
      <c r="BJ85" s="13"/>
      <c r="BK85" s="13"/>
      <c r="BL85" s="13"/>
      <c r="BM85" s="13"/>
      <c r="BN85" s="13"/>
    </row>
    <row r="86" spans="1:66" x14ac:dyDescent="0.25">
      <c r="A86" s="22">
        <v>84</v>
      </c>
      <c r="B86" s="23">
        <v>4186.1662214409371</v>
      </c>
      <c r="C86" s="24">
        <v>257.50419456358225</v>
      </c>
      <c r="AH86" s="13">
        <v>970</v>
      </c>
      <c r="AK86" s="13">
        <v>550</v>
      </c>
      <c r="AL86" s="13">
        <v>0</v>
      </c>
      <c r="BC86" s="13"/>
      <c r="BD86" s="13"/>
      <c r="BE86" s="13"/>
      <c r="BF86" s="13"/>
      <c r="BG86" s="13"/>
      <c r="BH86" s="13"/>
      <c r="BI86" s="13"/>
      <c r="BJ86" s="13"/>
      <c r="BK86" s="13"/>
      <c r="BL86" s="13"/>
      <c r="BM86" s="13"/>
      <c r="BN86" s="13"/>
    </row>
    <row r="87" spans="1:66" x14ac:dyDescent="0.25">
      <c r="A87" s="22">
        <v>85</v>
      </c>
      <c r="B87" s="23">
        <v>4175.666931192186</v>
      </c>
      <c r="C87" s="24">
        <v>257.59259114855564</v>
      </c>
      <c r="AH87" s="13">
        <v>980</v>
      </c>
      <c r="AK87" s="13">
        <v>550</v>
      </c>
      <c r="AL87" s="13">
        <v>0</v>
      </c>
      <c r="BC87" s="13"/>
      <c r="BD87" s="13"/>
      <c r="BE87" s="13"/>
      <c r="BF87" s="13"/>
      <c r="BG87" s="13"/>
      <c r="BH87" s="13"/>
      <c r="BI87" s="13"/>
      <c r="BJ87" s="13"/>
      <c r="BK87" s="13"/>
      <c r="BL87" s="13"/>
      <c r="BM87" s="13"/>
      <c r="BN87" s="13"/>
    </row>
    <row r="88" spans="1:66" x14ac:dyDescent="0.25">
      <c r="A88" s="22">
        <v>86</v>
      </c>
      <c r="B88" s="23">
        <v>4177.4824089870517</v>
      </c>
      <c r="C88" s="24">
        <v>245.31183288489822</v>
      </c>
      <c r="AH88" s="13">
        <v>990</v>
      </c>
      <c r="AK88" s="13">
        <v>560</v>
      </c>
      <c r="AL88" s="13">
        <v>0</v>
      </c>
      <c r="BC88" s="13"/>
      <c r="BD88" s="13"/>
      <c r="BE88" s="13"/>
      <c r="BF88" s="13"/>
      <c r="BG88" s="13"/>
      <c r="BH88" s="13"/>
      <c r="BI88" s="13"/>
      <c r="BJ88" s="13"/>
      <c r="BK88" s="13"/>
      <c r="BL88" s="13"/>
      <c r="BM88" s="13"/>
      <c r="BN88" s="13"/>
    </row>
    <row r="89" spans="1:66" x14ac:dyDescent="0.25">
      <c r="A89" s="22">
        <v>87</v>
      </c>
      <c r="B89" s="23">
        <v>4172.0015023814121</v>
      </c>
      <c r="C89" s="24">
        <v>281.70022510953373</v>
      </c>
      <c r="AH89" s="13">
        <v>1000</v>
      </c>
      <c r="AK89" s="13">
        <v>560</v>
      </c>
      <c r="AL89" s="13">
        <v>0</v>
      </c>
      <c r="BC89" s="13"/>
      <c r="BD89" s="13"/>
      <c r="BE89" s="13"/>
      <c r="BF89" s="13"/>
      <c r="BG89" s="13"/>
      <c r="BH89" s="13"/>
      <c r="BI89" s="13"/>
      <c r="BJ89" s="13"/>
      <c r="BK89" s="13"/>
      <c r="BL89" s="13"/>
      <c r="BM89" s="13"/>
      <c r="BN89" s="13"/>
    </row>
    <row r="90" spans="1:66" x14ac:dyDescent="0.25">
      <c r="A90" s="22">
        <v>88</v>
      </c>
      <c r="B90" s="23">
        <v>4185.7957540362377</v>
      </c>
      <c r="C90" s="24">
        <v>312.9791968643616</v>
      </c>
      <c r="AH90" s="13">
        <v>1010</v>
      </c>
      <c r="AK90" s="13">
        <v>570</v>
      </c>
      <c r="AL90" s="13">
        <v>0</v>
      </c>
      <c r="BC90" s="13"/>
      <c r="BD90" s="13"/>
      <c r="BE90" s="13"/>
      <c r="BF90" s="13"/>
      <c r="BG90" s="13"/>
      <c r="BH90" s="13"/>
      <c r="BI90" s="13"/>
      <c r="BJ90" s="13"/>
      <c r="BK90" s="13"/>
      <c r="BL90" s="13"/>
      <c r="BM90" s="13"/>
      <c r="BN90" s="13"/>
    </row>
    <row r="91" spans="1:66" x14ac:dyDescent="0.25">
      <c r="A91" s="22">
        <v>89</v>
      </c>
      <c r="B91" s="23">
        <v>4182.7802305506248</v>
      </c>
      <c r="C91" s="24">
        <v>189.91485450912134</v>
      </c>
      <c r="AH91" s="13">
        <v>1020</v>
      </c>
      <c r="AK91" s="13">
        <v>570</v>
      </c>
      <c r="AL91" s="13">
        <v>0</v>
      </c>
      <c r="BC91" s="13"/>
      <c r="BD91" s="13"/>
      <c r="BE91" s="13"/>
      <c r="BF91" s="13"/>
      <c r="BG91" s="13"/>
      <c r="BH91" s="13"/>
      <c r="BI91" s="13"/>
      <c r="BJ91" s="13"/>
      <c r="BK91" s="13"/>
      <c r="BL91" s="13"/>
      <c r="BM91" s="13"/>
      <c r="BN91" s="13"/>
    </row>
    <row r="92" spans="1:66" x14ac:dyDescent="0.25">
      <c r="A92" s="22">
        <v>90</v>
      </c>
      <c r="B92" s="23">
        <v>4176.2703697015768</v>
      </c>
      <c r="C92" s="24">
        <v>201.32123678360097</v>
      </c>
      <c r="AH92" s="13">
        <v>1030</v>
      </c>
      <c r="AK92" s="13">
        <v>580</v>
      </c>
      <c r="AL92" s="13">
        <v>0</v>
      </c>
      <c r="BC92" s="13"/>
      <c r="BD92" s="13"/>
      <c r="BE92" s="13"/>
      <c r="BF92" s="13"/>
      <c r="BG92" s="13"/>
      <c r="BH92" s="13"/>
      <c r="BI92" s="13"/>
      <c r="BJ92" s="13"/>
      <c r="BK92" s="13"/>
      <c r="BL92" s="13"/>
      <c r="BM92" s="13"/>
      <c r="BN92" s="13"/>
    </row>
    <row r="93" spans="1:66" x14ac:dyDescent="0.25">
      <c r="A93" s="22">
        <v>91</v>
      </c>
      <c r="B93" s="23">
        <v>4176.6540599813279</v>
      </c>
      <c r="C93" s="24">
        <v>338.43389227564677</v>
      </c>
      <c r="AH93" s="13">
        <v>1040</v>
      </c>
      <c r="AK93" s="13">
        <v>580</v>
      </c>
      <c r="AL93" s="13">
        <v>0</v>
      </c>
      <c r="BC93" s="13"/>
      <c r="BD93" s="13"/>
      <c r="BE93" s="13"/>
      <c r="BF93" s="13"/>
      <c r="BG93" s="13"/>
      <c r="BH93" s="13"/>
      <c r="BI93" s="13"/>
      <c r="BJ93" s="13"/>
      <c r="BK93" s="13"/>
      <c r="BL93" s="13"/>
      <c r="BM93" s="13"/>
      <c r="BN93" s="13"/>
    </row>
    <row r="94" spans="1:66" x14ac:dyDescent="0.25">
      <c r="A94" s="22">
        <v>92</v>
      </c>
      <c r="B94" s="23">
        <v>4175.5398626136357</v>
      </c>
      <c r="C94" s="24">
        <v>279.10916480009041</v>
      </c>
      <c r="AH94" s="13">
        <v>1050</v>
      </c>
      <c r="AK94" s="13">
        <v>590</v>
      </c>
      <c r="AL94" s="13">
        <v>0</v>
      </c>
      <c r="BC94" s="13"/>
      <c r="BD94" s="13"/>
      <c r="BE94" s="13"/>
      <c r="BF94" s="13"/>
      <c r="BG94" s="13"/>
      <c r="BH94" s="13"/>
      <c r="BI94" s="13"/>
      <c r="BJ94" s="13"/>
      <c r="BK94" s="13"/>
      <c r="BL94" s="13"/>
      <c r="BM94" s="13"/>
      <c r="BN94" s="13"/>
    </row>
    <row r="95" spans="1:66" x14ac:dyDescent="0.25">
      <c r="A95" s="22">
        <v>93</v>
      </c>
      <c r="B95" s="23">
        <v>4182.8799600679095</v>
      </c>
      <c r="C95" s="24">
        <v>184.00663398987788</v>
      </c>
      <c r="AH95" s="13">
        <v>1060</v>
      </c>
      <c r="AK95" s="13">
        <v>590</v>
      </c>
      <c r="AL95" s="13">
        <v>0</v>
      </c>
      <c r="BC95" s="13"/>
      <c r="BD95" s="13"/>
      <c r="BE95" s="13"/>
      <c r="BF95" s="13"/>
      <c r="BG95" s="13"/>
      <c r="BH95" s="13"/>
      <c r="BI95" s="13"/>
      <c r="BJ95" s="13"/>
      <c r="BK95" s="13"/>
      <c r="BL95" s="13"/>
      <c r="BM95" s="13"/>
      <c r="BN95" s="13"/>
    </row>
    <row r="96" spans="1:66" x14ac:dyDescent="0.25">
      <c r="A96" s="22">
        <v>94</v>
      </c>
      <c r="B96" s="23">
        <v>4185.9050953316673</v>
      </c>
      <c r="C96" s="24">
        <v>243.37541593221999</v>
      </c>
      <c r="AH96" s="13">
        <v>1070</v>
      </c>
      <c r="AK96" s="13">
        <v>600</v>
      </c>
      <c r="AL96" s="13">
        <v>0</v>
      </c>
      <c r="BC96" s="13"/>
      <c r="BD96" s="13"/>
      <c r="BE96" s="13"/>
      <c r="BF96" s="13"/>
      <c r="BG96" s="13"/>
      <c r="BH96" s="13"/>
      <c r="BI96" s="13"/>
      <c r="BJ96" s="13"/>
      <c r="BK96" s="13"/>
      <c r="BL96" s="13"/>
      <c r="BM96" s="13"/>
      <c r="BN96" s="13"/>
    </row>
    <row r="97" spans="1:66" x14ac:dyDescent="0.25">
      <c r="A97" s="22">
        <v>95</v>
      </c>
      <c r="B97" s="23">
        <v>4179.1174258034343</v>
      </c>
      <c r="C97" s="24">
        <v>244.15344178045476</v>
      </c>
      <c r="AH97" s="13">
        <v>1080</v>
      </c>
      <c r="AK97" s="13">
        <v>600</v>
      </c>
      <c r="AL97" s="13">
        <v>0</v>
      </c>
      <c r="BC97" s="13"/>
      <c r="BD97" s="13"/>
      <c r="BE97" s="13"/>
      <c r="BF97" s="13"/>
      <c r="BG97" s="13"/>
      <c r="BH97" s="13"/>
      <c r="BI97" s="13"/>
      <c r="BJ97" s="13"/>
      <c r="BK97" s="13"/>
      <c r="BL97" s="13"/>
      <c r="BM97" s="13"/>
      <c r="BN97" s="13"/>
    </row>
    <row r="98" spans="1:66" x14ac:dyDescent="0.25">
      <c r="A98" s="22">
        <v>96</v>
      </c>
      <c r="B98" s="23">
        <v>4177.8883065561513</v>
      </c>
      <c r="C98" s="24">
        <v>222.95600353952864</v>
      </c>
      <c r="AH98" s="13">
        <v>1090</v>
      </c>
      <c r="AK98" s="13">
        <v>610</v>
      </c>
      <c r="AL98" s="13">
        <v>0</v>
      </c>
      <c r="BC98" s="13"/>
      <c r="BD98" s="13"/>
      <c r="BE98" s="13"/>
      <c r="BF98" s="13"/>
      <c r="BG98" s="13"/>
      <c r="BH98" s="13"/>
      <c r="BI98" s="13"/>
      <c r="BJ98" s="13"/>
      <c r="BK98" s="13"/>
      <c r="BL98" s="13"/>
      <c r="BM98" s="13"/>
      <c r="BN98" s="13"/>
    </row>
    <row r="99" spans="1:66" x14ac:dyDescent="0.25">
      <c r="A99" s="22">
        <v>97</v>
      </c>
      <c r="B99" s="23">
        <v>4188.3652568744255</v>
      </c>
      <c r="C99" s="24">
        <v>305.02905188912922</v>
      </c>
      <c r="AH99" s="13">
        <v>1100</v>
      </c>
      <c r="AK99" s="13">
        <v>610</v>
      </c>
      <c r="AL99" s="13">
        <v>0</v>
      </c>
      <c r="BC99" s="13"/>
      <c r="BD99" s="13"/>
      <c r="BE99" s="13"/>
      <c r="BF99" s="13"/>
      <c r="BG99" s="13"/>
      <c r="BH99" s="13"/>
      <c r="BI99" s="13"/>
      <c r="BJ99" s="13"/>
      <c r="BK99" s="13"/>
      <c r="BL99" s="13"/>
      <c r="BM99" s="13"/>
      <c r="BN99" s="13"/>
    </row>
    <row r="100" spans="1:66" x14ac:dyDescent="0.25">
      <c r="A100" s="22">
        <v>98</v>
      </c>
      <c r="B100" s="23">
        <v>4177.6501490256751</v>
      </c>
      <c r="C100" s="24">
        <v>292.76666159552008</v>
      </c>
      <c r="AH100" s="13">
        <v>1110</v>
      </c>
      <c r="AK100" s="13">
        <v>620</v>
      </c>
      <c r="AL100" s="13">
        <v>0</v>
      </c>
      <c r="BC100" s="13"/>
      <c r="BD100" s="13"/>
      <c r="BE100" s="13"/>
      <c r="BF100" s="13"/>
      <c r="BG100" s="13"/>
      <c r="BH100" s="13"/>
      <c r="BI100" s="13"/>
      <c r="BJ100" s="13"/>
      <c r="BK100" s="13"/>
      <c r="BL100" s="13"/>
      <c r="BM100" s="13"/>
      <c r="BN100" s="13"/>
    </row>
    <row r="101" spans="1:66" x14ac:dyDescent="0.25">
      <c r="A101" s="22">
        <v>99</v>
      </c>
      <c r="B101" s="23">
        <v>4180.5324135530882</v>
      </c>
      <c r="C101" s="24">
        <v>241.37110568923001</v>
      </c>
      <c r="AH101" s="13">
        <v>1120</v>
      </c>
      <c r="AK101" s="13">
        <v>620</v>
      </c>
      <c r="AL101" s="13">
        <v>0</v>
      </c>
      <c r="BC101" s="13"/>
      <c r="BD101" s="13"/>
      <c r="BE101" s="13"/>
      <c r="BF101" s="13"/>
      <c r="BG101" s="13"/>
      <c r="BH101" s="13"/>
      <c r="BI101" s="13"/>
      <c r="BJ101" s="13"/>
      <c r="BK101" s="13"/>
      <c r="BL101" s="13"/>
      <c r="BM101" s="13"/>
      <c r="BN101" s="13"/>
    </row>
    <row r="102" spans="1:66" x14ac:dyDescent="0.25">
      <c r="A102" s="22">
        <v>100</v>
      </c>
      <c r="B102" s="23">
        <v>4177.1858853446074</v>
      </c>
      <c r="C102" s="24">
        <v>224.33031011546322</v>
      </c>
      <c r="AH102" s="13">
        <v>1130</v>
      </c>
      <c r="AK102" s="13">
        <v>630</v>
      </c>
      <c r="AL102" s="13">
        <v>0</v>
      </c>
      <c r="BC102" s="13"/>
      <c r="BD102" s="13"/>
      <c r="BE102" s="13"/>
      <c r="BF102" s="13"/>
      <c r="BG102" s="13"/>
      <c r="BH102" s="13"/>
      <c r="BI102" s="13"/>
      <c r="BJ102" s="13"/>
      <c r="BK102" s="13"/>
      <c r="BL102" s="13"/>
      <c r="BM102" s="13"/>
      <c r="BN102" s="13"/>
    </row>
    <row r="103" spans="1:66" x14ac:dyDescent="0.25">
      <c r="A103" s="55" t="s">
        <v>29</v>
      </c>
      <c r="AH103" s="13">
        <v>1140</v>
      </c>
      <c r="AK103" s="13">
        <v>630</v>
      </c>
      <c r="AL103" s="13">
        <v>0</v>
      </c>
    </row>
    <row r="104" spans="1:66" x14ac:dyDescent="0.25">
      <c r="AH104" s="13">
        <v>1150</v>
      </c>
      <c r="AK104" s="13">
        <v>640</v>
      </c>
      <c r="AL104" s="13">
        <v>0</v>
      </c>
    </row>
    <row r="105" spans="1:66" x14ac:dyDescent="0.25">
      <c r="AH105" s="13">
        <v>1160</v>
      </c>
      <c r="AK105" s="13">
        <v>640</v>
      </c>
      <c r="AL105" s="13">
        <v>0</v>
      </c>
    </row>
    <row r="106" spans="1:66" x14ac:dyDescent="0.25">
      <c r="AH106" s="13">
        <v>1170</v>
      </c>
      <c r="AK106" s="13">
        <v>650</v>
      </c>
      <c r="AL106" s="13">
        <v>0</v>
      </c>
    </row>
    <row r="107" spans="1:66" x14ac:dyDescent="0.25">
      <c r="AH107" s="13">
        <v>1180</v>
      </c>
      <c r="AK107" s="13">
        <v>650</v>
      </c>
      <c r="AL107" s="13">
        <v>0</v>
      </c>
    </row>
    <row r="108" spans="1:66" x14ac:dyDescent="0.25">
      <c r="AH108" s="13">
        <v>1190</v>
      </c>
      <c r="AK108" s="13">
        <v>660</v>
      </c>
      <c r="AL108" s="13">
        <v>0</v>
      </c>
    </row>
    <row r="109" spans="1:66" x14ac:dyDescent="0.25">
      <c r="AH109" s="13">
        <v>1200</v>
      </c>
      <c r="AK109" s="13">
        <v>660</v>
      </c>
      <c r="AL109" s="13">
        <v>0</v>
      </c>
    </row>
    <row r="110" spans="1:66" x14ac:dyDescent="0.25">
      <c r="AH110" s="13">
        <v>1210</v>
      </c>
      <c r="AK110" s="13">
        <v>670</v>
      </c>
      <c r="AL110" s="13">
        <v>0</v>
      </c>
    </row>
    <row r="111" spans="1:66" x14ac:dyDescent="0.25">
      <c r="AH111" s="13">
        <v>1220</v>
      </c>
      <c r="AK111" s="13">
        <v>670</v>
      </c>
      <c r="AL111" s="13">
        <v>0</v>
      </c>
    </row>
    <row r="112" spans="1:66" x14ac:dyDescent="0.25">
      <c r="AH112" s="13">
        <v>1230</v>
      </c>
      <c r="AK112" s="13">
        <v>680</v>
      </c>
      <c r="AL112" s="13">
        <v>0</v>
      </c>
    </row>
    <row r="113" spans="34:38" x14ac:dyDescent="0.25">
      <c r="AH113" s="13">
        <v>1240</v>
      </c>
      <c r="AK113" s="13">
        <v>680</v>
      </c>
      <c r="AL113" s="13">
        <v>0</v>
      </c>
    </row>
    <row r="114" spans="34:38" x14ac:dyDescent="0.25">
      <c r="AH114" s="13">
        <v>1250</v>
      </c>
      <c r="AK114" s="13">
        <v>690</v>
      </c>
      <c r="AL114" s="13">
        <v>0</v>
      </c>
    </row>
    <row r="115" spans="34:38" x14ac:dyDescent="0.25">
      <c r="AH115" s="13">
        <v>1260</v>
      </c>
      <c r="AK115" s="13">
        <v>690</v>
      </c>
      <c r="AL115" s="13">
        <v>0</v>
      </c>
    </row>
    <row r="116" spans="34:38" x14ac:dyDescent="0.25">
      <c r="AH116" s="13">
        <v>1270</v>
      </c>
      <c r="AK116" s="13">
        <v>700</v>
      </c>
      <c r="AL116" s="13">
        <v>0</v>
      </c>
    </row>
    <row r="117" spans="34:38" x14ac:dyDescent="0.25">
      <c r="AH117" s="13">
        <v>1280</v>
      </c>
      <c r="AK117" s="13">
        <v>700</v>
      </c>
      <c r="AL117" s="13">
        <v>0</v>
      </c>
    </row>
    <row r="118" spans="34:38" x14ac:dyDescent="0.25">
      <c r="AH118" s="13">
        <v>1290</v>
      </c>
      <c r="AK118" s="13">
        <v>710</v>
      </c>
      <c r="AL118" s="13">
        <v>0</v>
      </c>
    </row>
    <row r="119" spans="34:38" x14ac:dyDescent="0.25">
      <c r="AH119" s="13">
        <v>1300</v>
      </c>
      <c r="AK119" s="13">
        <v>710</v>
      </c>
      <c r="AL119" s="13">
        <v>0</v>
      </c>
    </row>
    <row r="120" spans="34:38" x14ac:dyDescent="0.25">
      <c r="AH120" s="13">
        <v>1310</v>
      </c>
      <c r="AK120" s="13">
        <v>720</v>
      </c>
      <c r="AL120" s="13">
        <v>0</v>
      </c>
    </row>
    <row r="121" spans="34:38" x14ac:dyDescent="0.25">
      <c r="AH121" s="13">
        <v>1320</v>
      </c>
      <c r="AK121" s="13">
        <v>720</v>
      </c>
      <c r="AL121" s="13">
        <v>0</v>
      </c>
    </row>
    <row r="122" spans="34:38" x14ac:dyDescent="0.25">
      <c r="AH122" s="13">
        <v>1330</v>
      </c>
      <c r="AK122" s="13">
        <v>730</v>
      </c>
      <c r="AL122" s="13">
        <v>0</v>
      </c>
    </row>
    <row r="123" spans="34:38" x14ac:dyDescent="0.25">
      <c r="AH123" s="13">
        <v>1340</v>
      </c>
      <c r="AK123" s="13">
        <v>730</v>
      </c>
      <c r="AL123" s="13">
        <v>0</v>
      </c>
    </row>
    <row r="124" spans="34:38" x14ac:dyDescent="0.25">
      <c r="AH124" s="13">
        <v>1350</v>
      </c>
      <c r="AK124" s="13">
        <v>740</v>
      </c>
      <c r="AL124" s="13">
        <v>0</v>
      </c>
    </row>
    <row r="125" spans="34:38" x14ac:dyDescent="0.25">
      <c r="AH125" s="13">
        <v>1360</v>
      </c>
      <c r="AK125" s="13">
        <v>740</v>
      </c>
      <c r="AL125" s="13">
        <v>0</v>
      </c>
    </row>
    <row r="126" spans="34:38" x14ac:dyDescent="0.25">
      <c r="AH126" s="13">
        <v>1370</v>
      </c>
      <c r="AK126" s="13">
        <v>750</v>
      </c>
      <c r="AL126" s="13">
        <v>0</v>
      </c>
    </row>
    <row r="127" spans="34:38" x14ac:dyDescent="0.25">
      <c r="AH127" s="13">
        <v>1380</v>
      </c>
      <c r="AK127" s="13">
        <v>750</v>
      </c>
      <c r="AL127" s="13">
        <v>0</v>
      </c>
    </row>
    <row r="128" spans="34:38" x14ac:dyDescent="0.25">
      <c r="AH128" s="13">
        <v>1390</v>
      </c>
      <c r="AK128" s="13">
        <v>760</v>
      </c>
      <c r="AL128" s="13">
        <v>0</v>
      </c>
    </row>
    <row r="129" spans="34:38" x14ac:dyDescent="0.25">
      <c r="AH129" s="13">
        <v>1400</v>
      </c>
      <c r="AK129" s="13">
        <v>760</v>
      </c>
      <c r="AL129" s="13">
        <v>0</v>
      </c>
    </row>
    <row r="130" spans="34:38" x14ac:dyDescent="0.25">
      <c r="AH130" s="13">
        <v>1410</v>
      </c>
      <c r="AK130" s="13">
        <v>770</v>
      </c>
      <c r="AL130" s="13">
        <v>0</v>
      </c>
    </row>
    <row r="131" spans="34:38" x14ac:dyDescent="0.25">
      <c r="AH131" s="13">
        <v>1420</v>
      </c>
      <c r="AK131" s="13">
        <v>770</v>
      </c>
      <c r="AL131" s="13">
        <v>0</v>
      </c>
    </row>
    <row r="132" spans="34:38" x14ac:dyDescent="0.25">
      <c r="AH132" s="13">
        <v>1430</v>
      </c>
      <c r="AK132" s="13">
        <v>780</v>
      </c>
      <c r="AL132" s="13">
        <v>0</v>
      </c>
    </row>
    <row r="133" spans="34:38" x14ac:dyDescent="0.25">
      <c r="AH133" s="13">
        <v>1440</v>
      </c>
      <c r="AK133" s="13">
        <v>780</v>
      </c>
      <c r="AL133" s="13">
        <v>0</v>
      </c>
    </row>
    <row r="134" spans="34:38" x14ac:dyDescent="0.25">
      <c r="AH134" s="13">
        <v>1450</v>
      </c>
      <c r="AK134" s="13">
        <v>790</v>
      </c>
      <c r="AL134" s="13">
        <v>0</v>
      </c>
    </row>
    <row r="135" spans="34:38" x14ac:dyDescent="0.25">
      <c r="AH135" s="13">
        <v>1460</v>
      </c>
      <c r="AK135" s="13">
        <v>790</v>
      </c>
      <c r="AL135" s="13">
        <v>0</v>
      </c>
    </row>
    <row r="136" spans="34:38" x14ac:dyDescent="0.25">
      <c r="AH136" s="13">
        <v>1470</v>
      </c>
      <c r="AK136" s="13">
        <v>800</v>
      </c>
      <c r="AL136" s="13">
        <v>0</v>
      </c>
    </row>
    <row r="137" spans="34:38" x14ac:dyDescent="0.25">
      <c r="AH137" s="13">
        <v>1480</v>
      </c>
      <c r="AK137" s="13">
        <v>800</v>
      </c>
      <c r="AL137" s="13">
        <v>0</v>
      </c>
    </row>
    <row r="138" spans="34:38" x14ac:dyDescent="0.25">
      <c r="AH138" s="13">
        <v>1490</v>
      </c>
      <c r="AK138" s="13">
        <v>810</v>
      </c>
      <c r="AL138" s="13">
        <v>0</v>
      </c>
    </row>
    <row r="139" spans="34:38" x14ac:dyDescent="0.25">
      <c r="AH139" s="13">
        <v>1500</v>
      </c>
      <c r="AK139" s="13">
        <v>810</v>
      </c>
      <c r="AL139" s="13">
        <v>0</v>
      </c>
    </row>
    <row r="140" spans="34:38" x14ac:dyDescent="0.25">
      <c r="AH140" s="13">
        <v>1510</v>
      </c>
      <c r="AK140" s="13">
        <v>820</v>
      </c>
      <c r="AL140" s="13">
        <v>0</v>
      </c>
    </row>
    <row r="141" spans="34:38" x14ac:dyDescent="0.25">
      <c r="AH141" s="13">
        <v>1520</v>
      </c>
      <c r="AK141" s="13">
        <v>820</v>
      </c>
      <c r="AL141" s="13">
        <v>0</v>
      </c>
    </row>
    <row r="142" spans="34:38" x14ac:dyDescent="0.25">
      <c r="AH142" s="13">
        <v>1530</v>
      </c>
      <c r="AK142" s="13">
        <v>830</v>
      </c>
      <c r="AL142" s="13">
        <v>0</v>
      </c>
    </row>
    <row r="143" spans="34:38" x14ac:dyDescent="0.25">
      <c r="AH143" s="13">
        <v>1540</v>
      </c>
      <c r="AK143" s="13">
        <v>830</v>
      </c>
      <c r="AL143" s="13">
        <v>0</v>
      </c>
    </row>
    <row r="144" spans="34:38" x14ac:dyDescent="0.25">
      <c r="AH144" s="13">
        <v>1550</v>
      </c>
      <c r="AK144" s="13">
        <v>840</v>
      </c>
      <c r="AL144" s="13">
        <v>0</v>
      </c>
    </row>
    <row r="145" spans="34:38" x14ac:dyDescent="0.25">
      <c r="AH145" s="13">
        <v>1560</v>
      </c>
      <c r="AK145" s="13">
        <v>840</v>
      </c>
      <c r="AL145" s="13">
        <v>0</v>
      </c>
    </row>
    <row r="146" spans="34:38" x14ac:dyDescent="0.25">
      <c r="AH146" s="13">
        <v>1570</v>
      </c>
      <c r="AK146" s="13">
        <v>850</v>
      </c>
      <c r="AL146" s="13">
        <v>0</v>
      </c>
    </row>
    <row r="147" spans="34:38" x14ac:dyDescent="0.25">
      <c r="AH147" s="13">
        <v>1580</v>
      </c>
      <c r="AK147" s="13">
        <v>850</v>
      </c>
      <c r="AL147" s="13">
        <v>0</v>
      </c>
    </row>
    <row r="148" spans="34:38" x14ac:dyDescent="0.25">
      <c r="AH148" s="13">
        <v>1590</v>
      </c>
      <c r="AK148" s="13">
        <v>860</v>
      </c>
      <c r="AL148" s="13">
        <v>0</v>
      </c>
    </row>
    <row r="149" spans="34:38" x14ac:dyDescent="0.25">
      <c r="AH149" s="13">
        <v>1600</v>
      </c>
      <c r="AK149" s="13">
        <v>860</v>
      </c>
      <c r="AL149" s="13">
        <v>0</v>
      </c>
    </row>
    <row r="150" spans="34:38" x14ac:dyDescent="0.25">
      <c r="AH150" s="13">
        <v>1610</v>
      </c>
      <c r="AK150" s="13">
        <v>870</v>
      </c>
      <c r="AL150" s="13">
        <v>0</v>
      </c>
    </row>
    <row r="151" spans="34:38" x14ac:dyDescent="0.25">
      <c r="AH151" s="13">
        <v>1620</v>
      </c>
      <c r="AK151" s="13">
        <v>870</v>
      </c>
      <c r="AL151" s="13">
        <v>0</v>
      </c>
    </row>
    <row r="152" spans="34:38" x14ac:dyDescent="0.25">
      <c r="AH152" s="13">
        <v>1630</v>
      </c>
      <c r="AK152" s="13">
        <v>880</v>
      </c>
      <c r="AL152" s="13">
        <v>0</v>
      </c>
    </row>
    <row r="153" spans="34:38" x14ac:dyDescent="0.25">
      <c r="AH153" s="13">
        <v>1640</v>
      </c>
      <c r="AK153" s="13">
        <v>880</v>
      </c>
      <c r="AL153" s="13">
        <v>0</v>
      </c>
    </row>
    <row r="154" spans="34:38" x14ac:dyDescent="0.25">
      <c r="AH154" s="13">
        <v>1650</v>
      </c>
      <c r="AK154" s="13">
        <v>890</v>
      </c>
      <c r="AL154" s="13">
        <v>0</v>
      </c>
    </row>
    <row r="155" spans="34:38" x14ac:dyDescent="0.25">
      <c r="AH155" s="13">
        <v>1660</v>
      </c>
      <c r="AK155" s="13">
        <v>890</v>
      </c>
      <c r="AL155" s="13">
        <v>0</v>
      </c>
    </row>
    <row r="156" spans="34:38" x14ac:dyDescent="0.25">
      <c r="AH156" s="13">
        <v>1670</v>
      </c>
      <c r="AK156" s="13">
        <v>900</v>
      </c>
      <c r="AL156" s="13">
        <v>0</v>
      </c>
    </row>
    <row r="157" spans="34:38" x14ac:dyDescent="0.25">
      <c r="AH157" s="13">
        <v>1680</v>
      </c>
      <c r="AK157" s="13">
        <v>900</v>
      </c>
      <c r="AL157" s="13">
        <v>0</v>
      </c>
    </row>
    <row r="158" spans="34:38" x14ac:dyDescent="0.25">
      <c r="AH158" s="13">
        <v>1690</v>
      </c>
      <c r="AK158" s="13">
        <v>910</v>
      </c>
      <c r="AL158" s="13">
        <v>0</v>
      </c>
    </row>
    <row r="159" spans="34:38" x14ac:dyDescent="0.25">
      <c r="AH159" s="13">
        <v>1700</v>
      </c>
      <c r="AK159" s="13">
        <v>910</v>
      </c>
      <c r="AL159" s="13">
        <v>0</v>
      </c>
    </row>
    <row r="160" spans="34:38" x14ac:dyDescent="0.25">
      <c r="AH160" s="13">
        <v>1710</v>
      </c>
      <c r="AK160" s="13">
        <v>920</v>
      </c>
      <c r="AL160" s="13">
        <v>0</v>
      </c>
    </row>
    <row r="161" spans="34:38" x14ac:dyDescent="0.25">
      <c r="AH161" s="13">
        <v>1720</v>
      </c>
      <c r="AK161" s="13">
        <v>920</v>
      </c>
      <c r="AL161" s="13">
        <v>0</v>
      </c>
    </row>
    <row r="162" spans="34:38" x14ac:dyDescent="0.25">
      <c r="AH162" s="13">
        <v>1730</v>
      </c>
      <c r="AK162" s="13">
        <v>930</v>
      </c>
      <c r="AL162" s="13">
        <v>0</v>
      </c>
    </row>
    <row r="163" spans="34:38" x14ac:dyDescent="0.25">
      <c r="AH163" s="13">
        <v>1740</v>
      </c>
      <c r="AK163" s="13">
        <v>930</v>
      </c>
      <c r="AL163" s="13">
        <v>0</v>
      </c>
    </row>
    <row r="164" spans="34:38" x14ac:dyDescent="0.25">
      <c r="AH164" s="13">
        <v>1750</v>
      </c>
      <c r="AK164" s="13">
        <v>940</v>
      </c>
      <c r="AL164" s="13">
        <v>0</v>
      </c>
    </row>
    <row r="165" spans="34:38" x14ac:dyDescent="0.25">
      <c r="AH165" s="13">
        <v>1760</v>
      </c>
      <c r="AK165" s="13">
        <v>940</v>
      </c>
      <c r="AL165" s="13">
        <v>0</v>
      </c>
    </row>
    <row r="166" spans="34:38" x14ac:dyDescent="0.25">
      <c r="AH166" s="13">
        <v>1770</v>
      </c>
      <c r="AK166" s="13">
        <v>950</v>
      </c>
      <c r="AL166" s="13">
        <v>0</v>
      </c>
    </row>
    <row r="167" spans="34:38" x14ac:dyDescent="0.25">
      <c r="AH167" s="13">
        <v>1780</v>
      </c>
      <c r="AK167" s="13">
        <v>950</v>
      </c>
      <c r="AL167" s="13">
        <v>0</v>
      </c>
    </row>
    <row r="168" spans="34:38" x14ac:dyDescent="0.25">
      <c r="AH168" s="13">
        <v>1790</v>
      </c>
      <c r="AK168" s="13">
        <v>960</v>
      </c>
      <c r="AL168" s="13">
        <v>0</v>
      </c>
    </row>
    <row r="169" spans="34:38" x14ac:dyDescent="0.25">
      <c r="AH169" s="13">
        <v>1800</v>
      </c>
      <c r="AK169" s="13">
        <v>960</v>
      </c>
      <c r="AL169" s="13">
        <v>0</v>
      </c>
    </row>
    <row r="170" spans="34:38" x14ac:dyDescent="0.25">
      <c r="AH170" s="13">
        <v>1810</v>
      </c>
      <c r="AK170" s="13">
        <v>970</v>
      </c>
      <c r="AL170" s="13">
        <v>0</v>
      </c>
    </row>
    <row r="171" spans="34:38" x14ac:dyDescent="0.25">
      <c r="AH171" s="13">
        <v>1820</v>
      </c>
      <c r="AK171" s="13">
        <v>970</v>
      </c>
      <c r="AL171" s="13">
        <v>0</v>
      </c>
    </row>
    <row r="172" spans="34:38" x14ac:dyDescent="0.25">
      <c r="AH172" s="13">
        <v>1830</v>
      </c>
      <c r="AK172" s="13">
        <v>980</v>
      </c>
      <c r="AL172" s="13">
        <v>0</v>
      </c>
    </row>
    <row r="173" spans="34:38" x14ac:dyDescent="0.25">
      <c r="AH173" s="13">
        <v>1840</v>
      </c>
      <c r="AK173" s="13">
        <v>980</v>
      </c>
      <c r="AL173" s="13">
        <v>0</v>
      </c>
    </row>
    <row r="174" spans="34:38" x14ac:dyDescent="0.25">
      <c r="AH174" s="13">
        <v>1850</v>
      </c>
      <c r="AK174" s="13">
        <v>990</v>
      </c>
      <c r="AL174" s="13">
        <v>0</v>
      </c>
    </row>
    <row r="175" spans="34:38" x14ac:dyDescent="0.25">
      <c r="AH175" s="13">
        <v>1860</v>
      </c>
      <c r="AK175" s="13">
        <v>990</v>
      </c>
      <c r="AL175" s="13">
        <v>0</v>
      </c>
    </row>
    <row r="176" spans="34:38" x14ac:dyDescent="0.25">
      <c r="AH176" s="13">
        <v>1870</v>
      </c>
      <c r="AK176" s="13">
        <v>1000</v>
      </c>
      <c r="AL176" s="13">
        <v>0</v>
      </c>
    </row>
    <row r="177" spans="34:38" x14ac:dyDescent="0.25">
      <c r="AH177" s="13">
        <v>1880</v>
      </c>
      <c r="AK177" s="13">
        <v>1000</v>
      </c>
      <c r="AL177" s="13">
        <v>0</v>
      </c>
    </row>
    <row r="178" spans="34:38" x14ac:dyDescent="0.25">
      <c r="AH178" s="13">
        <v>1890</v>
      </c>
      <c r="AK178" s="13">
        <v>1010</v>
      </c>
      <c r="AL178" s="13">
        <v>0</v>
      </c>
    </row>
    <row r="179" spans="34:38" x14ac:dyDescent="0.25">
      <c r="AH179" s="13">
        <v>1900</v>
      </c>
      <c r="AK179" s="13">
        <v>1010</v>
      </c>
      <c r="AL179" s="13">
        <v>0</v>
      </c>
    </row>
    <row r="180" spans="34:38" x14ac:dyDescent="0.25">
      <c r="AH180" s="13">
        <v>1910</v>
      </c>
      <c r="AK180" s="13">
        <v>1020</v>
      </c>
      <c r="AL180" s="13">
        <v>0</v>
      </c>
    </row>
    <row r="181" spans="34:38" x14ac:dyDescent="0.25">
      <c r="AH181" s="13">
        <v>1920</v>
      </c>
      <c r="AK181" s="13">
        <v>1020</v>
      </c>
      <c r="AL181" s="13">
        <v>0</v>
      </c>
    </row>
    <row r="182" spans="34:38" x14ac:dyDescent="0.25">
      <c r="AH182" s="13">
        <v>1930</v>
      </c>
      <c r="AK182" s="13">
        <v>1030</v>
      </c>
      <c r="AL182" s="13">
        <v>0</v>
      </c>
    </row>
    <row r="183" spans="34:38" x14ac:dyDescent="0.25">
      <c r="AH183" s="13">
        <v>1940</v>
      </c>
      <c r="AK183" s="13">
        <v>1030</v>
      </c>
      <c r="AL183" s="13">
        <v>0</v>
      </c>
    </row>
    <row r="184" spans="34:38" x14ac:dyDescent="0.25">
      <c r="AH184" s="13">
        <v>1950</v>
      </c>
      <c r="AK184" s="13">
        <v>1040</v>
      </c>
      <c r="AL184" s="13">
        <v>0</v>
      </c>
    </row>
    <row r="185" spans="34:38" x14ac:dyDescent="0.25">
      <c r="AH185" s="13">
        <v>1960</v>
      </c>
      <c r="AK185" s="13">
        <v>1040</v>
      </c>
      <c r="AL185" s="13">
        <v>0</v>
      </c>
    </row>
    <row r="186" spans="34:38" x14ac:dyDescent="0.25">
      <c r="AH186" s="13">
        <v>1970</v>
      </c>
      <c r="AK186" s="13">
        <v>1050</v>
      </c>
      <c r="AL186" s="13">
        <v>0</v>
      </c>
    </row>
    <row r="187" spans="34:38" x14ac:dyDescent="0.25">
      <c r="AH187" s="13">
        <v>1980</v>
      </c>
      <c r="AK187" s="13">
        <v>1050</v>
      </c>
      <c r="AL187" s="13">
        <v>0</v>
      </c>
    </row>
    <row r="188" spans="34:38" x14ac:dyDescent="0.25">
      <c r="AH188" s="13">
        <v>1990</v>
      </c>
      <c r="AK188" s="13">
        <v>1060</v>
      </c>
      <c r="AL188" s="13">
        <v>0</v>
      </c>
    </row>
    <row r="189" spans="34:38" x14ac:dyDescent="0.25">
      <c r="AH189" s="13">
        <v>2000</v>
      </c>
      <c r="AK189" s="13">
        <v>1060</v>
      </c>
      <c r="AL189" s="13">
        <v>0</v>
      </c>
    </row>
    <row r="190" spans="34:38" x14ac:dyDescent="0.25">
      <c r="AH190" s="13">
        <v>2010</v>
      </c>
      <c r="AK190" s="13">
        <v>1070</v>
      </c>
      <c r="AL190" s="13">
        <v>0</v>
      </c>
    </row>
    <row r="191" spans="34:38" x14ac:dyDescent="0.25">
      <c r="AH191" s="13">
        <v>2020</v>
      </c>
      <c r="AK191" s="13">
        <v>1070</v>
      </c>
      <c r="AL191" s="13">
        <v>0</v>
      </c>
    </row>
    <row r="192" spans="34:38" x14ac:dyDescent="0.25">
      <c r="AH192" s="13">
        <v>2030</v>
      </c>
      <c r="AK192" s="13">
        <v>1080</v>
      </c>
      <c r="AL192" s="13">
        <v>0</v>
      </c>
    </row>
    <row r="193" spans="34:38" x14ac:dyDescent="0.25">
      <c r="AH193" s="13">
        <v>2040</v>
      </c>
      <c r="AK193" s="13">
        <v>1080</v>
      </c>
      <c r="AL193" s="13">
        <v>0</v>
      </c>
    </row>
    <row r="194" spans="34:38" x14ac:dyDescent="0.25">
      <c r="AH194" s="13">
        <v>2050</v>
      </c>
      <c r="AK194" s="13">
        <v>1090</v>
      </c>
      <c r="AL194" s="13">
        <v>0</v>
      </c>
    </row>
    <row r="195" spans="34:38" x14ac:dyDescent="0.25">
      <c r="AH195" s="13">
        <v>2060</v>
      </c>
      <c r="AK195" s="13">
        <v>1090</v>
      </c>
      <c r="AL195" s="13">
        <v>0</v>
      </c>
    </row>
    <row r="196" spans="34:38" x14ac:dyDescent="0.25">
      <c r="AH196" s="13">
        <v>2070</v>
      </c>
      <c r="AK196" s="13">
        <v>1100</v>
      </c>
      <c r="AL196" s="13">
        <v>0</v>
      </c>
    </row>
    <row r="197" spans="34:38" x14ac:dyDescent="0.25">
      <c r="AH197" s="13">
        <v>2080</v>
      </c>
      <c r="AK197" s="13">
        <v>1100</v>
      </c>
      <c r="AL197" s="13">
        <v>0</v>
      </c>
    </row>
    <row r="198" spans="34:38" x14ac:dyDescent="0.25">
      <c r="AH198" s="13">
        <v>2090</v>
      </c>
      <c r="AK198" s="13">
        <v>1110</v>
      </c>
      <c r="AL198" s="13">
        <v>0</v>
      </c>
    </row>
    <row r="199" spans="34:38" x14ac:dyDescent="0.25">
      <c r="AH199" s="13">
        <v>2100</v>
      </c>
      <c r="AK199" s="13">
        <v>1110</v>
      </c>
      <c r="AL199" s="13">
        <v>0</v>
      </c>
    </row>
    <row r="200" spans="34:38" x14ac:dyDescent="0.25">
      <c r="AH200" s="13">
        <v>2110</v>
      </c>
      <c r="AK200" s="13">
        <v>1120</v>
      </c>
      <c r="AL200" s="13">
        <v>0</v>
      </c>
    </row>
    <row r="201" spans="34:38" x14ac:dyDescent="0.25">
      <c r="AH201" s="13">
        <v>2120</v>
      </c>
      <c r="AK201" s="13">
        <v>1120</v>
      </c>
      <c r="AL201" s="13">
        <v>0</v>
      </c>
    </row>
    <row r="202" spans="34:38" x14ac:dyDescent="0.25">
      <c r="AH202" s="13">
        <v>2130</v>
      </c>
      <c r="AK202" s="13">
        <v>1130</v>
      </c>
      <c r="AL202" s="13">
        <v>0</v>
      </c>
    </row>
    <row r="203" spans="34:38" x14ac:dyDescent="0.25">
      <c r="AH203" s="13">
        <v>2140</v>
      </c>
      <c r="AK203" s="13">
        <v>1130</v>
      </c>
      <c r="AL203" s="13">
        <v>0</v>
      </c>
    </row>
    <row r="204" spans="34:38" x14ac:dyDescent="0.25">
      <c r="AH204" s="13">
        <v>2150</v>
      </c>
      <c r="AK204" s="13">
        <v>1140</v>
      </c>
      <c r="AL204" s="13">
        <v>0</v>
      </c>
    </row>
    <row r="205" spans="34:38" x14ac:dyDescent="0.25">
      <c r="AH205" s="13">
        <v>2160</v>
      </c>
      <c r="AK205" s="13">
        <v>1140</v>
      </c>
      <c r="AL205" s="13">
        <v>0</v>
      </c>
    </row>
    <row r="206" spans="34:38" x14ac:dyDescent="0.25">
      <c r="AH206" s="13">
        <v>2170</v>
      </c>
      <c r="AK206" s="13">
        <v>1150</v>
      </c>
      <c r="AL206" s="13">
        <v>0</v>
      </c>
    </row>
    <row r="207" spans="34:38" x14ac:dyDescent="0.25">
      <c r="AH207" s="13">
        <v>2180</v>
      </c>
      <c r="AK207" s="13">
        <v>1150</v>
      </c>
      <c r="AL207" s="13">
        <v>0</v>
      </c>
    </row>
    <row r="208" spans="34:38" x14ac:dyDescent="0.25">
      <c r="AH208" s="13">
        <v>2190</v>
      </c>
      <c r="AK208" s="13">
        <v>1160</v>
      </c>
      <c r="AL208" s="13">
        <v>0</v>
      </c>
    </row>
    <row r="209" spans="34:38" x14ac:dyDescent="0.25">
      <c r="AH209" s="13">
        <v>2200</v>
      </c>
      <c r="AK209" s="13">
        <v>1160</v>
      </c>
      <c r="AL209" s="13">
        <v>0</v>
      </c>
    </row>
    <row r="210" spans="34:38" x14ac:dyDescent="0.25">
      <c r="AH210" s="13">
        <v>2210</v>
      </c>
      <c r="AK210" s="13">
        <v>1170</v>
      </c>
      <c r="AL210" s="13">
        <v>0</v>
      </c>
    </row>
    <row r="211" spans="34:38" x14ac:dyDescent="0.25">
      <c r="AH211" s="13">
        <v>2220</v>
      </c>
      <c r="AK211" s="13">
        <v>1170</v>
      </c>
      <c r="AL211" s="13">
        <v>0</v>
      </c>
    </row>
    <row r="212" spans="34:38" x14ac:dyDescent="0.25">
      <c r="AH212" s="13">
        <v>2230</v>
      </c>
      <c r="AK212" s="13">
        <v>1180</v>
      </c>
      <c r="AL212" s="13">
        <v>0</v>
      </c>
    </row>
    <row r="213" spans="34:38" x14ac:dyDescent="0.25">
      <c r="AH213" s="13">
        <v>2240</v>
      </c>
      <c r="AK213" s="13">
        <v>1180</v>
      </c>
      <c r="AL213" s="13">
        <v>0</v>
      </c>
    </row>
    <row r="214" spans="34:38" x14ac:dyDescent="0.25">
      <c r="AH214" s="13">
        <v>2250</v>
      </c>
      <c r="AK214" s="13">
        <v>1190</v>
      </c>
      <c r="AL214" s="13">
        <v>0</v>
      </c>
    </row>
    <row r="215" spans="34:38" x14ac:dyDescent="0.25">
      <c r="AH215" s="13">
        <v>2260</v>
      </c>
      <c r="AK215" s="13">
        <v>1190</v>
      </c>
      <c r="AL215" s="13">
        <v>0</v>
      </c>
    </row>
    <row r="216" spans="34:38" x14ac:dyDescent="0.25">
      <c r="AH216" s="13">
        <v>2270</v>
      </c>
      <c r="AK216" s="13">
        <v>1200</v>
      </c>
      <c r="AL216" s="13">
        <v>0</v>
      </c>
    </row>
    <row r="217" spans="34:38" x14ac:dyDescent="0.25">
      <c r="AH217" s="13">
        <v>2280</v>
      </c>
      <c r="AK217" s="13">
        <v>1200</v>
      </c>
      <c r="AL217" s="13">
        <v>0</v>
      </c>
    </row>
    <row r="218" spans="34:38" x14ac:dyDescent="0.25">
      <c r="AH218" s="13">
        <v>2290</v>
      </c>
      <c r="AK218" s="13">
        <v>1210</v>
      </c>
      <c r="AL218" s="13">
        <v>0</v>
      </c>
    </row>
    <row r="219" spans="34:38" x14ac:dyDescent="0.25">
      <c r="AH219" s="13">
        <v>2300</v>
      </c>
      <c r="AK219" s="13">
        <v>1210</v>
      </c>
      <c r="AL219" s="13">
        <v>0</v>
      </c>
    </row>
    <row r="220" spans="34:38" x14ac:dyDescent="0.25">
      <c r="AH220" s="13">
        <v>2310</v>
      </c>
      <c r="AK220" s="13">
        <v>1220</v>
      </c>
      <c r="AL220" s="13">
        <v>0</v>
      </c>
    </row>
    <row r="221" spans="34:38" x14ac:dyDescent="0.25">
      <c r="AH221" s="13">
        <v>2320</v>
      </c>
      <c r="AK221" s="13">
        <v>1220</v>
      </c>
      <c r="AL221" s="13">
        <v>0</v>
      </c>
    </row>
    <row r="222" spans="34:38" x14ac:dyDescent="0.25">
      <c r="AH222" s="13">
        <v>2330</v>
      </c>
      <c r="AK222" s="13">
        <v>1230</v>
      </c>
      <c r="AL222" s="13">
        <v>0</v>
      </c>
    </row>
    <row r="223" spans="34:38" x14ac:dyDescent="0.25">
      <c r="AH223" s="13">
        <v>2340</v>
      </c>
      <c r="AK223" s="13">
        <v>1230</v>
      </c>
      <c r="AL223" s="13">
        <v>0</v>
      </c>
    </row>
    <row r="224" spans="34:38" x14ac:dyDescent="0.25">
      <c r="AH224" s="13">
        <v>2350</v>
      </c>
      <c r="AK224" s="13">
        <v>1240</v>
      </c>
      <c r="AL224" s="13">
        <v>0</v>
      </c>
    </row>
    <row r="225" spans="34:38" x14ac:dyDescent="0.25">
      <c r="AH225" s="13">
        <v>2360</v>
      </c>
      <c r="AK225" s="13">
        <v>1240</v>
      </c>
      <c r="AL225" s="13">
        <v>0</v>
      </c>
    </row>
    <row r="226" spans="34:38" x14ac:dyDescent="0.25">
      <c r="AH226" s="13">
        <v>2370</v>
      </c>
      <c r="AK226" s="13">
        <v>1250</v>
      </c>
      <c r="AL226" s="13">
        <v>0</v>
      </c>
    </row>
    <row r="227" spans="34:38" x14ac:dyDescent="0.25">
      <c r="AH227" s="13">
        <v>2380</v>
      </c>
      <c r="AK227" s="13">
        <v>1250</v>
      </c>
      <c r="AL227" s="13">
        <v>0</v>
      </c>
    </row>
    <row r="228" spans="34:38" x14ac:dyDescent="0.25">
      <c r="AH228" s="13">
        <v>2390</v>
      </c>
      <c r="AK228" s="13">
        <v>1260</v>
      </c>
      <c r="AL228" s="13">
        <v>0</v>
      </c>
    </row>
    <row r="229" spans="34:38" x14ac:dyDescent="0.25">
      <c r="AH229" s="13">
        <v>2400</v>
      </c>
      <c r="AK229" s="13">
        <v>1260</v>
      </c>
      <c r="AL229" s="13">
        <v>0</v>
      </c>
    </row>
    <row r="230" spans="34:38" x14ac:dyDescent="0.25">
      <c r="AH230" s="13">
        <v>2410</v>
      </c>
      <c r="AK230" s="13">
        <v>1270</v>
      </c>
      <c r="AL230" s="13">
        <v>0</v>
      </c>
    </row>
    <row r="231" spans="34:38" x14ac:dyDescent="0.25">
      <c r="AH231" s="13">
        <v>2420</v>
      </c>
      <c r="AK231" s="13">
        <v>1270</v>
      </c>
      <c r="AL231" s="13">
        <v>0</v>
      </c>
    </row>
    <row r="232" spans="34:38" x14ac:dyDescent="0.25">
      <c r="AH232" s="13">
        <v>2430</v>
      </c>
      <c r="AK232" s="13">
        <v>1280</v>
      </c>
      <c r="AL232" s="13">
        <v>0</v>
      </c>
    </row>
    <row r="233" spans="34:38" x14ac:dyDescent="0.25">
      <c r="AH233" s="13">
        <v>2440</v>
      </c>
      <c r="AK233" s="13">
        <v>1280</v>
      </c>
      <c r="AL233" s="13">
        <v>0</v>
      </c>
    </row>
    <row r="234" spans="34:38" x14ac:dyDescent="0.25">
      <c r="AH234" s="13">
        <v>2450</v>
      </c>
      <c r="AK234" s="13">
        <v>1290</v>
      </c>
      <c r="AL234" s="13">
        <v>0</v>
      </c>
    </row>
    <row r="235" spans="34:38" x14ac:dyDescent="0.25">
      <c r="AH235" s="13">
        <v>2460</v>
      </c>
      <c r="AK235" s="13">
        <v>1290</v>
      </c>
      <c r="AL235" s="13">
        <v>0</v>
      </c>
    </row>
    <row r="236" spans="34:38" x14ac:dyDescent="0.25">
      <c r="AH236" s="13">
        <v>2470</v>
      </c>
      <c r="AK236" s="13">
        <v>1300</v>
      </c>
      <c r="AL236" s="13">
        <v>0</v>
      </c>
    </row>
    <row r="237" spans="34:38" x14ac:dyDescent="0.25">
      <c r="AH237" s="13">
        <v>2480</v>
      </c>
      <c r="AK237" s="13">
        <v>1300</v>
      </c>
      <c r="AL237" s="13">
        <v>0</v>
      </c>
    </row>
    <row r="238" spans="34:38" x14ac:dyDescent="0.25">
      <c r="AH238" s="13">
        <v>2490</v>
      </c>
      <c r="AK238" s="13">
        <v>1310</v>
      </c>
      <c r="AL238" s="13">
        <v>0</v>
      </c>
    </row>
    <row r="239" spans="34:38" x14ac:dyDescent="0.25">
      <c r="AH239" s="13">
        <v>2500</v>
      </c>
      <c r="AK239" s="13">
        <v>1310</v>
      </c>
      <c r="AL239" s="13">
        <v>0</v>
      </c>
    </row>
    <row r="240" spans="34:38" x14ac:dyDescent="0.25">
      <c r="AH240" s="13">
        <v>2510</v>
      </c>
      <c r="AK240" s="13">
        <v>1320</v>
      </c>
      <c r="AL240" s="13">
        <v>0</v>
      </c>
    </row>
    <row r="241" spans="34:38" x14ac:dyDescent="0.25">
      <c r="AH241" s="13">
        <v>2520</v>
      </c>
      <c r="AK241" s="13">
        <v>1320</v>
      </c>
      <c r="AL241" s="13">
        <v>0</v>
      </c>
    </row>
    <row r="242" spans="34:38" x14ac:dyDescent="0.25">
      <c r="AH242" s="13">
        <v>2530</v>
      </c>
      <c r="AK242" s="13">
        <v>1330</v>
      </c>
      <c r="AL242" s="13">
        <v>0</v>
      </c>
    </row>
    <row r="243" spans="34:38" x14ac:dyDescent="0.25">
      <c r="AH243" s="13">
        <v>2540</v>
      </c>
      <c r="AK243" s="13">
        <v>1330</v>
      </c>
      <c r="AL243" s="13">
        <v>0</v>
      </c>
    </row>
    <row r="244" spans="34:38" x14ac:dyDescent="0.25">
      <c r="AH244" s="13">
        <v>2550</v>
      </c>
      <c r="AK244" s="13">
        <v>1340</v>
      </c>
      <c r="AL244" s="13">
        <v>0</v>
      </c>
    </row>
    <row r="245" spans="34:38" x14ac:dyDescent="0.25">
      <c r="AH245" s="13">
        <v>2560</v>
      </c>
      <c r="AK245" s="13">
        <v>1340</v>
      </c>
      <c r="AL245" s="13">
        <v>0</v>
      </c>
    </row>
    <row r="246" spans="34:38" x14ac:dyDescent="0.25">
      <c r="AH246" s="13">
        <v>2570</v>
      </c>
      <c r="AK246" s="13">
        <v>1350</v>
      </c>
      <c r="AL246" s="13">
        <v>0</v>
      </c>
    </row>
    <row r="247" spans="34:38" x14ac:dyDescent="0.25">
      <c r="AH247" s="13">
        <v>2580</v>
      </c>
      <c r="AK247" s="13">
        <v>1350</v>
      </c>
      <c r="AL247" s="13">
        <v>0</v>
      </c>
    </row>
    <row r="248" spans="34:38" x14ac:dyDescent="0.25">
      <c r="AH248" s="13">
        <v>2590</v>
      </c>
      <c r="AK248" s="13">
        <v>1360</v>
      </c>
      <c r="AL248" s="13">
        <v>0</v>
      </c>
    </row>
    <row r="249" spans="34:38" x14ac:dyDescent="0.25">
      <c r="AH249" s="13">
        <v>2600</v>
      </c>
      <c r="AK249" s="13">
        <v>1360</v>
      </c>
      <c r="AL249" s="13">
        <v>0</v>
      </c>
    </row>
    <row r="250" spans="34:38" x14ac:dyDescent="0.25">
      <c r="AH250" s="13">
        <v>2610</v>
      </c>
      <c r="AK250" s="13">
        <v>1370</v>
      </c>
      <c r="AL250" s="13">
        <v>0</v>
      </c>
    </row>
    <row r="251" spans="34:38" x14ac:dyDescent="0.25">
      <c r="AH251" s="13">
        <v>2620</v>
      </c>
      <c r="AK251" s="13">
        <v>1370</v>
      </c>
      <c r="AL251" s="13">
        <v>0</v>
      </c>
    </row>
    <row r="252" spans="34:38" x14ac:dyDescent="0.25">
      <c r="AH252" s="13">
        <v>2630</v>
      </c>
      <c r="AK252" s="13">
        <v>1380</v>
      </c>
      <c r="AL252" s="13">
        <v>0</v>
      </c>
    </row>
    <row r="253" spans="34:38" x14ac:dyDescent="0.25">
      <c r="AH253" s="13">
        <v>2640</v>
      </c>
      <c r="AK253" s="13">
        <v>1380</v>
      </c>
      <c r="AL253" s="13">
        <v>0</v>
      </c>
    </row>
    <row r="254" spans="34:38" x14ac:dyDescent="0.25">
      <c r="AH254" s="13">
        <v>2650</v>
      </c>
      <c r="AK254" s="13">
        <v>1390</v>
      </c>
      <c r="AL254" s="13">
        <v>0</v>
      </c>
    </row>
    <row r="255" spans="34:38" x14ac:dyDescent="0.25">
      <c r="AH255" s="13">
        <v>2660</v>
      </c>
      <c r="AK255" s="13">
        <v>1390</v>
      </c>
      <c r="AL255" s="13">
        <v>0</v>
      </c>
    </row>
    <row r="256" spans="34:38" x14ac:dyDescent="0.25">
      <c r="AH256" s="13">
        <v>2670</v>
      </c>
      <c r="AK256" s="13">
        <v>1400</v>
      </c>
      <c r="AL256" s="13">
        <v>0</v>
      </c>
    </row>
    <row r="257" spans="34:38" x14ac:dyDescent="0.25">
      <c r="AH257" s="13">
        <v>2680</v>
      </c>
      <c r="AK257" s="13">
        <v>1400</v>
      </c>
      <c r="AL257" s="13">
        <v>0</v>
      </c>
    </row>
    <row r="258" spans="34:38" x14ac:dyDescent="0.25">
      <c r="AH258" s="13">
        <v>2690</v>
      </c>
      <c r="AK258" s="13">
        <v>1410</v>
      </c>
      <c r="AL258" s="13">
        <v>0</v>
      </c>
    </row>
    <row r="259" spans="34:38" x14ac:dyDescent="0.25">
      <c r="AH259" s="13">
        <v>2700</v>
      </c>
      <c r="AK259" s="13">
        <v>1410</v>
      </c>
      <c r="AL259" s="13">
        <v>0</v>
      </c>
    </row>
    <row r="260" spans="34:38" x14ac:dyDescent="0.25">
      <c r="AH260" s="13">
        <v>2710</v>
      </c>
      <c r="AK260" s="13">
        <v>1420</v>
      </c>
      <c r="AL260" s="13">
        <v>0</v>
      </c>
    </row>
    <row r="261" spans="34:38" x14ac:dyDescent="0.25">
      <c r="AH261" s="13">
        <v>2720</v>
      </c>
      <c r="AK261" s="13">
        <v>1420</v>
      </c>
      <c r="AL261" s="13">
        <v>0</v>
      </c>
    </row>
    <row r="262" spans="34:38" x14ac:dyDescent="0.25">
      <c r="AH262" s="13">
        <v>2730</v>
      </c>
      <c r="AK262" s="13">
        <v>1430</v>
      </c>
      <c r="AL262" s="13">
        <v>0</v>
      </c>
    </row>
    <row r="263" spans="34:38" x14ac:dyDescent="0.25">
      <c r="AH263" s="13">
        <v>2740</v>
      </c>
      <c r="AK263" s="13">
        <v>1430</v>
      </c>
      <c r="AL263" s="13">
        <v>0</v>
      </c>
    </row>
    <row r="264" spans="34:38" x14ac:dyDescent="0.25">
      <c r="AH264" s="13">
        <v>2750</v>
      </c>
      <c r="AK264" s="13">
        <v>1440</v>
      </c>
      <c r="AL264" s="13">
        <v>0</v>
      </c>
    </row>
    <row r="265" spans="34:38" x14ac:dyDescent="0.25">
      <c r="AH265" s="13">
        <v>2760</v>
      </c>
      <c r="AK265" s="13">
        <v>1440</v>
      </c>
      <c r="AL265" s="13">
        <v>0</v>
      </c>
    </row>
    <row r="266" spans="34:38" x14ac:dyDescent="0.25">
      <c r="AH266" s="13">
        <v>2770</v>
      </c>
      <c r="AK266" s="13">
        <v>1450</v>
      </c>
      <c r="AL266" s="13">
        <v>0</v>
      </c>
    </row>
    <row r="267" spans="34:38" x14ac:dyDescent="0.25">
      <c r="AH267" s="13">
        <v>2780</v>
      </c>
      <c r="AK267" s="13">
        <v>1450</v>
      </c>
      <c r="AL267" s="13">
        <v>0</v>
      </c>
    </row>
    <row r="268" spans="34:38" x14ac:dyDescent="0.25">
      <c r="AH268" s="13">
        <v>2790</v>
      </c>
      <c r="AK268" s="13">
        <v>1460</v>
      </c>
      <c r="AL268" s="13">
        <v>0</v>
      </c>
    </row>
    <row r="269" spans="34:38" x14ac:dyDescent="0.25">
      <c r="AH269" s="13">
        <v>2800</v>
      </c>
      <c r="AK269" s="13">
        <v>1460</v>
      </c>
      <c r="AL269" s="13">
        <v>0</v>
      </c>
    </row>
    <row r="270" spans="34:38" x14ac:dyDescent="0.25">
      <c r="AH270" s="13">
        <v>2810</v>
      </c>
      <c r="AK270" s="13">
        <v>1470</v>
      </c>
      <c r="AL270" s="13">
        <v>0</v>
      </c>
    </row>
    <row r="271" spans="34:38" x14ac:dyDescent="0.25">
      <c r="AH271" s="13">
        <v>2820</v>
      </c>
      <c r="AK271" s="13">
        <v>1470</v>
      </c>
      <c r="AL271" s="13">
        <v>0</v>
      </c>
    </row>
    <row r="272" spans="34:38" x14ac:dyDescent="0.25">
      <c r="AH272" s="13">
        <v>2830</v>
      </c>
      <c r="AK272" s="13">
        <v>1480</v>
      </c>
      <c r="AL272" s="13">
        <v>0</v>
      </c>
    </row>
    <row r="273" spans="34:38" x14ac:dyDescent="0.25">
      <c r="AH273" s="13">
        <v>2840</v>
      </c>
      <c r="AK273" s="13">
        <v>1480</v>
      </c>
      <c r="AL273" s="13">
        <v>0</v>
      </c>
    </row>
    <row r="274" spans="34:38" x14ac:dyDescent="0.25">
      <c r="AH274" s="13">
        <v>2850</v>
      </c>
      <c r="AK274" s="13">
        <v>1490</v>
      </c>
      <c r="AL274" s="13">
        <v>0</v>
      </c>
    </row>
    <row r="275" spans="34:38" x14ac:dyDescent="0.25">
      <c r="AH275" s="13">
        <v>2860</v>
      </c>
      <c r="AK275" s="13">
        <v>1490</v>
      </c>
      <c r="AL275" s="13">
        <v>0</v>
      </c>
    </row>
    <row r="276" spans="34:38" x14ac:dyDescent="0.25">
      <c r="AH276" s="13">
        <v>2870</v>
      </c>
      <c r="AK276" s="13">
        <v>1500</v>
      </c>
      <c r="AL276" s="13">
        <v>0</v>
      </c>
    </row>
    <row r="277" spans="34:38" x14ac:dyDescent="0.25">
      <c r="AH277" s="13">
        <v>2880</v>
      </c>
      <c r="AK277" s="13">
        <v>1500</v>
      </c>
      <c r="AL277" s="13">
        <v>0</v>
      </c>
    </row>
    <row r="278" spans="34:38" x14ac:dyDescent="0.25">
      <c r="AH278" s="13">
        <v>2890</v>
      </c>
      <c r="AK278" s="13">
        <v>1510</v>
      </c>
      <c r="AL278" s="13">
        <v>0</v>
      </c>
    </row>
    <row r="279" spans="34:38" x14ac:dyDescent="0.25">
      <c r="AH279" s="13">
        <v>2900</v>
      </c>
      <c r="AK279" s="13">
        <v>1510</v>
      </c>
      <c r="AL279" s="13">
        <v>0</v>
      </c>
    </row>
    <row r="280" spans="34:38" x14ac:dyDescent="0.25">
      <c r="AH280" s="13">
        <v>2910</v>
      </c>
      <c r="AK280" s="13">
        <v>1520</v>
      </c>
      <c r="AL280" s="13">
        <v>0</v>
      </c>
    </row>
    <row r="281" spans="34:38" x14ac:dyDescent="0.25">
      <c r="AH281" s="13">
        <v>2920</v>
      </c>
      <c r="AK281" s="13">
        <v>1520</v>
      </c>
      <c r="AL281" s="13">
        <v>0</v>
      </c>
    </row>
    <row r="282" spans="34:38" x14ac:dyDescent="0.25">
      <c r="AH282" s="13">
        <v>2930</v>
      </c>
      <c r="AK282" s="13">
        <v>1530</v>
      </c>
      <c r="AL282" s="13">
        <v>0</v>
      </c>
    </row>
    <row r="283" spans="34:38" x14ac:dyDescent="0.25">
      <c r="AH283" s="13">
        <v>2940</v>
      </c>
      <c r="AK283" s="13">
        <v>1530</v>
      </c>
      <c r="AL283" s="13">
        <v>0</v>
      </c>
    </row>
    <row r="284" spans="34:38" x14ac:dyDescent="0.25">
      <c r="AH284" s="13">
        <v>2950</v>
      </c>
      <c r="AK284" s="13">
        <v>1540</v>
      </c>
      <c r="AL284" s="13">
        <v>0</v>
      </c>
    </row>
    <row r="285" spans="34:38" x14ac:dyDescent="0.25">
      <c r="AH285" s="13">
        <v>2960</v>
      </c>
      <c r="AK285" s="13">
        <v>1540</v>
      </c>
      <c r="AL285" s="13">
        <v>0</v>
      </c>
    </row>
    <row r="286" spans="34:38" x14ac:dyDescent="0.25">
      <c r="AH286" s="13">
        <v>2970</v>
      </c>
      <c r="AK286" s="13">
        <v>1550</v>
      </c>
      <c r="AL286" s="13">
        <v>0</v>
      </c>
    </row>
    <row r="287" spans="34:38" x14ac:dyDescent="0.25">
      <c r="AH287" s="13">
        <v>2980</v>
      </c>
      <c r="AK287" s="13">
        <v>1550</v>
      </c>
      <c r="AL287" s="13">
        <v>0</v>
      </c>
    </row>
    <row r="288" spans="34:38" x14ac:dyDescent="0.25">
      <c r="AH288" s="13">
        <v>2990</v>
      </c>
      <c r="AK288" s="13">
        <v>1560</v>
      </c>
      <c r="AL288" s="13">
        <v>0</v>
      </c>
    </row>
    <row r="289" spans="34:38" x14ac:dyDescent="0.25">
      <c r="AH289" s="13">
        <v>3000</v>
      </c>
      <c r="AK289" s="13">
        <v>1560</v>
      </c>
      <c r="AL289" s="13">
        <v>0</v>
      </c>
    </row>
    <row r="290" spans="34:38" x14ac:dyDescent="0.25">
      <c r="AH290" s="13">
        <v>3010</v>
      </c>
      <c r="AK290" s="13">
        <v>1570</v>
      </c>
      <c r="AL290" s="13">
        <v>0</v>
      </c>
    </row>
    <row r="291" spans="34:38" x14ac:dyDescent="0.25">
      <c r="AH291" s="13">
        <v>3020</v>
      </c>
      <c r="AK291" s="13">
        <v>1570</v>
      </c>
      <c r="AL291" s="13">
        <v>0</v>
      </c>
    </row>
    <row r="292" spans="34:38" x14ac:dyDescent="0.25">
      <c r="AH292" s="13">
        <v>3030</v>
      </c>
      <c r="AK292" s="13">
        <v>1580</v>
      </c>
      <c r="AL292" s="13">
        <v>0</v>
      </c>
    </row>
    <row r="293" spans="34:38" x14ac:dyDescent="0.25">
      <c r="AH293" s="13">
        <v>3040</v>
      </c>
      <c r="AK293" s="13">
        <v>1580</v>
      </c>
      <c r="AL293" s="13">
        <v>0</v>
      </c>
    </row>
    <row r="294" spans="34:38" x14ac:dyDescent="0.25">
      <c r="AH294" s="13">
        <v>3050</v>
      </c>
      <c r="AK294" s="13">
        <v>1590</v>
      </c>
      <c r="AL294" s="13">
        <v>0</v>
      </c>
    </row>
    <row r="295" spans="34:38" x14ac:dyDescent="0.25">
      <c r="AH295" s="13">
        <v>3060</v>
      </c>
      <c r="AK295" s="13">
        <v>1590</v>
      </c>
      <c r="AL295" s="13">
        <v>0</v>
      </c>
    </row>
    <row r="296" spans="34:38" x14ac:dyDescent="0.25">
      <c r="AH296" s="13">
        <v>3070</v>
      </c>
      <c r="AK296" s="13">
        <v>1600</v>
      </c>
      <c r="AL296" s="13">
        <v>0</v>
      </c>
    </row>
    <row r="297" spans="34:38" x14ac:dyDescent="0.25">
      <c r="AH297" s="13">
        <v>3080</v>
      </c>
      <c r="AK297" s="13">
        <v>1600</v>
      </c>
      <c r="AL297" s="13">
        <v>0</v>
      </c>
    </row>
    <row r="298" spans="34:38" x14ac:dyDescent="0.25">
      <c r="AH298" s="13">
        <v>3090</v>
      </c>
      <c r="AK298" s="13">
        <v>1610</v>
      </c>
      <c r="AL298" s="13">
        <v>0</v>
      </c>
    </row>
    <row r="299" spans="34:38" x14ac:dyDescent="0.25">
      <c r="AH299" s="13">
        <v>3100</v>
      </c>
      <c r="AK299" s="13">
        <v>1610</v>
      </c>
      <c r="AL299" s="13">
        <v>0</v>
      </c>
    </row>
    <row r="300" spans="34:38" x14ac:dyDescent="0.25">
      <c r="AH300" s="13">
        <v>3110</v>
      </c>
      <c r="AK300" s="13">
        <v>1620</v>
      </c>
      <c r="AL300" s="13">
        <v>0</v>
      </c>
    </row>
    <row r="301" spans="34:38" x14ac:dyDescent="0.25">
      <c r="AH301" s="13">
        <v>3120</v>
      </c>
      <c r="AK301" s="13">
        <v>1620</v>
      </c>
      <c r="AL301" s="13">
        <v>0</v>
      </c>
    </row>
    <row r="302" spans="34:38" x14ac:dyDescent="0.25">
      <c r="AH302" s="13">
        <v>3130</v>
      </c>
      <c r="AK302" s="13">
        <v>1630</v>
      </c>
      <c r="AL302" s="13">
        <v>0</v>
      </c>
    </row>
    <row r="303" spans="34:38" x14ac:dyDescent="0.25">
      <c r="AH303" s="13">
        <v>3140</v>
      </c>
      <c r="AK303" s="13">
        <v>1630</v>
      </c>
      <c r="AL303" s="13">
        <v>0</v>
      </c>
    </row>
    <row r="304" spans="34:38" x14ac:dyDescent="0.25">
      <c r="AH304" s="13">
        <v>3150</v>
      </c>
      <c r="AK304" s="13">
        <v>1640</v>
      </c>
      <c r="AL304" s="13">
        <v>0</v>
      </c>
    </row>
    <row r="305" spans="34:38" x14ac:dyDescent="0.25">
      <c r="AH305" s="13">
        <v>3160</v>
      </c>
      <c r="AK305" s="13">
        <v>1640</v>
      </c>
      <c r="AL305" s="13">
        <v>0</v>
      </c>
    </row>
    <row r="306" spans="34:38" x14ac:dyDescent="0.25">
      <c r="AH306" s="13">
        <v>3170</v>
      </c>
      <c r="AK306" s="13">
        <v>1650</v>
      </c>
      <c r="AL306" s="13">
        <v>0</v>
      </c>
    </row>
    <row r="307" spans="34:38" x14ac:dyDescent="0.25">
      <c r="AH307" s="13">
        <v>3180</v>
      </c>
      <c r="AK307" s="13">
        <v>1650</v>
      </c>
      <c r="AL307" s="13">
        <v>0</v>
      </c>
    </row>
    <row r="308" spans="34:38" x14ac:dyDescent="0.25">
      <c r="AH308" s="13">
        <v>3190</v>
      </c>
      <c r="AK308" s="13">
        <v>1660</v>
      </c>
      <c r="AL308" s="13">
        <v>0</v>
      </c>
    </row>
    <row r="309" spans="34:38" x14ac:dyDescent="0.25">
      <c r="AH309" s="13">
        <v>3200</v>
      </c>
      <c r="AK309" s="13">
        <v>1660</v>
      </c>
      <c r="AL309" s="13">
        <v>0</v>
      </c>
    </row>
    <row r="310" spans="34:38" x14ac:dyDescent="0.25">
      <c r="AH310" s="13">
        <v>3210</v>
      </c>
      <c r="AK310" s="13">
        <v>1670</v>
      </c>
      <c r="AL310" s="13">
        <v>0</v>
      </c>
    </row>
    <row r="311" spans="34:38" x14ac:dyDescent="0.25">
      <c r="AH311" s="13">
        <v>3220</v>
      </c>
      <c r="AK311" s="13">
        <v>1670</v>
      </c>
      <c r="AL311" s="13">
        <v>0</v>
      </c>
    </row>
    <row r="312" spans="34:38" x14ac:dyDescent="0.25">
      <c r="AH312" s="13">
        <v>3230</v>
      </c>
      <c r="AK312" s="13">
        <v>1680</v>
      </c>
      <c r="AL312" s="13">
        <v>0</v>
      </c>
    </row>
    <row r="313" spans="34:38" x14ac:dyDescent="0.25">
      <c r="AH313" s="13">
        <v>3240</v>
      </c>
      <c r="AK313" s="13">
        <v>1680</v>
      </c>
      <c r="AL313" s="13">
        <v>0</v>
      </c>
    </row>
    <row r="314" spans="34:38" x14ac:dyDescent="0.25">
      <c r="AH314" s="13">
        <v>3250</v>
      </c>
      <c r="AK314" s="13">
        <v>1690</v>
      </c>
      <c r="AL314" s="13">
        <v>0</v>
      </c>
    </row>
    <row r="315" spans="34:38" x14ac:dyDescent="0.25">
      <c r="AH315" s="13">
        <v>3260</v>
      </c>
      <c r="AK315" s="13">
        <v>1690</v>
      </c>
      <c r="AL315" s="13">
        <v>0</v>
      </c>
    </row>
    <row r="316" spans="34:38" x14ac:dyDescent="0.25">
      <c r="AH316" s="13">
        <v>3270</v>
      </c>
      <c r="AK316" s="13">
        <v>1700</v>
      </c>
      <c r="AL316" s="13">
        <v>0</v>
      </c>
    </row>
    <row r="317" spans="34:38" x14ac:dyDescent="0.25">
      <c r="AH317" s="13">
        <v>3280</v>
      </c>
      <c r="AK317" s="13">
        <v>1700</v>
      </c>
      <c r="AL317" s="13">
        <v>0</v>
      </c>
    </row>
    <row r="318" spans="34:38" x14ac:dyDescent="0.25">
      <c r="AH318" s="13">
        <v>3290</v>
      </c>
      <c r="AK318" s="13">
        <v>1710</v>
      </c>
      <c r="AL318" s="13">
        <v>0</v>
      </c>
    </row>
    <row r="319" spans="34:38" x14ac:dyDescent="0.25">
      <c r="AH319" s="13">
        <v>3300</v>
      </c>
      <c r="AK319" s="13">
        <v>1710</v>
      </c>
      <c r="AL319" s="13">
        <v>0</v>
      </c>
    </row>
    <row r="320" spans="34:38" x14ac:dyDescent="0.25">
      <c r="AH320" s="13">
        <v>3310</v>
      </c>
      <c r="AK320" s="13">
        <v>1720</v>
      </c>
      <c r="AL320" s="13">
        <v>0</v>
      </c>
    </row>
    <row r="321" spans="34:38" x14ac:dyDescent="0.25">
      <c r="AH321" s="13">
        <v>3320</v>
      </c>
      <c r="AK321" s="13">
        <v>1720</v>
      </c>
      <c r="AL321" s="13">
        <v>0</v>
      </c>
    </row>
    <row r="322" spans="34:38" x14ac:dyDescent="0.25">
      <c r="AH322" s="13">
        <v>3330</v>
      </c>
      <c r="AK322" s="13">
        <v>1730</v>
      </c>
      <c r="AL322" s="13">
        <v>0</v>
      </c>
    </row>
    <row r="323" spans="34:38" x14ac:dyDescent="0.25">
      <c r="AH323" s="13">
        <v>3340</v>
      </c>
      <c r="AK323" s="13">
        <v>1730</v>
      </c>
      <c r="AL323" s="13">
        <v>0</v>
      </c>
    </row>
    <row r="324" spans="34:38" x14ac:dyDescent="0.25">
      <c r="AH324" s="13">
        <v>3350</v>
      </c>
      <c r="AK324" s="13">
        <v>1740</v>
      </c>
      <c r="AL324" s="13">
        <v>0</v>
      </c>
    </row>
    <row r="325" spans="34:38" x14ac:dyDescent="0.25">
      <c r="AH325" s="13">
        <v>3360</v>
      </c>
      <c r="AK325" s="13">
        <v>1740</v>
      </c>
      <c r="AL325" s="13">
        <v>0</v>
      </c>
    </row>
    <row r="326" spans="34:38" x14ac:dyDescent="0.25">
      <c r="AH326" s="13">
        <v>3370</v>
      </c>
      <c r="AK326" s="13">
        <v>1750</v>
      </c>
      <c r="AL326" s="13">
        <v>0</v>
      </c>
    </row>
    <row r="327" spans="34:38" x14ac:dyDescent="0.25">
      <c r="AH327" s="13">
        <v>3380</v>
      </c>
      <c r="AK327" s="13">
        <v>1750</v>
      </c>
      <c r="AL327" s="13">
        <v>0</v>
      </c>
    </row>
    <row r="328" spans="34:38" x14ac:dyDescent="0.25">
      <c r="AH328" s="13">
        <v>3390</v>
      </c>
      <c r="AK328" s="13">
        <v>1760</v>
      </c>
      <c r="AL328" s="13">
        <v>0</v>
      </c>
    </row>
    <row r="329" spans="34:38" x14ac:dyDescent="0.25">
      <c r="AH329" s="13">
        <v>3400</v>
      </c>
      <c r="AK329" s="13">
        <v>1760</v>
      </c>
      <c r="AL329" s="13">
        <v>0</v>
      </c>
    </row>
    <row r="330" spans="34:38" x14ac:dyDescent="0.25">
      <c r="AH330" s="13">
        <v>3410</v>
      </c>
      <c r="AK330" s="13">
        <v>1770</v>
      </c>
      <c r="AL330" s="13">
        <v>0</v>
      </c>
    </row>
    <row r="331" spans="34:38" x14ac:dyDescent="0.25">
      <c r="AH331" s="13">
        <v>3420</v>
      </c>
      <c r="AK331" s="13">
        <v>1770</v>
      </c>
      <c r="AL331" s="13">
        <v>0</v>
      </c>
    </row>
    <row r="332" spans="34:38" x14ac:dyDescent="0.25">
      <c r="AH332" s="13">
        <v>3430</v>
      </c>
      <c r="AK332" s="13">
        <v>1780</v>
      </c>
      <c r="AL332" s="13">
        <v>0</v>
      </c>
    </row>
    <row r="333" spans="34:38" x14ac:dyDescent="0.25">
      <c r="AH333" s="13">
        <v>3440</v>
      </c>
      <c r="AK333" s="13">
        <v>1780</v>
      </c>
      <c r="AL333" s="13">
        <v>0</v>
      </c>
    </row>
    <row r="334" spans="34:38" x14ac:dyDescent="0.25">
      <c r="AH334" s="13">
        <v>3450</v>
      </c>
      <c r="AK334" s="13">
        <v>1790</v>
      </c>
      <c r="AL334" s="13">
        <v>0</v>
      </c>
    </row>
    <row r="335" spans="34:38" x14ac:dyDescent="0.25">
      <c r="AH335" s="13">
        <v>3460</v>
      </c>
      <c r="AK335" s="13">
        <v>1790</v>
      </c>
      <c r="AL335" s="13">
        <v>0</v>
      </c>
    </row>
    <row r="336" spans="34:38" x14ac:dyDescent="0.25">
      <c r="AH336" s="13">
        <v>3470</v>
      </c>
      <c r="AK336" s="13">
        <v>1800</v>
      </c>
      <c r="AL336" s="13">
        <v>0</v>
      </c>
    </row>
    <row r="337" spans="34:38" x14ac:dyDescent="0.25">
      <c r="AH337" s="13">
        <v>3480</v>
      </c>
      <c r="AK337" s="13">
        <v>1800</v>
      </c>
      <c r="AL337" s="13">
        <v>0</v>
      </c>
    </row>
    <row r="338" spans="34:38" x14ac:dyDescent="0.25">
      <c r="AH338" s="13">
        <v>3490</v>
      </c>
      <c r="AK338" s="13">
        <v>1810</v>
      </c>
      <c r="AL338" s="13">
        <v>0</v>
      </c>
    </row>
    <row r="339" spans="34:38" x14ac:dyDescent="0.25">
      <c r="AH339" s="13">
        <v>3500</v>
      </c>
      <c r="AK339" s="13">
        <v>1810</v>
      </c>
      <c r="AL339" s="13">
        <v>0</v>
      </c>
    </row>
    <row r="340" spans="34:38" x14ac:dyDescent="0.25">
      <c r="AH340" s="13">
        <v>3510</v>
      </c>
      <c r="AK340" s="13">
        <v>1820</v>
      </c>
      <c r="AL340" s="13">
        <v>0</v>
      </c>
    </row>
    <row r="341" spans="34:38" x14ac:dyDescent="0.25">
      <c r="AH341" s="13">
        <v>3520</v>
      </c>
      <c r="AK341" s="13">
        <v>1820</v>
      </c>
      <c r="AL341" s="13">
        <v>0</v>
      </c>
    </row>
    <row r="342" spans="34:38" x14ac:dyDescent="0.25">
      <c r="AH342" s="13">
        <v>3530</v>
      </c>
      <c r="AK342" s="13">
        <v>1830</v>
      </c>
      <c r="AL342" s="13">
        <v>0</v>
      </c>
    </row>
    <row r="343" spans="34:38" x14ac:dyDescent="0.25">
      <c r="AH343" s="13">
        <v>3540</v>
      </c>
      <c r="AK343" s="13">
        <v>1830</v>
      </c>
      <c r="AL343" s="13">
        <v>0</v>
      </c>
    </row>
    <row r="344" spans="34:38" x14ac:dyDescent="0.25">
      <c r="AH344" s="13">
        <v>3550</v>
      </c>
      <c r="AK344" s="13">
        <v>1840</v>
      </c>
      <c r="AL344" s="13">
        <v>0</v>
      </c>
    </row>
    <row r="345" spans="34:38" x14ac:dyDescent="0.25">
      <c r="AH345" s="13">
        <v>3560</v>
      </c>
      <c r="AK345" s="13">
        <v>1840</v>
      </c>
      <c r="AL345" s="13">
        <v>0</v>
      </c>
    </row>
    <row r="346" spans="34:38" x14ac:dyDescent="0.25">
      <c r="AH346" s="13">
        <v>3570</v>
      </c>
      <c r="AK346" s="13">
        <v>1850</v>
      </c>
      <c r="AL346" s="13">
        <v>0</v>
      </c>
    </row>
    <row r="347" spans="34:38" x14ac:dyDescent="0.25">
      <c r="AH347" s="13">
        <v>3580</v>
      </c>
      <c r="AK347" s="13">
        <v>1850</v>
      </c>
      <c r="AL347" s="13">
        <v>0</v>
      </c>
    </row>
    <row r="348" spans="34:38" x14ac:dyDescent="0.25">
      <c r="AH348" s="13">
        <v>3590</v>
      </c>
      <c r="AK348" s="13">
        <v>1860</v>
      </c>
      <c r="AL348" s="13">
        <v>0</v>
      </c>
    </row>
    <row r="349" spans="34:38" x14ac:dyDescent="0.25">
      <c r="AH349" s="13">
        <v>3600</v>
      </c>
      <c r="AK349" s="13">
        <v>1860</v>
      </c>
      <c r="AL349" s="13">
        <v>0</v>
      </c>
    </row>
    <row r="350" spans="34:38" x14ac:dyDescent="0.25">
      <c r="AH350" s="13">
        <v>3610</v>
      </c>
      <c r="AK350" s="13">
        <v>1870</v>
      </c>
      <c r="AL350" s="13">
        <v>0</v>
      </c>
    </row>
    <row r="351" spans="34:38" x14ac:dyDescent="0.25">
      <c r="AH351" s="13">
        <v>3620</v>
      </c>
      <c r="AK351" s="13">
        <v>1870</v>
      </c>
      <c r="AL351" s="13">
        <v>0</v>
      </c>
    </row>
    <row r="352" spans="34:38" x14ac:dyDescent="0.25">
      <c r="AH352" s="13">
        <v>3630</v>
      </c>
      <c r="AK352" s="13">
        <v>1880</v>
      </c>
      <c r="AL352" s="13">
        <v>0</v>
      </c>
    </row>
    <row r="353" spans="34:38" x14ac:dyDescent="0.25">
      <c r="AH353" s="13">
        <v>3640</v>
      </c>
      <c r="AK353" s="13">
        <v>1880</v>
      </c>
      <c r="AL353" s="13">
        <v>0</v>
      </c>
    </row>
    <row r="354" spans="34:38" x14ac:dyDescent="0.25">
      <c r="AH354" s="13">
        <v>3650</v>
      </c>
      <c r="AK354" s="13">
        <v>1890</v>
      </c>
      <c r="AL354" s="13">
        <v>0</v>
      </c>
    </row>
    <row r="355" spans="34:38" x14ac:dyDescent="0.25">
      <c r="AH355" s="13">
        <v>3660</v>
      </c>
      <c r="AK355" s="13">
        <v>1890</v>
      </c>
      <c r="AL355" s="13">
        <v>0</v>
      </c>
    </row>
    <row r="356" spans="34:38" x14ac:dyDescent="0.25">
      <c r="AH356" s="13">
        <v>3670</v>
      </c>
      <c r="AK356" s="13">
        <v>1900</v>
      </c>
      <c r="AL356" s="13">
        <v>0</v>
      </c>
    </row>
    <row r="357" spans="34:38" x14ac:dyDescent="0.25">
      <c r="AH357" s="13">
        <v>3680</v>
      </c>
      <c r="AK357" s="13">
        <v>1900</v>
      </c>
      <c r="AL357" s="13">
        <v>0</v>
      </c>
    </row>
    <row r="358" spans="34:38" x14ac:dyDescent="0.25">
      <c r="AH358" s="13">
        <v>3690</v>
      </c>
      <c r="AK358" s="13">
        <v>1910</v>
      </c>
      <c r="AL358" s="13">
        <v>0</v>
      </c>
    </row>
    <row r="359" spans="34:38" x14ac:dyDescent="0.25">
      <c r="AH359" s="13">
        <v>3700</v>
      </c>
      <c r="AK359" s="13">
        <v>1910</v>
      </c>
      <c r="AL359" s="13">
        <v>0</v>
      </c>
    </row>
    <row r="360" spans="34:38" x14ac:dyDescent="0.25">
      <c r="AH360" s="13">
        <v>3710</v>
      </c>
      <c r="AK360" s="13">
        <v>1920</v>
      </c>
      <c r="AL360" s="13">
        <v>0</v>
      </c>
    </row>
    <row r="361" spans="34:38" x14ac:dyDescent="0.25">
      <c r="AH361" s="13">
        <v>3720</v>
      </c>
      <c r="AK361" s="13">
        <v>1920</v>
      </c>
      <c r="AL361" s="13">
        <v>0</v>
      </c>
    </row>
    <row r="362" spans="34:38" x14ac:dyDescent="0.25">
      <c r="AH362" s="13">
        <v>3730</v>
      </c>
      <c r="AK362" s="13">
        <v>1930</v>
      </c>
      <c r="AL362" s="13">
        <v>0</v>
      </c>
    </row>
    <row r="363" spans="34:38" x14ac:dyDescent="0.25">
      <c r="AH363" s="13">
        <v>3740</v>
      </c>
      <c r="AK363" s="13">
        <v>1930</v>
      </c>
      <c r="AL363" s="13">
        <v>0</v>
      </c>
    </row>
    <row r="364" spans="34:38" x14ac:dyDescent="0.25">
      <c r="AH364" s="13">
        <v>3750</v>
      </c>
      <c r="AK364" s="13">
        <v>1940</v>
      </c>
      <c r="AL364" s="13">
        <v>0</v>
      </c>
    </row>
    <row r="365" spans="34:38" x14ac:dyDescent="0.25">
      <c r="AH365" s="13">
        <v>3760</v>
      </c>
      <c r="AK365" s="13">
        <v>1940</v>
      </c>
      <c r="AL365" s="13">
        <v>0</v>
      </c>
    </row>
    <row r="366" spans="34:38" x14ac:dyDescent="0.25">
      <c r="AH366" s="13">
        <v>3770</v>
      </c>
      <c r="AK366" s="13">
        <v>1950</v>
      </c>
      <c r="AL366" s="13">
        <v>0</v>
      </c>
    </row>
    <row r="367" spans="34:38" x14ac:dyDescent="0.25">
      <c r="AH367" s="13">
        <v>3780</v>
      </c>
      <c r="AK367" s="13">
        <v>1950</v>
      </c>
      <c r="AL367" s="13">
        <v>0</v>
      </c>
    </row>
    <row r="368" spans="34:38" x14ac:dyDescent="0.25">
      <c r="AH368" s="13">
        <v>3790</v>
      </c>
      <c r="AK368" s="13">
        <v>1960</v>
      </c>
      <c r="AL368" s="13">
        <v>0</v>
      </c>
    </row>
    <row r="369" spans="34:38" x14ac:dyDescent="0.25">
      <c r="AH369" s="13">
        <v>3800</v>
      </c>
      <c r="AK369" s="13">
        <v>1960</v>
      </c>
      <c r="AL369" s="13">
        <v>0</v>
      </c>
    </row>
    <row r="370" spans="34:38" x14ac:dyDescent="0.25">
      <c r="AH370" s="13">
        <v>3810</v>
      </c>
      <c r="AK370" s="13">
        <v>1970</v>
      </c>
      <c r="AL370" s="13">
        <v>0</v>
      </c>
    </row>
    <row r="371" spans="34:38" x14ac:dyDescent="0.25">
      <c r="AH371" s="13">
        <v>3820</v>
      </c>
      <c r="AK371" s="13">
        <v>1970</v>
      </c>
      <c r="AL371" s="13">
        <v>0</v>
      </c>
    </row>
    <row r="372" spans="34:38" x14ac:dyDescent="0.25">
      <c r="AH372" s="13">
        <v>3830</v>
      </c>
      <c r="AK372" s="13">
        <v>1980</v>
      </c>
      <c r="AL372" s="13">
        <v>0</v>
      </c>
    </row>
    <row r="373" spans="34:38" x14ac:dyDescent="0.25">
      <c r="AH373" s="13">
        <v>3840</v>
      </c>
      <c r="AK373" s="13">
        <v>1980</v>
      </c>
      <c r="AL373" s="13">
        <v>0</v>
      </c>
    </row>
    <row r="374" spans="34:38" x14ac:dyDescent="0.25">
      <c r="AH374" s="13">
        <v>3850</v>
      </c>
      <c r="AK374" s="13">
        <v>1990</v>
      </c>
      <c r="AL374" s="13">
        <v>0</v>
      </c>
    </row>
    <row r="375" spans="34:38" x14ac:dyDescent="0.25">
      <c r="AH375" s="13">
        <v>3860</v>
      </c>
      <c r="AK375" s="13">
        <v>1990</v>
      </c>
      <c r="AL375" s="13">
        <v>0</v>
      </c>
    </row>
    <row r="376" spans="34:38" x14ac:dyDescent="0.25">
      <c r="AH376" s="13">
        <v>3870</v>
      </c>
      <c r="AK376" s="13">
        <v>2000</v>
      </c>
      <c r="AL376" s="13">
        <v>0</v>
      </c>
    </row>
    <row r="377" spans="34:38" x14ac:dyDescent="0.25">
      <c r="AH377" s="13">
        <v>3880</v>
      </c>
      <c r="AK377" s="13">
        <v>2000</v>
      </c>
      <c r="AL377" s="13">
        <v>0</v>
      </c>
    </row>
    <row r="378" spans="34:38" x14ac:dyDescent="0.25">
      <c r="AH378" s="13">
        <v>3890</v>
      </c>
      <c r="AK378" s="13">
        <v>2010</v>
      </c>
      <c r="AL378" s="13">
        <v>0</v>
      </c>
    </row>
    <row r="379" spans="34:38" x14ac:dyDescent="0.25">
      <c r="AH379" s="13">
        <v>3900</v>
      </c>
      <c r="AK379" s="13">
        <v>2010</v>
      </c>
      <c r="AL379" s="13">
        <v>0</v>
      </c>
    </row>
    <row r="380" spans="34:38" x14ac:dyDescent="0.25">
      <c r="AH380" s="13">
        <v>3910</v>
      </c>
      <c r="AK380" s="13">
        <v>2020</v>
      </c>
      <c r="AL380" s="13">
        <v>0</v>
      </c>
    </row>
    <row r="381" spans="34:38" x14ac:dyDescent="0.25">
      <c r="AH381" s="13">
        <v>3920</v>
      </c>
      <c r="AK381" s="13">
        <v>2020</v>
      </c>
      <c r="AL381" s="13">
        <v>0</v>
      </c>
    </row>
    <row r="382" spans="34:38" x14ac:dyDescent="0.25">
      <c r="AH382" s="13">
        <v>3930</v>
      </c>
      <c r="AK382" s="13">
        <v>2030</v>
      </c>
      <c r="AL382" s="13">
        <v>0</v>
      </c>
    </row>
    <row r="383" spans="34:38" x14ac:dyDescent="0.25">
      <c r="AH383" s="13">
        <v>3940</v>
      </c>
      <c r="AK383" s="13">
        <v>2030</v>
      </c>
      <c r="AL383" s="13">
        <v>0</v>
      </c>
    </row>
    <row r="384" spans="34:38" x14ac:dyDescent="0.25">
      <c r="AH384" s="13">
        <v>3950</v>
      </c>
      <c r="AK384" s="13">
        <v>2040</v>
      </c>
      <c r="AL384" s="13">
        <v>0</v>
      </c>
    </row>
    <row r="385" spans="34:38" x14ac:dyDescent="0.25">
      <c r="AH385" s="13">
        <v>3960</v>
      </c>
      <c r="AK385" s="13">
        <v>2040</v>
      </c>
      <c r="AL385" s="13">
        <v>0</v>
      </c>
    </row>
    <row r="386" spans="34:38" x14ac:dyDescent="0.25">
      <c r="AH386" s="13">
        <v>3970</v>
      </c>
      <c r="AK386" s="13">
        <v>2050</v>
      </c>
      <c r="AL386" s="13">
        <v>0</v>
      </c>
    </row>
    <row r="387" spans="34:38" x14ac:dyDescent="0.25">
      <c r="AH387" s="13">
        <v>3980</v>
      </c>
      <c r="AK387" s="13">
        <v>2050</v>
      </c>
      <c r="AL387" s="13">
        <v>0</v>
      </c>
    </row>
    <row r="388" spans="34:38" x14ac:dyDescent="0.25">
      <c r="AH388" s="13">
        <v>3990</v>
      </c>
      <c r="AK388" s="13">
        <v>2060</v>
      </c>
      <c r="AL388" s="13">
        <v>0</v>
      </c>
    </row>
    <row r="389" spans="34:38" x14ac:dyDescent="0.25">
      <c r="AH389" s="13">
        <v>4000</v>
      </c>
      <c r="AK389" s="13">
        <v>2060</v>
      </c>
      <c r="AL389" s="13">
        <v>0</v>
      </c>
    </row>
    <row r="390" spans="34:38" x14ac:dyDescent="0.25">
      <c r="AH390" s="13">
        <v>4010</v>
      </c>
      <c r="AK390" s="13">
        <v>2070</v>
      </c>
      <c r="AL390" s="13">
        <v>0</v>
      </c>
    </row>
    <row r="391" spans="34:38" x14ac:dyDescent="0.25">
      <c r="AH391" s="13">
        <v>4020</v>
      </c>
      <c r="AK391" s="13">
        <v>2070</v>
      </c>
      <c r="AL391" s="13">
        <v>0</v>
      </c>
    </row>
    <row r="392" spans="34:38" x14ac:dyDescent="0.25">
      <c r="AH392" s="13">
        <v>4030</v>
      </c>
      <c r="AK392" s="13">
        <v>2080</v>
      </c>
      <c r="AL392" s="13">
        <v>0</v>
      </c>
    </row>
    <row r="393" spans="34:38" x14ac:dyDescent="0.25">
      <c r="AH393" s="13">
        <v>4040</v>
      </c>
      <c r="AK393" s="13">
        <v>2080</v>
      </c>
      <c r="AL393" s="13">
        <v>0</v>
      </c>
    </row>
    <row r="394" spans="34:38" x14ac:dyDescent="0.25">
      <c r="AH394" s="13">
        <v>4050</v>
      </c>
      <c r="AK394" s="13">
        <v>2090</v>
      </c>
      <c r="AL394" s="13">
        <v>0</v>
      </c>
    </row>
    <row r="395" spans="34:38" x14ac:dyDescent="0.25">
      <c r="AH395" s="13">
        <v>4060</v>
      </c>
      <c r="AK395" s="13">
        <v>2090</v>
      </c>
      <c r="AL395" s="13">
        <v>0</v>
      </c>
    </row>
    <row r="396" spans="34:38" x14ac:dyDescent="0.25">
      <c r="AH396" s="13">
        <v>4070</v>
      </c>
      <c r="AK396" s="13">
        <v>2100</v>
      </c>
      <c r="AL396" s="13">
        <v>0</v>
      </c>
    </row>
    <row r="397" spans="34:38" x14ac:dyDescent="0.25">
      <c r="AH397" s="13">
        <v>4080</v>
      </c>
      <c r="AK397" s="13">
        <v>2100</v>
      </c>
      <c r="AL397" s="13">
        <v>0</v>
      </c>
    </row>
    <row r="398" spans="34:38" x14ac:dyDescent="0.25">
      <c r="AH398" s="13">
        <v>4090</v>
      </c>
      <c r="AK398" s="13">
        <v>2110</v>
      </c>
      <c r="AL398" s="13">
        <v>0</v>
      </c>
    </row>
    <row r="399" spans="34:38" x14ac:dyDescent="0.25">
      <c r="AH399" s="13">
        <v>4100</v>
      </c>
      <c r="AK399" s="13">
        <v>2110</v>
      </c>
      <c r="AL399" s="13">
        <v>0</v>
      </c>
    </row>
    <row r="400" spans="34:38" x14ac:dyDescent="0.25">
      <c r="AH400" s="13">
        <v>4110</v>
      </c>
      <c r="AK400" s="13">
        <v>2120</v>
      </c>
      <c r="AL400" s="13">
        <v>0</v>
      </c>
    </row>
    <row r="401" spans="34:38" x14ac:dyDescent="0.25">
      <c r="AH401" s="13">
        <v>4120</v>
      </c>
      <c r="AK401" s="13">
        <v>2120</v>
      </c>
      <c r="AL401" s="13">
        <v>0</v>
      </c>
    </row>
    <row r="402" spans="34:38" x14ac:dyDescent="0.25">
      <c r="AH402" s="13">
        <v>4130</v>
      </c>
      <c r="AK402" s="13">
        <v>2130</v>
      </c>
      <c r="AL402" s="13">
        <v>0</v>
      </c>
    </row>
    <row r="403" spans="34:38" x14ac:dyDescent="0.25">
      <c r="AH403" s="13">
        <v>4140</v>
      </c>
      <c r="AK403" s="13">
        <v>2130</v>
      </c>
      <c r="AL403" s="13">
        <v>0</v>
      </c>
    </row>
    <row r="404" spans="34:38" x14ac:dyDescent="0.25">
      <c r="AH404" s="13">
        <v>4150</v>
      </c>
      <c r="AK404" s="13">
        <v>2140</v>
      </c>
      <c r="AL404" s="13">
        <v>0</v>
      </c>
    </row>
    <row r="405" spans="34:38" x14ac:dyDescent="0.25">
      <c r="AH405" s="13">
        <v>4160</v>
      </c>
      <c r="AK405" s="13">
        <v>2140</v>
      </c>
      <c r="AL405" s="13">
        <v>0</v>
      </c>
    </row>
    <row r="406" spans="34:38" x14ac:dyDescent="0.25">
      <c r="AH406" s="13">
        <v>4170</v>
      </c>
      <c r="AK406" s="13">
        <v>2150</v>
      </c>
      <c r="AL406" s="13">
        <v>0</v>
      </c>
    </row>
    <row r="407" spans="34:38" x14ac:dyDescent="0.25">
      <c r="AH407" s="13">
        <v>4180</v>
      </c>
      <c r="AK407" s="13">
        <v>2150</v>
      </c>
      <c r="AL407" s="13">
        <v>0</v>
      </c>
    </row>
    <row r="408" spans="34:38" x14ac:dyDescent="0.25">
      <c r="AH408" s="13">
        <v>4190</v>
      </c>
      <c r="AK408" s="13">
        <v>2160</v>
      </c>
      <c r="AL408" s="13">
        <v>0</v>
      </c>
    </row>
    <row r="409" spans="34:38" x14ac:dyDescent="0.25">
      <c r="AH409" s="13">
        <v>4200</v>
      </c>
      <c r="AK409" s="13">
        <v>2160</v>
      </c>
      <c r="AL409" s="13">
        <v>0</v>
      </c>
    </row>
    <row r="410" spans="34:38" x14ac:dyDescent="0.25">
      <c r="AH410" s="13">
        <v>4210</v>
      </c>
      <c r="AK410" s="13">
        <v>2170</v>
      </c>
      <c r="AL410" s="13">
        <v>0</v>
      </c>
    </row>
    <row r="411" spans="34:38" x14ac:dyDescent="0.25">
      <c r="AK411" s="13">
        <v>2170</v>
      </c>
      <c r="AL411" s="13">
        <v>0</v>
      </c>
    </row>
    <row r="412" spans="34:38" x14ac:dyDescent="0.25">
      <c r="AK412" s="13">
        <v>2180</v>
      </c>
      <c r="AL412" s="13">
        <v>0</v>
      </c>
    </row>
    <row r="413" spans="34:38" x14ac:dyDescent="0.25">
      <c r="AK413" s="13">
        <v>2180</v>
      </c>
      <c r="AL413" s="13">
        <v>0</v>
      </c>
    </row>
    <row r="414" spans="34:38" x14ac:dyDescent="0.25">
      <c r="AK414" s="13">
        <v>2190</v>
      </c>
      <c r="AL414" s="13">
        <v>0</v>
      </c>
    </row>
    <row r="415" spans="34:38" x14ac:dyDescent="0.25">
      <c r="AK415" s="13">
        <v>2190</v>
      </c>
      <c r="AL415" s="13">
        <v>0</v>
      </c>
    </row>
    <row r="416" spans="34:38" x14ac:dyDescent="0.25">
      <c r="AK416" s="13">
        <v>2200</v>
      </c>
      <c r="AL416" s="13">
        <v>0</v>
      </c>
    </row>
    <row r="417" spans="37:38" x14ac:dyDescent="0.25">
      <c r="AK417" s="13">
        <v>2200</v>
      </c>
      <c r="AL417" s="13">
        <v>0</v>
      </c>
    </row>
    <row r="418" spans="37:38" x14ac:dyDescent="0.25">
      <c r="AK418" s="13">
        <v>2210</v>
      </c>
      <c r="AL418" s="13">
        <v>0</v>
      </c>
    </row>
    <row r="419" spans="37:38" x14ac:dyDescent="0.25">
      <c r="AK419" s="13">
        <v>2210</v>
      </c>
      <c r="AL419" s="13">
        <v>0</v>
      </c>
    </row>
    <row r="420" spans="37:38" x14ac:dyDescent="0.25">
      <c r="AK420" s="13">
        <v>2220</v>
      </c>
      <c r="AL420" s="13">
        <v>0</v>
      </c>
    </row>
    <row r="421" spans="37:38" x14ac:dyDescent="0.25">
      <c r="AK421" s="13">
        <v>2220</v>
      </c>
      <c r="AL421" s="13">
        <v>0</v>
      </c>
    </row>
    <row r="422" spans="37:38" x14ac:dyDescent="0.25">
      <c r="AK422" s="13">
        <v>2230</v>
      </c>
      <c r="AL422" s="13">
        <v>0</v>
      </c>
    </row>
    <row r="423" spans="37:38" x14ac:dyDescent="0.25">
      <c r="AK423" s="13">
        <v>2230</v>
      </c>
      <c r="AL423" s="13">
        <v>0</v>
      </c>
    </row>
    <row r="424" spans="37:38" x14ac:dyDescent="0.25">
      <c r="AK424" s="13">
        <v>2240</v>
      </c>
      <c r="AL424" s="13">
        <v>0</v>
      </c>
    </row>
    <row r="425" spans="37:38" x14ac:dyDescent="0.25">
      <c r="AK425" s="13">
        <v>2240</v>
      </c>
      <c r="AL425" s="13">
        <v>0</v>
      </c>
    </row>
    <row r="426" spans="37:38" x14ac:dyDescent="0.25">
      <c r="AK426" s="13">
        <v>2250</v>
      </c>
      <c r="AL426" s="13">
        <v>0</v>
      </c>
    </row>
    <row r="427" spans="37:38" x14ac:dyDescent="0.25">
      <c r="AK427" s="13">
        <v>2250</v>
      </c>
      <c r="AL427" s="13">
        <v>0</v>
      </c>
    </row>
    <row r="428" spans="37:38" x14ac:dyDescent="0.25">
      <c r="AK428" s="13">
        <v>2260</v>
      </c>
      <c r="AL428" s="13">
        <v>0</v>
      </c>
    </row>
    <row r="429" spans="37:38" x14ac:dyDescent="0.25">
      <c r="AK429" s="13">
        <v>2260</v>
      </c>
      <c r="AL429" s="13">
        <v>0</v>
      </c>
    </row>
    <row r="430" spans="37:38" x14ac:dyDescent="0.25">
      <c r="AK430" s="13">
        <v>2270</v>
      </c>
      <c r="AL430" s="13">
        <v>0</v>
      </c>
    </row>
    <row r="431" spans="37:38" x14ac:dyDescent="0.25">
      <c r="AK431" s="13">
        <v>2270</v>
      </c>
      <c r="AL431" s="13">
        <v>0</v>
      </c>
    </row>
    <row r="432" spans="37:38" x14ac:dyDescent="0.25">
      <c r="AK432" s="13">
        <v>2280</v>
      </c>
      <c r="AL432" s="13">
        <v>0</v>
      </c>
    </row>
    <row r="433" spans="37:38" x14ac:dyDescent="0.25">
      <c r="AK433" s="13">
        <v>2280</v>
      </c>
      <c r="AL433" s="13">
        <v>0</v>
      </c>
    </row>
    <row r="434" spans="37:38" x14ac:dyDescent="0.25">
      <c r="AK434" s="13">
        <v>2290</v>
      </c>
      <c r="AL434" s="13">
        <v>0</v>
      </c>
    </row>
    <row r="435" spans="37:38" x14ac:dyDescent="0.25">
      <c r="AK435" s="13">
        <v>2290</v>
      </c>
      <c r="AL435" s="13">
        <v>0</v>
      </c>
    </row>
    <row r="436" spans="37:38" x14ac:dyDescent="0.25">
      <c r="AK436" s="13">
        <v>2300</v>
      </c>
      <c r="AL436" s="13">
        <v>0</v>
      </c>
    </row>
    <row r="437" spans="37:38" x14ac:dyDescent="0.25">
      <c r="AK437" s="13">
        <v>2300</v>
      </c>
      <c r="AL437" s="13">
        <v>0</v>
      </c>
    </row>
    <row r="438" spans="37:38" x14ac:dyDescent="0.25">
      <c r="AK438" s="13">
        <v>2310</v>
      </c>
      <c r="AL438" s="13">
        <v>0</v>
      </c>
    </row>
    <row r="439" spans="37:38" x14ac:dyDescent="0.25">
      <c r="AK439" s="13">
        <v>2310</v>
      </c>
      <c r="AL439" s="13">
        <v>0</v>
      </c>
    </row>
    <row r="440" spans="37:38" x14ac:dyDescent="0.25">
      <c r="AK440" s="13">
        <v>2320</v>
      </c>
      <c r="AL440" s="13">
        <v>0</v>
      </c>
    </row>
    <row r="441" spans="37:38" x14ac:dyDescent="0.25">
      <c r="AK441" s="13">
        <v>2320</v>
      </c>
      <c r="AL441" s="13">
        <v>0</v>
      </c>
    </row>
    <row r="442" spans="37:38" x14ac:dyDescent="0.25">
      <c r="AK442" s="13">
        <v>2330</v>
      </c>
      <c r="AL442" s="13">
        <v>0</v>
      </c>
    </row>
    <row r="443" spans="37:38" x14ac:dyDescent="0.25">
      <c r="AK443" s="13">
        <v>2330</v>
      </c>
      <c r="AL443" s="13">
        <v>0</v>
      </c>
    </row>
    <row r="444" spans="37:38" x14ac:dyDescent="0.25">
      <c r="AK444" s="13">
        <v>2340</v>
      </c>
      <c r="AL444" s="13">
        <v>0</v>
      </c>
    </row>
    <row r="445" spans="37:38" x14ac:dyDescent="0.25">
      <c r="AK445" s="13">
        <v>2340</v>
      </c>
      <c r="AL445" s="13">
        <v>0</v>
      </c>
    </row>
    <row r="446" spans="37:38" x14ac:dyDescent="0.25">
      <c r="AK446" s="13">
        <v>2350</v>
      </c>
      <c r="AL446" s="13">
        <v>0</v>
      </c>
    </row>
    <row r="447" spans="37:38" x14ac:dyDescent="0.25">
      <c r="AK447" s="13">
        <v>2350</v>
      </c>
      <c r="AL447" s="13">
        <v>0</v>
      </c>
    </row>
    <row r="448" spans="37:38" x14ac:dyDescent="0.25">
      <c r="AK448" s="13">
        <v>2360</v>
      </c>
      <c r="AL448" s="13">
        <v>0</v>
      </c>
    </row>
    <row r="449" spans="37:38" x14ac:dyDescent="0.25">
      <c r="AK449" s="13">
        <v>2360</v>
      </c>
      <c r="AL449" s="13">
        <v>0</v>
      </c>
    </row>
    <row r="450" spans="37:38" x14ac:dyDescent="0.25">
      <c r="AK450" s="13">
        <v>2370</v>
      </c>
      <c r="AL450" s="13">
        <v>0</v>
      </c>
    </row>
    <row r="451" spans="37:38" x14ac:dyDescent="0.25">
      <c r="AK451" s="13">
        <v>2370</v>
      </c>
      <c r="AL451" s="13">
        <v>0</v>
      </c>
    </row>
    <row r="452" spans="37:38" x14ac:dyDescent="0.25">
      <c r="AK452" s="13">
        <v>2380</v>
      </c>
      <c r="AL452" s="13">
        <v>0</v>
      </c>
    </row>
    <row r="453" spans="37:38" x14ac:dyDescent="0.25">
      <c r="AK453" s="13">
        <v>2380</v>
      </c>
      <c r="AL453" s="13">
        <v>0</v>
      </c>
    </row>
    <row r="454" spans="37:38" x14ac:dyDescent="0.25">
      <c r="AK454" s="13">
        <v>2390</v>
      </c>
      <c r="AL454" s="13">
        <v>0</v>
      </c>
    </row>
    <row r="455" spans="37:38" x14ac:dyDescent="0.25">
      <c r="AK455" s="13">
        <v>2390</v>
      </c>
      <c r="AL455" s="13">
        <v>0</v>
      </c>
    </row>
    <row r="456" spans="37:38" x14ac:dyDescent="0.25">
      <c r="AK456" s="13">
        <v>2400</v>
      </c>
      <c r="AL456" s="13">
        <v>0</v>
      </c>
    </row>
    <row r="457" spans="37:38" x14ac:dyDescent="0.25">
      <c r="AK457" s="13">
        <v>2400</v>
      </c>
      <c r="AL457" s="13">
        <v>0</v>
      </c>
    </row>
    <row r="458" spans="37:38" x14ac:dyDescent="0.25">
      <c r="AK458" s="13">
        <v>2410</v>
      </c>
      <c r="AL458" s="13">
        <v>0</v>
      </c>
    </row>
    <row r="459" spans="37:38" x14ac:dyDescent="0.25">
      <c r="AK459" s="13">
        <v>2410</v>
      </c>
      <c r="AL459" s="13">
        <v>0</v>
      </c>
    </row>
    <row r="460" spans="37:38" x14ac:dyDescent="0.25">
      <c r="AK460" s="13">
        <v>2420</v>
      </c>
      <c r="AL460" s="13">
        <v>0</v>
      </c>
    </row>
    <row r="461" spans="37:38" x14ac:dyDescent="0.25">
      <c r="AK461" s="13">
        <v>2420</v>
      </c>
      <c r="AL461" s="13">
        <v>0</v>
      </c>
    </row>
    <row r="462" spans="37:38" x14ac:dyDescent="0.25">
      <c r="AK462" s="13">
        <v>2430</v>
      </c>
      <c r="AL462" s="13">
        <v>0</v>
      </c>
    </row>
    <row r="463" spans="37:38" x14ac:dyDescent="0.25">
      <c r="AK463" s="13">
        <v>2430</v>
      </c>
      <c r="AL463" s="13">
        <v>0</v>
      </c>
    </row>
    <row r="464" spans="37:38" x14ac:dyDescent="0.25">
      <c r="AK464" s="13">
        <v>2440</v>
      </c>
      <c r="AL464" s="13">
        <v>0</v>
      </c>
    </row>
    <row r="465" spans="37:38" x14ac:dyDescent="0.25">
      <c r="AK465" s="13">
        <v>2440</v>
      </c>
      <c r="AL465" s="13">
        <v>0</v>
      </c>
    </row>
    <row r="466" spans="37:38" x14ac:dyDescent="0.25">
      <c r="AK466" s="13">
        <v>2450</v>
      </c>
      <c r="AL466" s="13">
        <v>0</v>
      </c>
    </row>
    <row r="467" spans="37:38" x14ac:dyDescent="0.25">
      <c r="AK467" s="13">
        <v>2450</v>
      </c>
      <c r="AL467" s="13">
        <v>0</v>
      </c>
    </row>
    <row r="468" spans="37:38" x14ac:dyDescent="0.25">
      <c r="AK468" s="13">
        <v>2460</v>
      </c>
      <c r="AL468" s="13">
        <v>0</v>
      </c>
    </row>
    <row r="469" spans="37:38" x14ac:dyDescent="0.25">
      <c r="AK469" s="13">
        <v>2460</v>
      </c>
      <c r="AL469" s="13">
        <v>0</v>
      </c>
    </row>
    <row r="470" spans="37:38" x14ac:dyDescent="0.25">
      <c r="AK470" s="13">
        <v>2470</v>
      </c>
      <c r="AL470" s="13">
        <v>0</v>
      </c>
    </row>
    <row r="471" spans="37:38" x14ac:dyDescent="0.25">
      <c r="AK471" s="13">
        <v>2470</v>
      </c>
      <c r="AL471" s="13">
        <v>0</v>
      </c>
    </row>
    <row r="472" spans="37:38" x14ac:dyDescent="0.25">
      <c r="AK472" s="13">
        <v>2480</v>
      </c>
      <c r="AL472" s="13">
        <v>0</v>
      </c>
    </row>
    <row r="473" spans="37:38" x14ac:dyDescent="0.25">
      <c r="AK473" s="13">
        <v>2480</v>
      </c>
      <c r="AL473" s="13">
        <v>0</v>
      </c>
    </row>
    <row r="474" spans="37:38" x14ac:dyDescent="0.25">
      <c r="AK474" s="13">
        <v>2490</v>
      </c>
      <c r="AL474" s="13">
        <v>0</v>
      </c>
    </row>
    <row r="475" spans="37:38" x14ac:dyDescent="0.25">
      <c r="AK475" s="13">
        <v>2490</v>
      </c>
      <c r="AL475" s="13">
        <v>0</v>
      </c>
    </row>
    <row r="476" spans="37:38" x14ac:dyDescent="0.25">
      <c r="AK476" s="13">
        <v>2500</v>
      </c>
      <c r="AL476" s="13">
        <v>0</v>
      </c>
    </row>
    <row r="477" spans="37:38" x14ac:dyDescent="0.25">
      <c r="AK477" s="13">
        <v>2500</v>
      </c>
      <c r="AL477" s="13">
        <v>0</v>
      </c>
    </row>
    <row r="478" spans="37:38" x14ac:dyDescent="0.25">
      <c r="AK478" s="13">
        <v>2510</v>
      </c>
      <c r="AL478" s="13">
        <v>0</v>
      </c>
    </row>
    <row r="479" spans="37:38" x14ac:dyDescent="0.25">
      <c r="AK479" s="13">
        <v>2510</v>
      </c>
      <c r="AL479" s="13">
        <v>0</v>
      </c>
    </row>
    <row r="480" spans="37:38" x14ac:dyDescent="0.25">
      <c r="AK480" s="13">
        <v>2520</v>
      </c>
      <c r="AL480" s="13">
        <v>0</v>
      </c>
    </row>
    <row r="481" spans="37:38" x14ac:dyDescent="0.25">
      <c r="AK481" s="13">
        <v>2520</v>
      </c>
      <c r="AL481" s="13">
        <v>0</v>
      </c>
    </row>
    <row r="482" spans="37:38" x14ac:dyDescent="0.25">
      <c r="AK482" s="13">
        <v>2530</v>
      </c>
      <c r="AL482" s="13">
        <v>0</v>
      </c>
    </row>
    <row r="483" spans="37:38" x14ac:dyDescent="0.25">
      <c r="AK483" s="13">
        <v>2530</v>
      </c>
      <c r="AL483" s="13">
        <v>0</v>
      </c>
    </row>
    <row r="484" spans="37:38" x14ac:dyDescent="0.25">
      <c r="AK484" s="13">
        <v>2540</v>
      </c>
      <c r="AL484" s="13">
        <v>0</v>
      </c>
    </row>
    <row r="485" spans="37:38" x14ac:dyDescent="0.25">
      <c r="AK485" s="13">
        <v>2540</v>
      </c>
      <c r="AL485" s="13">
        <v>0</v>
      </c>
    </row>
    <row r="486" spans="37:38" x14ac:dyDescent="0.25">
      <c r="AK486" s="13">
        <v>2550</v>
      </c>
      <c r="AL486" s="13">
        <v>0</v>
      </c>
    </row>
    <row r="487" spans="37:38" x14ac:dyDescent="0.25">
      <c r="AK487" s="13">
        <v>2550</v>
      </c>
      <c r="AL487" s="13">
        <v>0</v>
      </c>
    </row>
    <row r="488" spans="37:38" x14ac:dyDescent="0.25">
      <c r="AK488" s="13">
        <v>2560</v>
      </c>
      <c r="AL488" s="13">
        <v>0</v>
      </c>
    </row>
    <row r="489" spans="37:38" x14ac:dyDescent="0.25">
      <c r="AK489" s="13">
        <v>2560</v>
      </c>
      <c r="AL489" s="13">
        <v>0</v>
      </c>
    </row>
    <row r="490" spans="37:38" x14ac:dyDescent="0.25">
      <c r="AK490" s="13">
        <v>2570</v>
      </c>
      <c r="AL490" s="13">
        <v>0</v>
      </c>
    </row>
    <row r="491" spans="37:38" x14ac:dyDescent="0.25">
      <c r="AK491" s="13">
        <v>2570</v>
      </c>
      <c r="AL491" s="13">
        <v>0</v>
      </c>
    </row>
    <row r="492" spans="37:38" x14ac:dyDescent="0.25">
      <c r="AK492" s="13">
        <v>2580</v>
      </c>
      <c r="AL492" s="13">
        <v>0</v>
      </c>
    </row>
    <row r="493" spans="37:38" x14ac:dyDescent="0.25">
      <c r="AK493" s="13">
        <v>2580</v>
      </c>
      <c r="AL493" s="13">
        <v>0</v>
      </c>
    </row>
    <row r="494" spans="37:38" x14ac:dyDescent="0.25">
      <c r="AK494" s="13">
        <v>2590</v>
      </c>
      <c r="AL494" s="13">
        <v>0</v>
      </c>
    </row>
    <row r="495" spans="37:38" x14ac:dyDescent="0.25">
      <c r="AK495" s="13">
        <v>2590</v>
      </c>
      <c r="AL495" s="13">
        <v>0</v>
      </c>
    </row>
    <row r="496" spans="37:38" x14ac:dyDescent="0.25">
      <c r="AK496" s="13">
        <v>2600</v>
      </c>
      <c r="AL496" s="13">
        <v>0</v>
      </c>
    </row>
    <row r="497" spans="37:38" x14ac:dyDescent="0.25">
      <c r="AK497" s="13">
        <v>2600</v>
      </c>
      <c r="AL497" s="13">
        <v>0</v>
      </c>
    </row>
    <row r="498" spans="37:38" x14ac:dyDescent="0.25">
      <c r="AK498" s="13">
        <v>2610</v>
      </c>
      <c r="AL498" s="13">
        <v>0</v>
      </c>
    </row>
    <row r="499" spans="37:38" x14ac:dyDescent="0.25">
      <c r="AK499" s="13">
        <v>2610</v>
      </c>
      <c r="AL499" s="13">
        <v>0</v>
      </c>
    </row>
    <row r="500" spans="37:38" x14ac:dyDescent="0.25">
      <c r="AK500" s="13">
        <v>2620</v>
      </c>
      <c r="AL500" s="13">
        <v>0</v>
      </c>
    </row>
    <row r="501" spans="37:38" x14ac:dyDescent="0.25">
      <c r="AK501" s="13">
        <v>2620</v>
      </c>
      <c r="AL501" s="13">
        <v>0</v>
      </c>
    </row>
    <row r="502" spans="37:38" x14ac:dyDescent="0.25">
      <c r="AK502" s="13">
        <v>2630</v>
      </c>
      <c r="AL502" s="13">
        <v>0</v>
      </c>
    </row>
    <row r="503" spans="37:38" x14ac:dyDescent="0.25">
      <c r="AK503" s="13">
        <v>2630</v>
      </c>
      <c r="AL503" s="13">
        <v>0</v>
      </c>
    </row>
    <row r="504" spans="37:38" x14ac:dyDescent="0.25">
      <c r="AK504" s="13">
        <v>2640</v>
      </c>
      <c r="AL504" s="13">
        <v>0</v>
      </c>
    </row>
    <row r="505" spans="37:38" x14ac:dyDescent="0.25">
      <c r="AK505" s="13">
        <v>2640</v>
      </c>
      <c r="AL505" s="13">
        <v>0</v>
      </c>
    </row>
    <row r="506" spans="37:38" x14ac:dyDescent="0.25">
      <c r="AK506" s="13">
        <v>2650</v>
      </c>
      <c r="AL506" s="13">
        <v>0</v>
      </c>
    </row>
    <row r="507" spans="37:38" x14ac:dyDescent="0.25">
      <c r="AK507" s="13">
        <v>2650</v>
      </c>
      <c r="AL507" s="13">
        <v>0</v>
      </c>
    </row>
    <row r="508" spans="37:38" x14ac:dyDescent="0.25">
      <c r="AK508" s="13">
        <v>2660</v>
      </c>
      <c r="AL508" s="13">
        <v>0</v>
      </c>
    </row>
    <row r="509" spans="37:38" x14ac:dyDescent="0.25">
      <c r="AK509" s="13">
        <v>2660</v>
      </c>
      <c r="AL509" s="13">
        <v>0</v>
      </c>
    </row>
    <row r="510" spans="37:38" x14ac:dyDescent="0.25">
      <c r="AK510" s="13">
        <v>2670</v>
      </c>
      <c r="AL510" s="13">
        <v>0</v>
      </c>
    </row>
    <row r="511" spans="37:38" x14ac:dyDescent="0.25">
      <c r="AK511" s="13">
        <v>2670</v>
      </c>
      <c r="AL511" s="13">
        <v>0</v>
      </c>
    </row>
    <row r="512" spans="37:38" x14ac:dyDescent="0.25">
      <c r="AK512" s="13">
        <v>2680</v>
      </c>
      <c r="AL512" s="13">
        <v>0</v>
      </c>
    </row>
    <row r="513" spans="37:38" x14ac:dyDescent="0.25">
      <c r="AK513" s="13">
        <v>2680</v>
      </c>
      <c r="AL513" s="13">
        <v>0</v>
      </c>
    </row>
    <row r="514" spans="37:38" x14ac:dyDescent="0.25">
      <c r="AK514" s="13">
        <v>2690</v>
      </c>
      <c r="AL514" s="13">
        <v>0</v>
      </c>
    </row>
    <row r="515" spans="37:38" x14ac:dyDescent="0.25">
      <c r="AK515" s="13">
        <v>2690</v>
      </c>
      <c r="AL515" s="13">
        <v>0</v>
      </c>
    </row>
    <row r="516" spans="37:38" x14ac:dyDescent="0.25">
      <c r="AK516" s="13">
        <v>2700</v>
      </c>
      <c r="AL516" s="13">
        <v>0</v>
      </c>
    </row>
    <row r="517" spans="37:38" x14ac:dyDescent="0.25">
      <c r="AK517" s="13">
        <v>2700</v>
      </c>
      <c r="AL517" s="13">
        <v>0</v>
      </c>
    </row>
    <row r="518" spans="37:38" x14ac:dyDescent="0.25">
      <c r="AK518" s="13">
        <v>2710</v>
      </c>
      <c r="AL518" s="13">
        <v>0</v>
      </c>
    </row>
    <row r="519" spans="37:38" x14ac:dyDescent="0.25">
      <c r="AK519" s="13">
        <v>2710</v>
      </c>
      <c r="AL519" s="13">
        <v>0</v>
      </c>
    </row>
    <row r="520" spans="37:38" x14ac:dyDescent="0.25">
      <c r="AK520" s="13">
        <v>2720</v>
      </c>
      <c r="AL520" s="13">
        <v>0</v>
      </c>
    </row>
    <row r="521" spans="37:38" x14ac:dyDescent="0.25">
      <c r="AK521" s="13">
        <v>2720</v>
      </c>
      <c r="AL521" s="13">
        <v>0</v>
      </c>
    </row>
    <row r="522" spans="37:38" x14ac:dyDescent="0.25">
      <c r="AK522" s="13">
        <v>2730</v>
      </c>
      <c r="AL522" s="13">
        <v>0</v>
      </c>
    </row>
    <row r="523" spans="37:38" x14ac:dyDescent="0.25">
      <c r="AK523" s="13">
        <v>2730</v>
      </c>
      <c r="AL523" s="13">
        <v>0</v>
      </c>
    </row>
    <row r="524" spans="37:38" x14ac:dyDescent="0.25">
      <c r="AK524" s="13">
        <v>2740</v>
      </c>
      <c r="AL524" s="13">
        <v>0</v>
      </c>
    </row>
    <row r="525" spans="37:38" x14ac:dyDescent="0.25">
      <c r="AK525" s="13">
        <v>2740</v>
      </c>
      <c r="AL525" s="13">
        <v>0</v>
      </c>
    </row>
    <row r="526" spans="37:38" x14ac:dyDescent="0.25">
      <c r="AK526" s="13">
        <v>2750</v>
      </c>
      <c r="AL526" s="13">
        <v>0</v>
      </c>
    </row>
    <row r="527" spans="37:38" x14ac:dyDescent="0.25">
      <c r="AK527" s="13">
        <v>2750</v>
      </c>
      <c r="AL527" s="13">
        <v>0</v>
      </c>
    </row>
    <row r="528" spans="37:38" x14ac:dyDescent="0.25">
      <c r="AK528" s="13">
        <v>2760</v>
      </c>
      <c r="AL528" s="13">
        <v>0</v>
      </c>
    </row>
    <row r="529" spans="37:38" x14ac:dyDescent="0.25">
      <c r="AK529" s="13">
        <v>2760</v>
      </c>
      <c r="AL529" s="13">
        <v>0</v>
      </c>
    </row>
    <row r="530" spans="37:38" x14ac:dyDescent="0.25">
      <c r="AK530" s="13">
        <v>2770</v>
      </c>
      <c r="AL530" s="13">
        <v>0</v>
      </c>
    </row>
    <row r="531" spans="37:38" x14ac:dyDescent="0.25">
      <c r="AK531" s="13">
        <v>2770</v>
      </c>
      <c r="AL531" s="13">
        <v>0</v>
      </c>
    </row>
    <row r="532" spans="37:38" x14ac:dyDescent="0.25">
      <c r="AK532" s="13">
        <v>2780</v>
      </c>
      <c r="AL532" s="13">
        <v>0</v>
      </c>
    </row>
    <row r="533" spans="37:38" x14ac:dyDescent="0.25">
      <c r="AK533" s="13">
        <v>2780</v>
      </c>
      <c r="AL533" s="13">
        <v>0</v>
      </c>
    </row>
    <row r="534" spans="37:38" x14ac:dyDescent="0.25">
      <c r="AK534" s="13">
        <v>2790</v>
      </c>
      <c r="AL534" s="13">
        <v>0</v>
      </c>
    </row>
    <row r="535" spans="37:38" x14ac:dyDescent="0.25">
      <c r="AK535" s="13">
        <v>2790</v>
      </c>
      <c r="AL535" s="13">
        <v>0</v>
      </c>
    </row>
    <row r="536" spans="37:38" x14ac:dyDescent="0.25">
      <c r="AK536" s="13">
        <v>2800</v>
      </c>
      <c r="AL536" s="13">
        <v>0</v>
      </c>
    </row>
    <row r="537" spans="37:38" x14ac:dyDescent="0.25">
      <c r="AK537" s="13">
        <v>2800</v>
      </c>
      <c r="AL537" s="13">
        <v>0</v>
      </c>
    </row>
    <row r="538" spans="37:38" x14ac:dyDescent="0.25">
      <c r="AK538" s="13">
        <v>2810</v>
      </c>
      <c r="AL538" s="13">
        <v>0</v>
      </c>
    </row>
    <row r="539" spans="37:38" x14ac:dyDescent="0.25">
      <c r="AK539" s="13">
        <v>2810</v>
      </c>
      <c r="AL539" s="13">
        <v>0</v>
      </c>
    </row>
    <row r="540" spans="37:38" x14ac:dyDescent="0.25">
      <c r="AK540" s="13">
        <v>2820</v>
      </c>
      <c r="AL540" s="13">
        <v>0</v>
      </c>
    </row>
    <row r="541" spans="37:38" x14ac:dyDescent="0.25">
      <c r="AK541" s="13">
        <v>2820</v>
      </c>
      <c r="AL541" s="13">
        <v>0</v>
      </c>
    </row>
    <row r="542" spans="37:38" x14ac:dyDescent="0.25">
      <c r="AK542" s="13">
        <v>2830</v>
      </c>
      <c r="AL542" s="13">
        <v>0</v>
      </c>
    </row>
    <row r="543" spans="37:38" x14ac:dyDescent="0.25">
      <c r="AK543" s="13">
        <v>2830</v>
      </c>
      <c r="AL543" s="13">
        <v>0</v>
      </c>
    </row>
    <row r="544" spans="37:38" x14ac:dyDescent="0.25">
      <c r="AK544" s="13">
        <v>2840</v>
      </c>
      <c r="AL544" s="13">
        <v>0</v>
      </c>
    </row>
    <row r="545" spans="37:38" x14ac:dyDescent="0.25">
      <c r="AK545" s="13">
        <v>2840</v>
      </c>
      <c r="AL545" s="13">
        <v>0</v>
      </c>
    </row>
    <row r="546" spans="37:38" x14ac:dyDescent="0.25">
      <c r="AK546" s="13">
        <v>2850</v>
      </c>
      <c r="AL546" s="13">
        <v>0</v>
      </c>
    </row>
    <row r="547" spans="37:38" x14ac:dyDescent="0.25">
      <c r="AK547" s="13">
        <v>2850</v>
      </c>
      <c r="AL547" s="13">
        <v>0</v>
      </c>
    </row>
    <row r="548" spans="37:38" x14ac:dyDescent="0.25">
      <c r="AK548" s="13">
        <v>2860</v>
      </c>
      <c r="AL548" s="13">
        <v>0</v>
      </c>
    </row>
    <row r="549" spans="37:38" x14ac:dyDescent="0.25">
      <c r="AK549" s="13">
        <v>2860</v>
      </c>
      <c r="AL549" s="13">
        <v>0</v>
      </c>
    </row>
    <row r="550" spans="37:38" x14ac:dyDescent="0.25">
      <c r="AK550" s="13">
        <v>2870</v>
      </c>
      <c r="AL550" s="13">
        <v>0</v>
      </c>
    </row>
    <row r="551" spans="37:38" x14ac:dyDescent="0.25">
      <c r="AK551" s="13">
        <v>2870</v>
      </c>
      <c r="AL551" s="13">
        <v>0</v>
      </c>
    </row>
    <row r="552" spans="37:38" x14ac:dyDescent="0.25">
      <c r="AK552" s="13">
        <v>2880</v>
      </c>
      <c r="AL552" s="13">
        <v>0</v>
      </c>
    </row>
    <row r="553" spans="37:38" x14ac:dyDescent="0.25">
      <c r="AK553" s="13">
        <v>2880</v>
      </c>
      <c r="AL553" s="13">
        <v>0</v>
      </c>
    </row>
    <row r="554" spans="37:38" x14ac:dyDescent="0.25">
      <c r="AK554" s="13">
        <v>2890</v>
      </c>
      <c r="AL554" s="13">
        <v>0</v>
      </c>
    </row>
    <row r="555" spans="37:38" x14ac:dyDescent="0.25">
      <c r="AK555" s="13">
        <v>2890</v>
      </c>
      <c r="AL555" s="13">
        <v>0</v>
      </c>
    </row>
    <row r="556" spans="37:38" x14ac:dyDescent="0.25">
      <c r="AK556" s="13">
        <v>2900</v>
      </c>
      <c r="AL556" s="13">
        <v>0</v>
      </c>
    </row>
    <row r="557" spans="37:38" x14ac:dyDescent="0.25">
      <c r="AK557" s="13">
        <v>2900</v>
      </c>
      <c r="AL557" s="13">
        <v>0</v>
      </c>
    </row>
    <row r="558" spans="37:38" x14ac:dyDescent="0.25">
      <c r="AK558" s="13">
        <v>2910</v>
      </c>
      <c r="AL558" s="13">
        <v>0</v>
      </c>
    </row>
    <row r="559" spans="37:38" x14ac:dyDescent="0.25">
      <c r="AK559" s="13">
        <v>2910</v>
      </c>
      <c r="AL559" s="13">
        <v>0</v>
      </c>
    </row>
    <row r="560" spans="37:38" x14ac:dyDescent="0.25">
      <c r="AK560" s="13">
        <v>2920</v>
      </c>
      <c r="AL560" s="13">
        <v>0</v>
      </c>
    </row>
    <row r="561" spans="37:38" x14ac:dyDescent="0.25">
      <c r="AK561" s="13">
        <v>2920</v>
      </c>
      <c r="AL561" s="13">
        <v>0</v>
      </c>
    </row>
    <row r="562" spans="37:38" x14ac:dyDescent="0.25">
      <c r="AK562" s="13">
        <v>2930</v>
      </c>
      <c r="AL562" s="13">
        <v>0</v>
      </c>
    </row>
    <row r="563" spans="37:38" x14ac:dyDescent="0.25">
      <c r="AK563" s="13">
        <v>2930</v>
      </c>
      <c r="AL563" s="13">
        <v>0</v>
      </c>
    </row>
    <row r="564" spans="37:38" x14ac:dyDescent="0.25">
      <c r="AK564" s="13">
        <v>2940</v>
      </c>
      <c r="AL564" s="13">
        <v>0</v>
      </c>
    </row>
    <row r="565" spans="37:38" x14ac:dyDescent="0.25">
      <c r="AK565" s="13">
        <v>2940</v>
      </c>
      <c r="AL565" s="13">
        <v>0</v>
      </c>
    </row>
    <row r="566" spans="37:38" x14ac:dyDescent="0.25">
      <c r="AK566" s="13">
        <v>2950</v>
      </c>
      <c r="AL566" s="13">
        <v>0</v>
      </c>
    </row>
    <row r="567" spans="37:38" x14ac:dyDescent="0.25">
      <c r="AK567" s="13">
        <v>2950</v>
      </c>
      <c r="AL567" s="13">
        <v>0</v>
      </c>
    </row>
    <row r="568" spans="37:38" x14ac:dyDescent="0.25">
      <c r="AK568" s="13">
        <v>2960</v>
      </c>
      <c r="AL568" s="13">
        <v>0</v>
      </c>
    </row>
    <row r="569" spans="37:38" x14ac:dyDescent="0.25">
      <c r="AK569" s="13">
        <v>2960</v>
      </c>
      <c r="AL569" s="13">
        <v>0</v>
      </c>
    </row>
    <row r="570" spans="37:38" x14ac:dyDescent="0.25">
      <c r="AK570" s="13">
        <v>2970</v>
      </c>
      <c r="AL570" s="13">
        <v>0</v>
      </c>
    </row>
    <row r="571" spans="37:38" x14ac:dyDescent="0.25">
      <c r="AK571" s="13">
        <v>2970</v>
      </c>
      <c r="AL571" s="13">
        <v>0</v>
      </c>
    </row>
    <row r="572" spans="37:38" x14ac:dyDescent="0.25">
      <c r="AK572" s="13">
        <v>2980</v>
      </c>
      <c r="AL572" s="13">
        <v>0</v>
      </c>
    </row>
    <row r="573" spans="37:38" x14ac:dyDescent="0.25">
      <c r="AK573" s="13">
        <v>2980</v>
      </c>
      <c r="AL573" s="13">
        <v>0</v>
      </c>
    </row>
    <row r="574" spans="37:38" x14ac:dyDescent="0.25">
      <c r="AK574" s="13">
        <v>2990</v>
      </c>
      <c r="AL574" s="13">
        <v>0</v>
      </c>
    </row>
    <row r="575" spans="37:38" x14ac:dyDescent="0.25">
      <c r="AK575" s="13">
        <v>2990</v>
      </c>
      <c r="AL575" s="13">
        <v>0</v>
      </c>
    </row>
    <row r="576" spans="37:38" x14ac:dyDescent="0.25">
      <c r="AK576" s="13">
        <v>3000</v>
      </c>
      <c r="AL576" s="13">
        <v>0</v>
      </c>
    </row>
    <row r="577" spans="37:38" x14ac:dyDescent="0.25">
      <c r="AK577" s="13">
        <v>3000</v>
      </c>
      <c r="AL577" s="13">
        <v>0</v>
      </c>
    </row>
    <row r="578" spans="37:38" x14ac:dyDescent="0.25">
      <c r="AK578" s="13">
        <v>3010</v>
      </c>
      <c r="AL578" s="13">
        <v>0</v>
      </c>
    </row>
    <row r="579" spans="37:38" x14ac:dyDescent="0.25">
      <c r="AK579" s="13">
        <v>3010</v>
      </c>
      <c r="AL579" s="13">
        <v>0</v>
      </c>
    </row>
    <row r="580" spans="37:38" x14ac:dyDescent="0.25">
      <c r="AK580" s="13">
        <v>3020</v>
      </c>
      <c r="AL580" s="13">
        <v>0</v>
      </c>
    </row>
    <row r="581" spans="37:38" x14ac:dyDescent="0.25">
      <c r="AK581" s="13">
        <v>3020</v>
      </c>
      <c r="AL581" s="13">
        <v>0</v>
      </c>
    </row>
    <row r="582" spans="37:38" x14ac:dyDescent="0.25">
      <c r="AK582" s="13">
        <v>3030</v>
      </c>
      <c r="AL582" s="13">
        <v>0</v>
      </c>
    </row>
    <row r="583" spans="37:38" x14ac:dyDescent="0.25">
      <c r="AK583" s="13">
        <v>3030</v>
      </c>
      <c r="AL583" s="13">
        <v>0</v>
      </c>
    </row>
    <row r="584" spans="37:38" x14ac:dyDescent="0.25">
      <c r="AK584" s="13">
        <v>3040</v>
      </c>
      <c r="AL584" s="13">
        <v>0</v>
      </c>
    </row>
    <row r="585" spans="37:38" x14ac:dyDescent="0.25">
      <c r="AK585" s="13">
        <v>3040</v>
      </c>
      <c r="AL585" s="13">
        <v>0</v>
      </c>
    </row>
    <row r="586" spans="37:38" x14ac:dyDescent="0.25">
      <c r="AK586" s="13">
        <v>3050</v>
      </c>
      <c r="AL586" s="13">
        <v>0</v>
      </c>
    </row>
    <row r="587" spans="37:38" x14ac:dyDescent="0.25">
      <c r="AK587" s="13">
        <v>3050</v>
      </c>
      <c r="AL587" s="13">
        <v>0</v>
      </c>
    </row>
    <row r="588" spans="37:38" x14ac:dyDescent="0.25">
      <c r="AK588" s="13">
        <v>3060</v>
      </c>
      <c r="AL588" s="13">
        <v>0</v>
      </c>
    </row>
    <row r="589" spans="37:38" x14ac:dyDescent="0.25">
      <c r="AK589" s="13">
        <v>3060</v>
      </c>
      <c r="AL589" s="13">
        <v>0</v>
      </c>
    </row>
    <row r="590" spans="37:38" x14ac:dyDescent="0.25">
      <c r="AK590" s="13">
        <v>3070</v>
      </c>
      <c r="AL590" s="13">
        <v>0</v>
      </c>
    </row>
    <row r="591" spans="37:38" x14ac:dyDescent="0.25">
      <c r="AK591" s="13">
        <v>3070</v>
      </c>
      <c r="AL591" s="13">
        <v>0</v>
      </c>
    </row>
    <row r="592" spans="37:38" x14ac:dyDescent="0.25">
      <c r="AK592" s="13">
        <v>3080</v>
      </c>
      <c r="AL592" s="13">
        <v>0</v>
      </c>
    </row>
    <row r="593" spans="37:38" x14ac:dyDescent="0.25">
      <c r="AK593" s="13">
        <v>3080</v>
      </c>
      <c r="AL593" s="13">
        <v>0</v>
      </c>
    </row>
    <row r="594" spans="37:38" x14ac:dyDescent="0.25">
      <c r="AK594" s="13">
        <v>3090</v>
      </c>
      <c r="AL594" s="13">
        <v>0</v>
      </c>
    </row>
    <row r="595" spans="37:38" x14ac:dyDescent="0.25">
      <c r="AK595" s="13">
        <v>3090</v>
      </c>
      <c r="AL595" s="13">
        <v>0</v>
      </c>
    </row>
    <row r="596" spans="37:38" x14ac:dyDescent="0.25">
      <c r="AK596" s="13">
        <v>3100</v>
      </c>
      <c r="AL596" s="13">
        <v>0</v>
      </c>
    </row>
    <row r="597" spans="37:38" x14ac:dyDescent="0.25">
      <c r="AK597" s="13">
        <v>3100</v>
      </c>
      <c r="AL597" s="13">
        <v>0</v>
      </c>
    </row>
    <row r="598" spans="37:38" x14ac:dyDescent="0.25">
      <c r="AK598" s="13">
        <v>3110</v>
      </c>
      <c r="AL598" s="13">
        <v>0</v>
      </c>
    </row>
    <row r="599" spans="37:38" x14ac:dyDescent="0.25">
      <c r="AK599" s="13">
        <v>3110</v>
      </c>
      <c r="AL599" s="13">
        <v>0</v>
      </c>
    </row>
    <row r="600" spans="37:38" x14ac:dyDescent="0.25">
      <c r="AK600" s="13">
        <v>3120</v>
      </c>
      <c r="AL600" s="13">
        <v>0</v>
      </c>
    </row>
    <row r="601" spans="37:38" x14ac:dyDescent="0.25">
      <c r="AK601" s="13">
        <v>3120</v>
      </c>
      <c r="AL601" s="13">
        <v>0</v>
      </c>
    </row>
    <row r="602" spans="37:38" x14ac:dyDescent="0.25">
      <c r="AK602" s="13">
        <v>3130</v>
      </c>
      <c r="AL602" s="13">
        <v>0</v>
      </c>
    </row>
    <row r="603" spans="37:38" x14ac:dyDescent="0.25">
      <c r="AK603" s="13">
        <v>3130</v>
      </c>
      <c r="AL603" s="13">
        <v>0</v>
      </c>
    </row>
    <row r="604" spans="37:38" x14ac:dyDescent="0.25">
      <c r="AK604" s="13">
        <v>3140</v>
      </c>
      <c r="AL604" s="13">
        <v>0</v>
      </c>
    </row>
    <row r="605" spans="37:38" x14ac:dyDescent="0.25">
      <c r="AK605" s="13">
        <v>3140</v>
      </c>
      <c r="AL605" s="13">
        <v>0</v>
      </c>
    </row>
    <row r="606" spans="37:38" x14ac:dyDescent="0.25">
      <c r="AK606" s="13">
        <v>3150</v>
      </c>
      <c r="AL606" s="13">
        <v>0</v>
      </c>
    </row>
    <row r="607" spans="37:38" x14ac:dyDescent="0.25">
      <c r="AK607" s="13">
        <v>3150</v>
      </c>
      <c r="AL607" s="13">
        <v>0</v>
      </c>
    </row>
    <row r="608" spans="37:38" x14ac:dyDescent="0.25">
      <c r="AK608" s="13">
        <v>3160</v>
      </c>
      <c r="AL608" s="13">
        <v>0</v>
      </c>
    </row>
    <row r="609" spans="37:38" x14ac:dyDescent="0.25">
      <c r="AK609" s="13">
        <v>3160</v>
      </c>
      <c r="AL609" s="13">
        <v>0</v>
      </c>
    </row>
    <row r="610" spans="37:38" x14ac:dyDescent="0.25">
      <c r="AK610" s="13">
        <v>3170</v>
      </c>
      <c r="AL610" s="13">
        <v>0</v>
      </c>
    </row>
    <row r="611" spans="37:38" x14ac:dyDescent="0.25">
      <c r="AK611" s="13">
        <v>3170</v>
      </c>
      <c r="AL611" s="13">
        <v>0</v>
      </c>
    </row>
    <row r="612" spans="37:38" x14ac:dyDescent="0.25">
      <c r="AK612" s="13">
        <v>3180</v>
      </c>
      <c r="AL612" s="13">
        <v>0</v>
      </c>
    </row>
    <row r="613" spans="37:38" x14ac:dyDescent="0.25">
      <c r="AK613" s="13">
        <v>3180</v>
      </c>
      <c r="AL613" s="13">
        <v>0</v>
      </c>
    </row>
    <row r="614" spans="37:38" x14ac:dyDescent="0.25">
      <c r="AK614" s="13">
        <v>3190</v>
      </c>
      <c r="AL614" s="13">
        <v>0</v>
      </c>
    </row>
    <row r="615" spans="37:38" x14ac:dyDescent="0.25">
      <c r="AK615" s="13">
        <v>3190</v>
      </c>
      <c r="AL615" s="13">
        <v>0</v>
      </c>
    </row>
    <row r="616" spans="37:38" x14ac:dyDescent="0.25">
      <c r="AK616" s="13">
        <v>3200</v>
      </c>
      <c r="AL616" s="13">
        <v>0</v>
      </c>
    </row>
    <row r="617" spans="37:38" x14ac:dyDescent="0.25">
      <c r="AK617" s="13">
        <v>3200</v>
      </c>
      <c r="AL617" s="13">
        <v>0</v>
      </c>
    </row>
    <row r="618" spans="37:38" x14ac:dyDescent="0.25">
      <c r="AK618" s="13">
        <v>3210</v>
      </c>
      <c r="AL618" s="13">
        <v>0</v>
      </c>
    </row>
    <row r="619" spans="37:38" x14ac:dyDescent="0.25">
      <c r="AK619" s="13">
        <v>3210</v>
      </c>
      <c r="AL619" s="13">
        <v>0</v>
      </c>
    </row>
    <row r="620" spans="37:38" x14ac:dyDescent="0.25">
      <c r="AK620" s="13">
        <v>3220</v>
      </c>
      <c r="AL620" s="13">
        <v>0</v>
      </c>
    </row>
    <row r="621" spans="37:38" x14ac:dyDescent="0.25">
      <c r="AK621" s="13">
        <v>3220</v>
      </c>
      <c r="AL621" s="13">
        <v>0</v>
      </c>
    </row>
    <row r="622" spans="37:38" x14ac:dyDescent="0.25">
      <c r="AK622" s="13">
        <v>3230</v>
      </c>
      <c r="AL622" s="13">
        <v>0</v>
      </c>
    </row>
    <row r="623" spans="37:38" x14ac:dyDescent="0.25">
      <c r="AK623" s="13">
        <v>3230</v>
      </c>
      <c r="AL623" s="13">
        <v>0</v>
      </c>
    </row>
    <row r="624" spans="37:38" x14ac:dyDescent="0.25">
      <c r="AK624" s="13">
        <v>3240</v>
      </c>
      <c r="AL624" s="13">
        <v>0</v>
      </c>
    </row>
    <row r="625" spans="37:38" x14ac:dyDescent="0.25">
      <c r="AK625" s="13">
        <v>3240</v>
      </c>
      <c r="AL625" s="13">
        <v>0</v>
      </c>
    </row>
    <row r="626" spans="37:38" x14ac:dyDescent="0.25">
      <c r="AK626" s="13">
        <v>3250</v>
      </c>
      <c r="AL626" s="13">
        <v>0</v>
      </c>
    </row>
    <row r="627" spans="37:38" x14ac:dyDescent="0.25">
      <c r="AK627" s="13">
        <v>3250</v>
      </c>
      <c r="AL627" s="13">
        <v>0</v>
      </c>
    </row>
    <row r="628" spans="37:38" x14ac:dyDescent="0.25">
      <c r="AK628" s="13">
        <v>3260</v>
      </c>
      <c r="AL628" s="13">
        <v>0</v>
      </c>
    </row>
    <row r="629" spans="37:38" x14ac:dyDescent="0.25">
      <c r="AK629" s="13">
        <v>3260</v>
      </c>
      <c r="AL629" s="13">
        <v>0</v>
      </c>
    </row>
    <row r="630" spans="37:38" x14ac:dyDescent="0.25">
      <c r="AK630" s="13">
        <v>3270</v>
      </c>
      <c r="AL630" s="13">
        <v>0</v>
      </c>
    </row>
    <row r="631" spans="37:38" x14ac:dyDescent="0.25">
      <c r="AK631" s="13">
        <v>3270</v>
      </c>
      <c r="AL631" s="13">
        <v>0</v>
      </c>
    </row>
    <row r="632" spans="37:38" x14ac:dyDescent="0.25">
      <c r="AK632" s="13">
        <v>3280</v>
      </c>
      <c r="AL632" s="13">
        <v>0</v>
      </c>
    </row>
    <row r="633" spans="37:38" x14ac:dyDescent="0.25">
      <c r="AK633" s="13">
        <v>3280</v>
      </c>
      <c r="AL633" s="13">
        <v>0</v>
      </c>
    </row>
    <row r="634" spans="37:38" x14ac:dyDescent="0.25">
      <c r="AK634" s="13">
        <v>3290</v>
      </c>
      <c r="AL634" s="13">
        <v>0</v>
      </c>
    </row>
    <row r="635" spans="37:38" x14ac:dyDescent="0.25">
      <c r="AK635" s="13">
        <v>3290</v>
      </c>
      <c r="AL635" s="13">
        <v>0</v>
      </c>
    </row>
    <row r="636" spans="37:38" x14ac:dyDescent="0.25">
      <c r="AK636" s="13">
        <v>3300</v>
      </c>
      <c r="AL636" s="13">
        <v>0</v>
      </c>
    </row>
    <row r="637" spans="37:38" x14ac:dyDescent="0.25">
      <c r="AK637" s="13">
        <v>3300</v>
      </c>
      <c r="AL637" s="13">
        <v>0</v>
      </c>
    </row>
    <row r="638" spans="37:38" x14ac:dyDescent="0.25">
      <c r="AK638" s="13">
        <v>3310</v>
      </c>
      <c r="AL638" s="13">
        <v>0</v>
      </c>
    </row>
    <row r="639" spans="37:38" x14ac:dyDescent="0.25">
      <c r="AK639" s="13">
        <v>3310</v>
      </c>
      <c r="AL639" s="13">
        <v>0</v>
      </c>
    </row>
    <row r="640" spans="37:38" x14ac:dyDescent="0.25">
      <c r="AK640" s="13">
        <v>3320</v>
      </c>
      <c r="AL640" s="13">
        <v>0</v>
      </c>
    </row>
    <row r="641" spans="37:38" x14ac:dyDescent="0.25">
      <c r="AK641" s="13">
        <v>3320</v>
      </c>
      <c r="AL641" s="13">
        <v>0</v>
      </c>
    </row>
    <row r="642" spans="37:38" x14ac:dyDescent="0.25">
      <c r="AK642" s="13">
        <v>3330</v>
      </c>
      <c r="AL642" s="13">
        <v>0</v>
      </c>
    </row>
    <row r="643" spans="37:38" x14ac:dyDescent="0.25">
      <c r="AK643" s="13">
        <v>3330</v>
      </c>
      <c r="AL643" s="13">
        <v>0</v>
      </c>
    </row>
    <row r="644" spans="37:38" x14ac:dyDescent="0.25">
      <c r="AK644" s="13">
        <v>3340</v>
      </c>
      <c r="AL644" s="13">
        <v>0</v>
      </c>
    </row>
    <row r="645" spans="37:38" x14ac:dyDescent="0.25">
      <c r="AK645" s="13">
        <v>3340</v>
      </c>
      <c r="AL645" s="13">
        <v>0</v>
      </c>
    </row>
    <row r="646" spans="37:38" x14ac:dyDescent="0.25">
      <c r="AK646" s="13">
        <v>3350</v>
      </c>
      <c r="AL646" s="13">
        <v>0</v>
      </c>
    </row>
    <row r="647" spans="37:38" x14ac:dyDescent="0.25">
      <c r="AK647" s="13">
        <v>3350</v>
      </c>
      <c r="AL647" s="13">
        <v>0</v>
      </c>
    </row>
    <row r="648" spans="37:38" x14ac:dyDescent="0.25">
      <c r="AK648" s="13">
        <v>3360</v>
      </c>
      <c r="AL648" s="13">
        <v>0</v>
      </c>
    </row>
    <row r="649" spans="37:38" x14ac:dyDescent="0.25">
      <c r="AK649" s="13">
        <v>3360</v>
      </c>
      <c r="AL649" s="13">
        <v>0</v>
      </c>
    </row>
    <row r="650" spans="37:38" x14ac:dyDescent="0.25">
      <c r="AK650" s="13">
        <v>3370</v>
      </c>
      <c r="AL650" s="13">
        <v>0</v>
      </c>
    </row>
    <row r="651" spans="37:38" x14ac:dyDescent="0.25">
      <c r="AK651" s="13">
        <v>3370</v>
      </c>
      <c r="AL651" s="13">
        <v>0</v>
      </c>
    </row>
    <row r="652" spans="37:38" x14ac:dyDescent="0.25">
      <c r="AK652" s="13">
        <v>3380</v>
      </c>
      <c r="AL652" s="13">
        <v>0</v>
      </c>
    </row>
    <row r="653" spans="37:38" x14ac:dyDescent="0.25">
      <c r="AK653" s="13">
        <v>3380</v>
      </c>
      <c r="AL653" s="13">
        <v>0</v>
      </c>
    </row>
    <row r="654" spans="37:38" x14ac:dyDescent="0.25">
      <c r="AK654" s="13">
        <v>3390</v>
      </c>
      <c r="AL654" s="13">
        <v>0</v>
      </c>
    </row>
    <row r="655" spans="37:38" x14ac:dyDescent="0.25">
      <c r="AK655" s="13">
        <v>3390</v>
      </c>
      <c r="AL655" s="13">
        <v>0</v>
      </c>
    </row>
    <row r="656" spans="37:38" x14ac:dyDescent="0.25">
      <c r="AK656" s="13">
        <v>3400</v>
      </c>
      <c r="AL656" s="13">
        <v>0</v>
      </c>
    </row>
    <row r="657" spans="37:38" x14ac:dyDescent="0.25">
      <c r="AK657" s="13">
        <v>3400</v>
      </c>
      <c r="AL657" s="13">
        <v>0</v>
      </c>
    </row>
    <row r="658" spans="37:38" x14ac:dyDescent="0.25">
      <c r="AK658" s="13">
        <v>3410</v>
      </c>
      <c r="AL658" s="13">
        <v>0</v>
      </c>
    </row>
    <row r="659" spans="37:38" x14ac:dyDescent="0.25">
      <c r="AK659" s="13">
        <v>3410</v>
      </c>
      <c r="AL659" s="13">
        <v>0</v>
      </c>
    </row>
    <row r="660" spans="37:38" x14ac:dyDescent="0.25">
      <c r="AK660" s="13">
        <v>3420</v>
      </c>
      <c r="AL660" s="13">
        <v>0</v>
      </c>
    </row>
    <row r="661" spans="37:38" x14ac:dyDescent="0.25">
      <c r="AK661" s="13">
        <v>3420</v>
      </c>
      <c r="AL661" s="13">
        <v>0</v>
      </c>
    </row>
    <row r="662" spans="37:38" x14ac:dyDescent="0.25">
      <c r="AK662" s="13">
        <v>3430</v>
      </c>
      <c r="AL662" s="13">
        <v>0</v>
      </c>
    </row>
    <row r="663" spans="37:38" x14ac:dyDescent="0.25">
      <c r="AK663" s="13">
        <v>3430</v>
      </c>
      <c r="AL663" s="13">
        <v>0</v>
      </c>
    </row>
    <row r="664" spans="37:38" x14ac:dyDescent="0.25">
      <c r="AK664" s="13">
        <v>3440</v>
      </c>
      <c r="AL664" s="13">
        <v>0</v>
      </c>
    </row>
    <row r="665" spans="37:38" x14ac:dyDescent="0.25">
      <c r="AK665" s="13">
        <v>3440</v>
      </c>
      <c r="AL665" s="13">
        <v>0</v>
      </c>
    </row>
    <row r="666" spans="37:38" x14ac:dyDescent="0.25">
      <c r="AK666" s="13">
        <v>3450</v>
      </c>
      <c r="AL666" s="13">
        <v>0</v>
      </c>
    </row>
    <row r="667" spans="37:38" x14ac:dyDescent="0.25">
      <c r="AK667" s="13">
        <v>3450</v>
      </c>
      <c r="AL667" s="13">
        <v>0</v>
      </c>
    </row>
    <row r="668" spans="37:38" x14ac:dyDescent="0.25">
      <c r="AK668" s="13">
        <v>3460</v>
      </c>
      <c r="AL668" s="13">
        <v>0</v>
      </c>
    </row>
    <row r="669" spans="37:38" x14ac:dyDescent="0.25">
      <c r="AK669" s="13">
        <v>3460</v>
      </c>
      <c r="AL669" s="13">
        <v>0</v>
      </c>
    </row>
    <row r="670" spans="37:38" x14ac:dyDescent="0.25">
      <c r="AK670" s="13">
        <v>3470</v>
      </c>
      <c r="AL670" s="13">
        <v>0</v>
      </c>
    </row>
    <row r="671" spans="37:38" x14ac:dyDescent="0.25">
      <c r="AK671" s="13">
        <v>3470</v>
      </c>
      <c r="AL671" s="13">
        <v>0</v>
      </c>
    </row>
    <row r="672" spans="37:38" x14ac:dyDescent="0.25">
      <c r="AK672" s="13">
        <v>3480</v>
      </c>
      <c r="AL672" s="13">
        <v>0</v>
      </c>
    </row>
    <row r="673" spans="37:38" x14ac:dyDescent="0.25">
      <c r="AK673" s="13">
        <v>3480</v>
      </c>
      <c r="AL673" s="13">
        <v>0</v>
      </c>
    </row>
    <row r="674" spans="37:38" x14ac:dyDescent="0.25">
      <c r="AK674" s="13">
        <v>3490</v>
      </c>
      <c r="AL674" s="13">
        <v>0</v>
      </c>
    </row>
    <row r="675" spans="37:38" x14ac:dyDescent="0.25">
      <c r="AK675" s="13">
        <v>3490</v>
      </c>
      <c r="AL675" s="13">
        <v>0</v>
      </c>
    </row>
    <row r="676" spans="37:38" x14ac:dyDescent="0.25">
      <c r="AK676" s="13">
        <v>3500</v>
      </c>
      <c r="AL676" s="13">
        <v>0</v>
      </c>
    </row>
    <row r="677" spans="37:38" x14ac:dyDescent="0.25">
      <c r="AK677" s="13">
        <v>3500</v>
      </c>
      <c r="AL677" s="13">
        <v>0</v>
      </c>
    </row>
    <row r="678" spans="37:38" x14ac:dyDescent="0.25">
      <c r="AK678" s="13">
        <v>3510</v>
      </c>
      <c r="AL678" s="13">
        <v>0</v>
      </c>
    </row>
    <row r="679" spans="37:38" x14ac:dyDescent="0.25">
      <c r="AK679" s="13">
        <v>3510</v>
      </c>
      <c r="AL679" s="13">
        <v>0</v>
      </c>
    </row>
    <row r="680" spans="37:38" x14ac:dyDescent="0.25">
      <c r="AK680" s="13">
        <v>3520</v>
      </c>
      <c r="AL680" s="13">
        <v>0</v>
      </c>
    </row>
    <row r="681" spans="37:38" x14ac:dyDescent="0.25">
      <c r="AK681" s="13">
        <v>3520</v>
      </c>
      <c r="AL681" s="13">
        <v>0</v>
      </c>
    </row>
    <row r="682" spans="37:38" x14ac:dyDescent="0.25">
      <c r="AK682" s="13">
        <v>3530</v>
      </c>
      <c r="AL682" s="13">
        <v>0</v>
      </c>
    </row>
    <row r="683" spans="37:38" x14ac:dyDescent="0.25">
      <c r="AK683" s="13">
        <v>3530</v>
      </c>
      <c r="AL683" s="13">
        <v>0</v>
      </c>
    </row>
    <row r="684" spans="37:38" x14ac:dyDescent="0.25">
      <c r="AK684" s="13">
        <v>3540</v>
      </c>
      <c r="AL684" s="13">
        <v>0</v>
      </c>
    </row>
    <row r="685" spans="37:38" x14ac:dyDescent="0.25">
      <c r="AK685" s="13">
        <v>3540</v>
      </c>
      <c r="AL685" s="13">
        <v>0</v>
      </c>
    </row>
    <row r="686" spans="37:38" x14ac:dyDescent="0.25">
      <c r="AK686" s="13">
        <v>3550</v>
      </c>
      <c r="AL686" s="13">
        <v>0</v>
      </c>
    </row>
    <row r="687" spans="37:38" x14ac:dyDescent="0.25">
      <c r="AK687" s="13">
        <v>3550</v>
      </c>
      <c r="AL687" s="13">
        <v>0</v>
      </c>
    </row>
    <row r="688" spans="37:38" x14ac:dyDescent="0.25">
      <c r="AK688" s="13">
        <v>3560</v>
      </c>
      <c r="AL688" s="13">
        <v>0</v>
      </c>
    </row>
    <row r="689" spans="37:38" x14ac:dyDescent="0.25">
      <c r="AK689" s="13">
        <v>3560</v>
      </c>
      <c r="AL689" s="13">
        <v>0</v>
      </c>
    </row>
    <row r="690" spans="37:38" x14ac:dyDescent="0.25">
      <c r="AK690" s="13">
        <v>3570</v>
      </c>
      <c r="AL690" s="13">
        <v>0</v>
      </c>
    </row>
    <row r="691" spans="37:38" x14ac:dyDescent="0.25">
      <c r="AK691" s="13">
        <v>3570</v>
      </c>
      <c r="AL691" s="13">
        <v>0</v>
      </c>
    </row>
    <row r="692" spans="37:38" x14ac:dyDescent="0.25">
      <c r="AK692" s="13">
        <v>3580</v>
      </c>
      <c r="AL692" s="13">
        <v>0</v>
      </c>
    </row>
    <row r="693" spans="37:38" x14ac:dyDescent="0.25">
      <c r="AK693" s="13">
        <v>3580</v>
      </c>
      <c r="AL693" s="13">
        <v>0</v>
      </c>
    </row>
    <row r="694" spans="37:38" x14ac:dyDescent="0.25">
      <c r="AK694" s="13">
        <v>3590</v>
      </c>
      <c r="AL694" s="13">
        <v>0</v>
      </c>
    </row>
    <row r="695" spans="37:38" x14ac:dyDescent="0.25">
      <c r="AK695" s="13">
        <v>3590</v>
      </c>
      <c r="AL695" s="13">
        <v>0</v>
      </c>
    </row>
    <row r="696" spans="37:38" x14ac:dyDescent="0.25">
      <c r="AK696" s="13">
        <v>3600</v>
      </c>
      <c r="AL696" s="13">
        <v>0</v>
      </c>
    </row>
    <row r="697" spans="37:38" x14ac:dyDescent="0.25">
      <c r="AK697" s="13">
        <v>3600</v>
      </c>
      <c r="AL697" s="13">
        <v>0</v>
      </c>
    </row>
    <row r="698" spans="37:38" x14ac:dyDescent="0.25">
      <c r="AK698" s="13">
        <v>3610</v>
      </c>
      <c r="AL698" s="13">
        <v>0</v>
      </c>
    </row>
    <row r="699" spans="37:38" x14ac:dyDescent="0.25">
      <c r="AK699" s="13">
        <v>3610</v>
      </c>
      <c r="AL699" s="13">
        <v>0</v>
      </c>
    </row>
    <row r="700" spans="37:38" x14ac:dyDescent="0.25">
      <c r="AK700" s="13">
        <v>3620</v>
      </c>
      <c r="AL700" s="13">
        <v>0</v>
      </c>
    </row>
    <row r="701" spans="37:38" x14ac:dyDescent="0.25">
      <c r="AK701" s="13">
        <v>3620</v>
      </c>
      <c r="AL701" s="13">
        <v>0</v>
      </c>
    </row>
    <row r="702" spans="37:38" x14ac:dyDescent="0.25">
      <c r="AK702" s="13">
        <v>3630</v>
      </c>
      <c r="AL702" s="13">
        <v>0</v>
      </c>
    </row>
    <row r="703" spans="37:38" x14ac:dyDescent="0.25">
      <c r="AK703" s="13">
        <v>3630</v>
      </c>
      <c r="AL703" s="13">
        <v>0</v>
      </c>
    </row>
    <row r="704" spans="37:38" x14ac:dyDescent="0.25">
      <c r="AK704" s="13">
        <v>3640</v>
      </c>
      <c r="AL704" s="13">
        <v>0</v>
      </c>
    </row>
    <row r="705" spans="37:38" x14ac:dyDescent="0.25">
      <c r="AK705" s="13">
        <v>3640</v>
      </c>
      <c r="AL705" s="13">
        <v>0</v>
      </c>
    </row>
    <row r="706" spans="37:38" x14ac:dyDescent="0.25">
      <c r="AK706" s="13">
        <v>3650</v>
      </c>
      <c r="AL706" s="13">
        <v>0</v>
      </c>
    </row>
    <row r="707" spans="37:38" x14ac:dyDescent="0.25">
      <c r="AK707" s="13">
        <v>3650</v>
      </c>
      <c r="AL707" s="13">
        <v>0</v>
      </c>
    </row>
    <row r="708" spans="37:38" x14ac:dyDescent="0.25">
      <c r="AK708" s="13">
        <v>3660</v>
      </c>
      <c r="AL708" s="13">
        <v>0</v>
      </c>
    </row>
    <row r="709" spans="37:38" x14ac:dyDescent="0.25">
      <c r="AK709" s="13">
        <v>3660</v>
      </c>
      <c r="AL709" s="13">
        <v>0</v>
      </c>
    </row>
    <row r="710" spans="37:38" x14ac:dyDescent="0.25">
      <c r="AK710" s="13">
        <v>3670</v>
      </c>
      <c r="AL710" s="13">
        <v>0</v>
      </c>
    </row>
    <row r="711" spans="37:38" x14ac:dyDescent="0.25">
      <c r="AK711" s="13">
        <v>3670</v>
      </c>
      <c r="AL711" s="13">
        <v>0</v>
      </c>
    </row>
    <row r="712" spans="37:38" x14ac:dyDescent="0.25">
      <c r="AK712" s="13">
        <v>3680</v>
      </c>
      <c r="AL712" s="13">
        <v>0</v>
      </c>
    </row>
    <row r="713" spans="37:38" x14ac:dyDescent="0.25">
      <c r="AK713" s="13">
        <v>3680</v>
      </c>
      <c r="AL713" s="13">
        <v>0</v>
      </c>
    </row>
    <row r="714" spans="37:38" x14ac:dyDescent="0.25">
      <c r="AK714" s="13">
        <v>3690</v>
      </c>
      <c r="AL714" s="13">
        <v>0</v>
      </c>
    </row>
    <row r="715" spans="37:38" x14ac:dyDescent="0.25">
      <c r="AK715" s="13">
        <v>3690</v>
      </c>
      <c r="AL715" s="13">
        <v>0</v>
      </c>
    </row>
    <row r="716" spans="37:38" x14ac:dyDescent="0.25">
      <c r="AK716" s="13">
        <v>3700</v>
      </c>
      <c r="AL716" s="13">
        <v>0</v>
      </c>
    </row>
    <row r="717" spans="37:38" x14ac:dyDescent="0.25">
      <c r="AK717" s="13">
        <v>3700</v>
      </c>
      <c r="AL717" s="13">
        <v>0</v>
      </c>
    </row>
    <row r="718" spans="37:38" x14ac:dyDescent="0.25">
      <c r="AK718" s="13">
        <v>3710</v>
      </c>
      <c r="AL718" s="13">
        <v>0</v>
      </c>
    </row>
    <row r="719" spans="37:38" x14ac:dyDescent="0.25">
      <c r="AK719" s="13">
        <v>3710</v>
      </c>
      <c r="AL719" s="13">
        <v>0</v>
      </c>
    </row>
    <row r="720" spans="37:38" x14ac:dyDescent="0.25">
      <c r="AK720" s="13">
        <v>3720</v>
      </c>
      <c r="AL720" s="13">
        <v>0</v>
      </c>
    </row>
    <row r="721" spans="37:38" x14ac:dyDescent="0.25">
      <c r="AK721" s="13">
        <v>3720</v>
      </c>
      <c r="AL721" s="13">
        <v>0</v>
      </c>
    </row>
    <row r="722" spans="37:38" x14ac:dyDescent="0.25">
      <c r="AK722" s="13">
        <v>3730</v>
      </c>
      <c r="AL722" s="13">
        <v>0</v>
      </c>
    </row>
    <row r="723" spans="37:38" x14ac:dyDescent="0.25">
      <c r="AK723" s="13">
        <v>3730</v>
      </c>
      <c r="AL723" s="13">
        <v>0</v>
      </c>
    </row>
    <row r="724" spans="37:38" x14ac:dyDescent="0.25">
      <c r="AK724" s="13">
        <v>3740</v>
      </c>
      <c r="AL724" s="13">
        <v>0</v>
      </c>
    </row>
    <row r="725" spans="37:38" x14ac:dyDescent="0.25">
      <c r="AK725" s="13">
        <v>3740</v>
      </c>
      <c r="AL725" s="13">
        <v>0</v>
      </c>
    </row>
    <row r="726" spans="37:38" x14ac:dyDescent="0.25">
      <c r="AK726" s="13">
        <v>3750</v>
      </c>
      <c r="AL726" s="13">
        <v>0</v>
      </c>
    </row>
    <row r="727" spans="37:38" x14ac:dyDescent="0.25">
      <c r="AK727" s="13">
        <v>3750</v>
      </c>
      <c r="AL727" s="13">
        <v>0</v>
      </c>
    </row>
    <row r="728" spans="37:38" x14ac:dyDescent="0.25">
      <c r="AK728" s="13">
        <v>3760</v>
      </c>
      <c r="AL728" s="13">
        <v>0</v>
      </c>
    </row>
    <row r="729" spans="37:38" x14ac:dyDescent="0.25">
      <c r="AK729" s="13">
        <v>3760</v>
      </c>
      <c r="AL729" s="13">
        <v>0</v>
      </c>
    </row>
    <row r="730" spans="37:38" x14ac:dyDescent="0.25">
      <c r="AK730" s="13">
        <v>3770</v>
      </c>
      <c r="AL730" s="13">
        <v>0</v>
      </c>
    </row>
    <row r="731" spans="37:38" x14ac:dyDescent="0.25">
      <c r="AK731" s="13">
        <v>3770</v>
      </c>
      <c r="AL731" s="13">
        <v>0</v>
      </c>
    </row>
    <row r="732" spans="37:38" x14ac:dyDescent="0.25">
      <c r="AK732" s="13">
        <v>3780</v>
      </c>
      <c r="AL732" s="13">
        <v>0</v>
      </c>
    </row>
    <row r="733" spans="37:38" x14ac:dyDescent="0.25">
      <c r="AK733" s="13">
        <v>3780</v>
      </c>
      <c r="AL733" s="13">
        <v>0</v>
      </c>
    </row>
    <row r="734" spans="37:38" x14ac:dyDescent="0.25">
      <c r="AK734" s="13">
        <v>3790</v>
      </c>
      <c r="AL734" s="13">
        <v>0</v>
      </c>
    </row>
    <row r="735" spans="37:38" x14ac:dyDescent="0.25">
      <c r="AK735" s="13">
        <v>3790</v>
      </c>
      <c r="AL735" s="13">
        <v>0</v>
      </c>
    </row>
    <row r="736" spans="37:38" x14ac:dyDescent="0.25">
      <c r="AK736" s="13">
        <v>3800</v>
      </c>
      <c r="AL736" s="13">
        <v>0</v>
      </c>
    </row>
    <row r="737" spans="37:38" x14ac:dyDescent="0.25">
      <c r="AK737" s="13">
        <v>3800</v>
      </c>
      <c r="AL737" s="13">
        <v>0</v>
      </c>
    </row>
    <row r="738" spans="37:38" x14ac:dyDescent="0.25">
      <c r="AK738" s="13">
        <v>3810</v>
      </c>
      <c r="AL738" s="13">
        <v>0</v>
      </c>
    </row>
    <row r="739" spans="37:38" x14ac:dyDescent="0.25">
      <c r="AK739" s="13">
        <v>3810</v>
      </c>
      <c r="AL739" s="13">
        <v>0</v>
      </c>
    </row>
    <row r="740" spans="37:38" x14ac:dyDescent="0.25">
      <c r="AK740" s="13">
        <v>3820</v>
      </c>
      <c r="AL740" s="13">
        <v>0</v>
      </c>
    </row>
    <row r="741" spans="37:38" x14ac:dyDescent="0.25">
      <c r="AK741" s="13">
        <v>3820</v>
      </c>
      <c r="AL741" s="13">
        <v>0</v>
      </c>
    </row>
    <row r="742" spans="37:38" x14ac:dyDescent="0.25">
      <c r="AK742" s="13">
        <v>3830</v>
      </c>
      <c r="AL742" s="13">
        <v>0</v>
      </c>
    </row>
    <row r="743" spans="37:38" x14ac:dyDescent="0.25">
      <c r="AK743" s="13">
        <v>3830</v>
      </c>
      <c r="AL743" s="13">
        <v>0</v>
      </c>
    </row>
    <row r="744" spans="37:38" x14ac:dyDescent="0.25">
      <c r="AK744" s="13">
        <v>3840</v>
      </c>
      <c r="AL744" s="13">
        <v>0</v>
      </c>
    </row>
    <row r="745" spans="37:38" x14ac:dyDescent="0.25">
      <c r="AK745" s="13">
        <v>3840</v>
      </c>
      <c r="AL745" s="13">
        <v>0</v>
      </c>
    </row>
    <row r="746" spans="37:38" x14ac:dyDescent="0.25">
      <c r="AK746" s="13">
        <v>3850</v>
      </c>
      <c r="AL746" s="13">
        <v>0</v>
      </c>
    </row>
    <row r="747" spans="37:38" x14ac:dyDescent="0.25">
      <c r="AK747" s="13">
        <v>3850</v>
      </c>
      <c r="AL747" s="13">
        <v>0</v>
      </c>
    </row>
    <row r="748" spans="37:38" x14ac:dyDescent="0.25">
      <c r="AK748" s="13">
        <v>3860</v>
      </c>
      <c r="AL748" s="13">
        <v>0</v>
      </c>
    </row>
    <row r="749" spans="37:38" x14ac:dyDescent="0.25">
      <c r="AK749" s="13">
        <v>3860</v>
      </c>
      <c r="AL749" s="13">
        <v>0</v>
      </c>
    </row>
    <row r="750" spans="37:38" x14ac:dyDescent="0.25">
      <c r="AK750" s="13">
        <v>3870</v>
      </c>
      <c r="AL750" s="13">
        <v>0</v>
      </c>
    </row>
    <row r="751" spans="37:38" x14ac:dyDescent="0.25">
      <c r="AK751" s="13">
        <v>3870</v>
      </c>
      <c r="AL751" s="13">
        <v>0</v>
      </c>
    </row>
    <row r="752" spans="37:38" x14ac:dyDescent="0.25">
      <c r="AK752" s="13">
        <v>3880</v>
      </c>
      <c r="AL752" s="13">
        <v>0</v>
      </c>
    </row>
    <row r="753" spans="37:38" x14ac:dyDescent="0.25">
      <c r="AK753" s="13">
        <v>3880</v>
      </c>
      <c r="AL753" s="13">
        <v>0</v>
      </c>
    </row>
    <row r="754" spans="37:38" x14ac:dyDescent="0.25">
      <c r="AK754" s="13">
        <v>3890</v>
      </c>
      <c r="AL754" s="13">
        <v>0</v>
      </c>
    </row>
    <row r="755" spans="37:38" x14ac:dyDescent="0.25">
      <c r="AK755" s="13">
        <v>3890</v>
      </c>
      <c r="AL755" s="13">
        <v>0</v>
      </c>
    </row>
    <row r="756" spans="37:38" x14ac:dyDescent="0.25">
      <c r="AK756" s="13">
        <v>3900</v>
      </c>
      <c r="AL756" s="13">
        <v>0</v>
      </c>
    </row>
    <row r="757" spans="37:38" x14ac:dyDescent="0.25">
      <c r="AK757" s="13">
        <v>3900</v>
      </c>
      <c r="AL757" s="13">
        <v>0</v>
      </c>
    </row>
    <row r="758" spans="37:38" x14ac:dyDescent="0.25">
      <c r="AK758" s="13">
        <v>3910</v>
      </c>
      <c r="AL758" s="13">
        <v>0</v>
      </c>
    </row>
    <row r="759" spans="37:38" x14ac:dyDescent="0.25">
      <c r="AK759" s="13">
        <v>3910</v>
      </c>
      <c r="AL759" s="13">
        <v>0</v>
      </c>
    </row>
    <row r="760" spans="37:38" x14ac:dyDescent="0.25">
      <c r="AK760" s="13">
        <v>3920</v>
      </c>
      <c r="AL760" s="13">
        <v>0</v>
      </c>
    </row>
    <row r="761" spans="37:38" x14ac:dyDescent="0.25">
      <c r="AK761" s="13">
        <v>3920</v>
      </c>
      <c r="AL761" s="13">
        <v>0</v>
      </c>
    </row>
    <row r="762" spans="37:38" x14ac:dyDescent="0.25">
      <c r="AK762" s="13">
        <v>3930</v>
      </c>
      <c r="AL762" s="13">
        <v>0</v>
      </c>
    </row>
    <row r="763" spans="37:38" x14ac:dyDescent="0.25">
      <c r="AK763" s="13">
        <v>3930</v>
      </c>
      <c r="AL763" s="13">
        <v>0</v>
      </c>
    </row>
    <row r="764" spans="37:38" x14ac:dyDescent="0.25">
      <c r="AK764" s="13">
        <v>3940</v>
      </c>
      <c r="AL764" s="13">
        <v>0</v>
      </c>
    </row>
    <row r="765" spans="37:38" x14ac:dyDescent="0.25">
      <c r="AK765" s="13">
        <v>3940</v>
      </c>
      <c r="AL765" s="13">
        <v>0</v>
      </c>
    </row>
    <row r="766" spans="37:38" x14ac:dyDescent="0.25">
      <c r="AK766" s="13">
        <v>3950</v>
      </c>
      <c r="AL766" s="13">
        <v>0</v>
      </c>
    </row>
    <row r="767" spans="37:38" x14ac:dyDescent="0.25">
      <c r="AK767" s="13">
        <v>3950</v>
      </c>
      <c r="AL767" s="13">
        <v>0</v>
      </c>
    </row>
    <row r="768" spans="37:38" x14ac:dyDescent="0.25">
      <c r="AK768" s="13">
        <v>3960</v>
      </c>
      <c r="AL768" s="13">
        <v>0</v>
      </c>
    </row>
    <row r="769" spans="37:38" x14ac:dyDescent="0.25">
      <c r="AK769" s="13">
        <v>3960</v>
      </c>
      <c r="AL769" s="13">
        <v>0</v>
      </c>
    </row>
    <row r="770" spans="37:38" x14ac:dyDescent="0.25">
      <c r="AK770" s="13">
        <v>3970</v>
      </c>
      <c r="AL770" s="13">
        <v>0</v>
      </c>
    </row>
    <row r="771" spans="37:38" x14ac:dyDescent="0.25">
      <c r="AK771" s="13">
        <v>3970</v>
      </c>
      <c r="AL771" s="13">
        <v>0</v>
      </c>
    </row>
    <row r="772" spans="37:38" x14ac:dyDescent="0.25">
      <c r="AK772" s="13">
        <v>3980</v>
      </c>
      <c r="AL772" s="13">
        <v>0</v>
      </c>
    </row>
    <row r="773" spans="37:38" x14ac:dyDescent="0.25">
      <c r="AK773" s="13">
        <v>3980</v>
      </c>
      <c r="AL773" s="13">
        <v>0</v>
      </c>
    </row>
    <row r="774" spans="37:38" x14ac:dyDescent="0.25">
      <c r="AK774" s="13">
        <v>3990</v>
      </c>
      <c r="AL774" s="13">
        <v>0</v>
      </c>
    </row>
    <row r="775" spans="37:38" x14ac:dyDescent="0.25">
      <c r="AK775" s="13">
        <v>3990</v>
      </c>
      <c r="AL775" s="13">
        <v>0</v>
      </c>
    </row>
    <row r="776" spans="37:38" x14ac:dyDescent="0.25">
      <c r="AK776" s="13">
        <v>4000</v>
      </c>
      <c r="AL776" s="13">
        <v>0</v>
      </c>
    </row>
    <row r="777" spans="37:38" x14ac:dyDescent="0.25">
      <c r="AK777" s="13">
        <v>4000</v>
      </c>
      <c r="AL777" s="13">
        <v>0</v>
      </c>
    </row>
    <row r="778" spans="37:38" x14ac:dyDescent="0.25">
      <c r="AK778" s="13">
        <v>4010</v>
      </c>
      <c r="AL778" s="13">
        <v>0</v>
      </c>
    </row>
    <row r="779" spans="37:38" x14ac:dyDescent="0.25">
      <c r="AK779" s="13">
        <v>4010</v>
      </c>
      <c r="AL779" s="13">
        <v>0</v>
      </c>
    </row>
    <row r="780" spans="37:38" x14ac:dyDescent="0.25">
      <c r="AK780" s="13">
        <v>4020</v>
      </c>
      <c r="AL780" s="13">
        <v>0</v>
      </c>
    </row>
    <row r="781" spans="37:38" x14ac:dyDescent="0.25">
      <c r="AK781" s="13">
        <v>4020</v>
      </c>
      <c r="AL781" s="13">
        <v>0</v>
      </c>
    </row>
    <row r="782" spans="37:38" x14ac:dyDescent="0.25">
      <c r="AK782" s="13">
        <v>4030</v>
      </c>
      <c r="AL782" s="13">
        <v>0</v>
      </c>
    </row>
    <row r="783" spans="37:38" x14ac:dyDescent="0.25">
      <c r="AK783" s="13">
        <v>4030</v>
      </c>
      <c r="AL783" s="13">
        <v>0</v>
      </c>
    </row>
    <row r="784" spans="37:38" x14ac:dyDescent="0.25">
      <c r="AK784" s="13">
        <v>4040</v>
      </c>
      <c r="AL784" s="13">
        <v>0</v>
      </c>
    </row>
    <row r="785" spans="37:38" x14ac:dyDescent="0.25">
      <c r="AK785" s="13">
        <v>4040</v>
      </c>
      <c r="AL785" s="13">
        <v>0</v>
      </c>
    </row>
    <row r="786" spans="37:38" x14ac:dyDescent="0.25">
      <c r="AK786" s="13">
        <v>4050</v>
      </c>
      <c r="AL786" s="13">
        <v>0</v>
      </c>
    </row>
    <row r="787" spans="37:38" x14ac:dyDescent="0.25">
      <c r="AK787" s="13">
        <v>4050</v>
      </c>
      <c r="AL787" s="13">
        <v>0</v>
      </c>
    </row>
    <row r="788" spans="37:38" x14ac:dyDescent="0.25">
      <c r="AK788" s="13">
        <v>4060</v>
      </c>
      <c r="AL788" s="13">
        <v>0</v>
      </c>
    </row>
    <row r="789" spans="37:38" x14ac:dyDescent="0.25">
      <c r="AK789" s="13">
        <v>4060</v>
      </c>
      <c r="AL789" s="13">
        <v>0</v>
      </c>
    </row>
    <row r="790" spans="37:38" x14ac:dyDescent="0.25">
      <c r="AK790" s="13">
        <v>4070</v>
      </c>
      <c r="AL790" s="13">
        <v>0</v>
      </c>
    </row>
    <row r="791" spans="37:38" x14ac:dyDescent="0.25">
      <c r="AK791" s="13">
        <v>4070</v>
      </c>
      <c r="AL791" s="13">
        <v>0</v>
      </c>
    </row>
    <row r="792" spans="37:38" x14ac:dyDescent="0.25">
      <c r="AK792" s="13">
        <v>4080</v>
      </c>
      <c r="AL792" s="13">
        <v>0</v>
      </c>
    </row>
    <row r="793" spans="37:38" x14ac:dyDescent="0.25">
      <c r="AK793" s="13">
        <v>4080</v>
      </c>
      <c r="AL793" s="13">
        <v>0</v>
      </c>
    </row>
    <row r="794" spans="37:38" x14ac:dyDescent="0.25">
      <c r="AK794" s="13">
        <v>4090</v>
      </c>
      <c r="AL794" s="13">
        <v>0</v>
      </c>
    </row>
    <row r="795" spans="37:38" x14ac:dyDescent="0.25">
      <c r="AK795" s="13">
        <v>4090</v>
      </c>
      <c r="AL795" s="13">
        <v>0</v>
      </c>
    </row>
    <row r="796" spans="37:38" x14ac:dyDescent="0.25">
      <c r="AK796" s="13">
        <v>4100</v>
      </c>
      <c r="AL796" s="13">
        <v>0</v>
      </c>
    </row>
    <row r="797" spans="37:38" x14ac:dyDescent="0.25">
      <c r="AK797" s="13">
        <v>4100</v>
      </c>
      <c r="AL797" s="13">
        <v>0</v>
      </c>
    </row>
    <row r="798" spans="37:38" x14ac:dyDescent="0.25">
      <c r="AK798" s="13">
        <v>4110</v>
      </c>
      <c r="AL798" s="13">
        <v>0</v>
      </c>
    </row>
    <row r="799" spans="37:38" x14ac:dyDescent="0.25">
      <c r="AK799" s="13">
        <v>4110</v>
      </c>
      <c r="AL799" s="13">
        <v>0</v>
      </c>
    </row>
    <row r="800" spans="37:38" x14ac:dyDescent="0.25">
      <c r="AK800" s="13">
        <v>4120</v>
      </c>
      <c r="AL800" s="13">
        <v>0</v>
      </c>
    </row>
    <row r="801" spans="37:38" x14ac:dyDescent="0.25">
      <c r="AK801" s="13">
        <v>4120</v>
      </c>
      <c r="AL801" s="13">
        <v>0</v>
      </c>
    </row>
    <row r="802" spans="37:38" x14ac:dyDescent="0.25">
      <c r="AK802" s="13">
        <v>4130</v>
      </c>
      <c r="AL802" s="13">
        <v>0</v>
      </c>
    </row>
    <row r="803" spans="37:38" x14ac:dyDescent="0.25">
      <c r="AK803" s="13">
        <v>4130</v>
      </c>
      <c r="AL803" s="13">
        <v>0</v>
      </c>
    </row>
    <row r="804" spans="37:38" x14ac:dyDescent="0.25">
      <c r="AK804" s="13">
        <v>4140</v>
      </c>
      <c r="AL804" s="13">
        <v>0</v>
      </c>
    </row>
    <row r="805" spans="37:38" x14ac:dyDescent="0.25">
      <c r="AK805" s="13">
        <v>4140</v>
      </c>
      <c r="AL805" s="13">
        <v>0</v>
      </c>
    </row>
    <row r="806" spans="37:38" x14ac:dyDescent="0.25">
      <c r="AK806" s="13">
        <v>4150</v>
      </c>
      <c r="AL806" s="13">
        <v>0</v>
      </c>
    </row>
    <row r="807" spans="37:38" x14ac:dyDescent="0.25">
      <c r="AK807" s="13">
        <v>4150</v>
      </c>
      <c r="AL807" s="13">
        <v>2</v>
      </c>
    </row>
    <row r="808" spans="37:38" x14ac:dyDescent="0.25">
      <c r="AK808" s="13">
        <v>4160</v>
      </c>
      <c r="AL808" s="13">
        <v>2</v>
      </c>
    </row>
    <row r="809" spans="37:38" x14ac:dyDescent="0.25">
      <c r="AK809" s="13">
        <v>4160</v>
      </c>
      <c r="AL809" s="13">
        <v>214</v>
      </c>
    </row>
    <row r="810" spans="37:38" x14ac:dyDescent="0.25">
      <c r="AK810" s="13">
        <v>4170</v>
      </c>
      <c r="AL810" s="13">
        <v>214</v>
      </c>
    </row>
    <row r="811" spans="37:38" x14ac:dyDescent="0.25">
      <c r="AK811" s="13">
        <v>4170</v>
      </c>
      <c r="AL811" s="13">
        <v>4746</v>
      </c>
    </row>
    <row r="812" spans="37:38" x14ac:dyDescent="0.25">
      <c r="AK812" s="13">
        <v>4180</v>
      </c>
      <c r="AL812" s="13">
        <v>4746</v>
      </c>
    </row>
    <row r="813" spans="37:38" x14ac:dyDescent="0.25">
      <c r="AK813" s="13">
        <v>4180</v>
      </c>
      <c r="AL813" s="13">
        <v>4828</v>
      </c>
    </row>
    <row r="814" spans="37:38" x14ac:dyDescent="0.25">
      <c r="AK814" s="13">
        <v>4190</v>
      </c>
      <c r="AL814" s="13">
        <v>4828</v>
      </c>
    </row>
    <row r="815" spans="37:38" x14ac:dyDescent="0.25">
      <c r="AK815" s="13">
        <v>4190</v>
      </c>
      <c r="AL815" s="13">
        <v>208</v>
      </c>
    </row>
    <row r="816" spans="37:38" x14ac:dyDescent="0.25">
      <c r="AK816" s="13">
        <v>4200</v>
      </c>
      <c r="AL816" s="13">
        <v>208</v>
      </c>
    </row>
    <row r="817" spans="37:38" x14ac:dyDescent="0.25">
      <c r="AK817" s="13">
        <v>4200</v>
      </c>
      <c r="AL817" s="13">
        <v>2</v>
      </c>
    </row>
    <row r="818" spans="37:38" x14ac:dyDescent="0.25">
      <c r="AK818" s="13">
        <v>4210</v>
      </c>
      <c r="AL818" s="13">
        <v>2</v>
      </c>
    </row>
    <row r="819" spans="37:38" x14ac:dyDescent="0.25">
      <c r="AK819" s="13">
        <v>4210</v>
      </c>
      <c r="AL819" s="13">
        <v>0</v>
      </c>
    </row>
  </sheetData>
  <dataConsolidate/>
  <mergeCells count="4">
    <mergeCell ref="F2:G2"/>
    <mergeCell ref="I4:J4"/>
    <mergeCell ref="K4:L4"/>
    <mergeCell ref="M4:N4"/>
  </mergeCells>
  <pageMargins left="0.75" right="0.75" top="1" bottom="1" header="0.5" footer="0.5"/>
  <pageSetup orientation="portrait" horizontalDpi="200" verticalDpi="200"/>
  <headerFooter alignWithMargins="0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BN153"/>
  <sheetViews>
    <sheetView showGridLines="0" workbookViewId="0">
      <selection activeCell="E20" sqref="E20"/>
    </sheetView>
  </sheetViews>
  <sheetFormatPr defaultRowHeight="15.75" x14ac:dyDescent="0.25"/>
  <cols>
    <col min="1" max="1" width="8" style="22" customWidth="1"/>
    <col min="2" max="2" width="10.625" style="11" customWidth="1"/>
    <col min="3" max="3" width="10.625" style="12" customWidth="1"/>
    <col min="4" max="4" width="7.625" style="13" customWidth="1"/>
    <col min="5" max="5" width="7.625" style="14" customWidth="1"/>
    <col min="6" max="6" width="11.625" style="15" customWidth="1"/>
    <col min="7" max="7" width="9" style="14"/>
    <col min="8" max="8" width="6.625" style="14" customWidth="1"/>
    <col min="9" max="14" width="10.125" style="14" customWidth="1"/>
    <col min="15" max="17" width="9" style="14"/>
    <col min="18" max="19" width="9" style="13"/>
    <col min="20" max="20" width="14.25" style="13" customWidth="1"/>
    <col min="21" max="22" width="11.25" style="13" customWidth="1"/>
    <col min="23" max="54" width="9" style="13"/>
    <col min="55" max="256" width="9" style="14"/>
    <col min="257" max="257" width="8" style="14" customWidth="1"/>
    <col min="258" max="259" width="10.625" style="14" customWidth="1"/>
    <col min="260" max="261" width="7.625" style="14" customWidth="1"/>
    <col min="262" max="262" width="11.625" style="14" customWidth="1"/>
    <col min="263" max="263" width="9" style="14"/>
    <col min="264" max="264" width="6.625" style="14" customWidth="1"/>
    <col min="265" max="270" width="10.125" style="14" customWidth="1"/>
    <col min="271" max="275" width="9" style="14"/>
    <col min="276" max="276" width="14.25" style="14" customWidth="1"/>
    <col min="277" max="278" width="11.25" style="14" customWidth="1"/>
    <col min="279" max="512" width="9" style="14"/>
    <col min="513" max="513" width="8" style="14" customWidth="1"/>
    <col min="514" max="515" width="10.625" style="14" customWidth="1"/>
    <col min="516" max="517" width="7.625" style="14" customWidth="1"/>
    <col min="518" max="518" width="11.625" style="14" customWidth="1"/>
    <col min="519" max="519" width="9" style="14"/>
    <col min="520" max="520" width="6.625" style="14" customWidth="1"/>
    <col min="521" max="526" width="10.125" style="14" customWidth="1"/>
    <col min="527" max="531" width="9" style="14"/>
    <col min="532" max="532" width="14.25" style="14" customWidth="1"/>
    <col min="533" max="534" width="11.25" style="14" customWidth="1"/>
    <col min="535" max="768" width="9" style="14"/>
    <col min="769" max="769" width="8" style="14" customWidth="1"/>
    <col min="770" max="771" width="10.625" style="14" customWidth="1"/>
    <col min="772" max="773" width="7.625" style="14" customWidth="1"/>
    <col min="774" max="774" width="11.625" style="14" customWidth="1"/>
    <col min="775" max="775" width="9" style="14"/>
    <col min="776" max="776" width="6.625" style="14" customWidth="1"/>
    <col min="777" max="782" width="10.125" style="14" customWidth="1"/>
    <col min="783" max="787" width="9" style="14"/>
    <col min="788" max="788" width="14.25" style="14" customWidth="1"/>
    <col min="789" max="790" width="11.25" style="14" customWidth="1"/>
    <col min="791" max="1024" width="9" style="14"/>
    <col min="1025" max="1025" width="8" style="14" customWidth="1"/>
    <col min="1026" max="1027" width="10.625" style="14" customWidth="1"/>
    <col min="1028" max="1029" width="7.625" style="14" customWidth="1"/>
    <col min="1030" max="1030" width="11.625" style="14" customWidth="1"/>
    <col min="1031" max="1031" width="9" style="14"/>
    <col min="1032" max="1032" width="6.625" style="14" customWidth="1"/>
    <col min="1033" max="1038" width="10.125" style="14" customWidth="1"/>
    <col min="1039" max="1043" width="9" style="14"/>
    <col min="1044" max="1044" width="14.25" style="14" customWidth="1"/>
    <col min="1045" max="1046" width="11.25" style="14" customWidth="1"/>
    <col min="1047" max="1280" width="9" style="14"/>
    <col min="1281" max="1281" width="8" style="14" customWidth="1"/>
    <col min="1282" max="1283" width="10.625" style="14" customWidth="1"/>
    <col min="1284" max="1285" width="7.625" style="14" customWidth="1"/>
    <col min="1286" max="1286" width="11.625" style="14" customWidth="1"/>
    <col min="1287" max="1287" width="9" style="14"/>
    <col min="1288" max="1288" width="6.625" style="14" customWidth="1"/>
    <col min="1289" max="1294" width="10.125" style="14" customWidth="1"/>
    <col min="1295" max="1299" width="9" style="14"/>
    <col min="1300" max="1300" width="14.25" style="14" customWidth="1"/>
    <col min="1301" max="1302" width="11.25" style="14" customWidth="1"/>
    <col min="1303" max="1536" width="9" style="14"/>
    <col min="1537" max="1537" width="8" style="14" customWidth="1"/>
    <col min="1538" max="1539" width="10.625" style="14" customWidth="1"/>
    <col min="1540" max="1541" width="7.625" style="14" customWidth="1"/>
    <col min="1542" max="1542" width="11.625" style="14" customWidth="1"/>
    <col min="1543" max="1543" width="9" style="14"/>
    <col min="1544" max="1544" width="6.625" style="14" customWidth="1"/>
    <col min="1545" max="1550" width="10.125" style="14" customWidth="1"/>
    <col min="1551" max="1555" width="9" style="14"/>
    <col min="1556" max="1556" width="14.25" style="14" customWidth="1"/>
    <col min="1557" max="1558" width="11.25" style="14" customWidth="1"/>
    <col min="1559" max="1792" width="9" style="14"/>
    <col min="1793" max="1793" width="8" style="14" customWidth="1"/>
    <col min="1794" max="1795" width="10.625" style="14" customWidth="1"/>
    <col min="1796" max="1797" width="7.625" style="14" customWidth="1"/>
    <col min="1798" max="1798" width="11.625" style="14" customWidth="1"/>
    <col min="1799" max="1799" width="9" style="14"/>
    <col min="1800" max="1800" width="6.625" style="14" customWidth="1"/>
    <col min="1801" max="1806" width="10.125" style="14" customWidth="1"/>
    <col min="1807" max="1811" width="9" style="14"/>
    <col min="1812" max="1812" width="14.25" style="14" customWidth="1"/>
    <col min="1813" max="1814" width="11.25" style="14" customWidth="1"/>
    <col min="1815" max="2048" width="9" style="14"/>
    <col min="2049" max="2049" width="8" style="14" customWidth="1"/>
    <col min="2050" max="2051" width="10.625" style="14" customWidth="1"/>
    <col min="2052" max="2053" width="7.625" style="14" customWidth="1"/>
    <col min="2054" max="2054" width="11.625" style="14" customWidth="1"/>
    <col min="2055" max="2055" width="9" style="14"/>
    <col min="2056" max="2056" width="6.625" style="14" customWidth="1"/>
    <col min="2057" max="2062" width="10.125" style="14" customWidth="1"/>
    <col min="2063" max="2067" width="9" style="14"/>
    <col min="2068" max="2068" width="14.25" style="14" customWidth="1"/>
    <col min="2069" max="2070" width="11.25" style="14" customWidth="1"/>
    <col min="2071" max="2304" width="9" style="14"/>
    <col min="2305" max="2305" width="8" style="14" customWidth="1"/>
    <col min="2306" max="2307" width="10.625" style="14" customWidth="1"/>
    <col min="2308" max="2309" width="7.625" style="14" customWidth="1"/>
    <col min="2310" max="2310" width="11.625" style="14" customWidth="1"/>
    <col min="2311" max="2311" width="9" style="14"/>
    <col min="2312" max="2312" width="6.625" style="14" customWidth="1"/>
    <col min="2313" max="2318" width="10.125" style="14" customWidth="1"/>
    <col min="2319" max="2323" width="9" style="14"/>
    <col min="2324" max="2324" width="14.25" style="14" customWidth="1"/>
    <col min="2325" max="2326" width="11.25" style="14" customWidth="1"/>
    <col min="2327" max="2560" width="9" style="14"/>
    <col min="2561" max="2561" width="8" style="14" customWidth="1"/>
    <col min="2562" max="2563" width="10.625" style="14" customWidth="1"/>
    <col min="2564" max="2565" width="7.625" style="14" customWidth="1"/>
    <col min="2566" max="2566" width="11.625" style="14" customWidth="1"/>
    <col min="2567" max="2567" width="9" style="14"/>
    <col min="2568" max="2568" width="6.625" style="14" customWidth="1"/>
    <col min="2569" max="2574" width="10.125" style="14" customWidth="1"/>
    <col min="2575" max="2579" width="9" style="14"/>
    <col min="2580" max="2580" width="14.25" style="14" customWidth="1"/>
    <col min="2581" max="2582" width="11.25" style="14" customWidth="1"/>
    <col min="2583" max="2816" width="9" style="14"/>
    <col min="2817" max="2817" width="8" style="14" customWidth="1"/>
    <col min="2818" max="2819" width="10.625" style="14" customWidth="1"/>
    <col min="2820" max="2821" width="7.625" style="14" customWidth="1"/>
    <col min="2822" max="2822" width="11.625" style="14" customWidth="1"/>
    <col min="2823" max="2823" width="9" style="14"/>
    <col min="2824" max="2824" width="6.625" style="14" customWidth="1"/>
    <col min="2825" max="2830" width="10.125" style="14" customWidth="1"/>
    <col min="2831" max="2835" width="9" style="14"/>
    <col min="2836" max="2836" width="14.25" style="14" customWidth="1"/>
    <col min="2837" max="2838" width="11.25" style="14" customWidth="1"/>
    <col min="2839" max="3072" width="9" style="14"/>
    <col min="3073" max="3073" width="8" style="14" customWidth="1"/>
    <col min="3074" max="3075" width="10.625" style="14" customWidth="1"/>
    <col min="3076" max="3077" width="7.625" style="14" customWidth="1"/>
    <col min="3078" max="3078" width="11.625" style="14" customWidth="1"/>
    <col min="3079" max="3079" width="9" style="14"/>
    <col min="3080" max="3080" width="6.625" style="14" customWidth="1"/>
    <col min="3081" max="3086" width="10.125" style="14" customWidth="1"/>
    <col min="3087" max="3091" width="9" style="14"/>
    <col min="3092" max="3092" width="14.25" style="14" customWidth="1"/>
    <col min="3093" max="3094" width="11.25" style="14" customWidth="1"/>
    <col min="3095" max="3328" width="9" style="14"/>
    <col min="3329" max="3329" width="8" style="14" customWidth="1"/>
    <col min="3330" max="3331" width="10.625" style="14" customWidth="1"/>
    <col min="3332" max="3333" width="7.625" style="14" customWidth="1"/>
    <col min="3334" max="3334" width="11.625" style="14" customWidth="1"/>
    <col min="3335" max="3335" width="9" style="14"/>
    <col min="3336" max="3336" width="6.625" style="14" customWidth="1"/>
    <col min="3337" max="3342" width="10.125" style="14" customWidth="1"/>
    <col min="3343" max="3347" width="9" style="14"/>
    <col min="3348" max="3348" width="14.25" style="14" customWidth="1"/>
    <col min="3349" max="3350" width="11.25" style="14" customWidth="1"/>
    <col min="3351" max="3584" width="9" style="14"/>
    <col min="3585" max="3585" width="8" style="14" customWidth="1"/>
    <col min="3586" max="3587" width="10.625" style="14" customWidth="1"/>
    <col min="3588" max="3589" width="7.625" style="14" customWidth="1"/>
    <col min="3590" max="3590" width="11.625" style="14" customWidth="1"/>
    <col min="3591" max="3591" width="9" style="14"/>
    <col min="3592" max="3592" width="6.625" style="14" customWidth="1"/>
    <col min="3593" max="3598" width="10.125" style="14" customWidth="1"/>
    <col min="3599" max="3603" width="9" style="14"/>
    <col min="3604" max="3604" width="14.25" style="14" customWidth="1"/>
    <col min="3605" max="3606" width="11.25" style="14" customWidth="1"/>
    <col min="3607" max="3840" width="9" style="14"/>
    <col min="3841" max="3841" width="8" style="14" customWidth="1"/>
    <col min="3842" max="3843" width="10.625" style="14" customWidth="1"/>
    <col min="3844" max="3845" width="7.625" style="14" customWidth="1"/>
    <col min="3846" max="3846" width="11.625" style="14" customWidth="1"/>
    <col min="3847" max="3847" width="9" style="14"/>
    <col min="3848" max="3848" width="6.625" style="14" customWidth="1"/>
    <col min="3849" max="3854" width="10.125" style="14" customWidth="1"/>
    <col min="3855" max="3859" width="9" style="14"/>
    <col min="3860" max="3860" width="14.25" style="14" customWidth="1"/>
    <col min="3861" max="3862" width="11.25" style="14" customWidth="1"/>
    <col min="3863" max="4096" width="9" style="14"/>
    <col min="4097" max="4097" width="8" style="14" customWidth="1"/>
    <col min="4098" max="4099" width="10.625" style="14" customWidth="1"/>
    <col min="4100" max="4101" width="7.625" style="14" customWidth="1"/>
    <col min="4102" max="4102" width="11.625" style="14" customWidth="1"/>
    <col min="4103" max="4103" width="9" style="14"/>
    <col min="4104" max="4104" width="6.625" style="14" customWidth="1"/>
    <col min="4105" max="4110" width="10.125" style="14" customWidth="1"/>
    <col min="4111" max="4115" width="9" style="14"/>
    <col min="4116" max="4116" width="14.25" style="14" customWidth="1"/>
    <col min="4117" max="4118" width="11.25" style="14" customWidth="1"/>
    <col min="4119" max="4352" width="9" style="14"/>
    <col min="4353" max="4353" width="8" style="14" customWidth="1"/>
    <col min="4354" max="4355" width="10.625" style="14" customWidth="1"/>
    <col min="4356" max="4357" width="7.625" style="14" customWidth="1"/>
    <col min="4358" max="4358" width="11.625" style="14" customWidth="1"/>
    <col min="4359" max="4359" width="9" style="14"/>
    <col min="4360" max="4360" width="6.625" style="14" customWidth="1"/>
    <col min="4361" max="4366" width="10.125" style="14" customWidth="1"/>
    <col min="4367" max="4371" width="9" style="14"/>
    <col min="4372" max="4372" width="14.25" style="14" customWidth="1"/>
    <col min="4373" max="4374" width="11.25" style="14" customWidth="1"/>
    <col min="4375" max="4608" width="9" style="14"/>
    <col min="4609" max="4609" width="8" style="14" customWidth="1"/>
    <col min="4610" max="4611" width="10.625" style="14" customWidth="1"/>
    <col min="4612" max="4613" width="7.625" style="14" customWidth="1"/>
    <col min="4614" max="4614" width="11.625" style="14" customWidth="1"/>
    <col min="4615" max="4615" width="9" style="14"/>
    <col min="4616" max="4616" width="6.625" style="14" customWidth="1"/>
    <col min="4617" max="4622" width="10.125" style="14" customWidth="1"/>
    <col min="4623" max="4627" width="9" style="14"/>
    <col min="4628" max="4628" width="14.25" style="14" customWidth="1"/>
    <col min="4629" max="4630" width="11.25" style="14" customWidth="1"/>
    <col min="4631" max="4864" width="9" style="14"/>
    <col min="4865" max="4865" width="8" style="14" customWidth="1"/>
    <col min="4866" max="4867" width="10.625" style="14" customWidth="1"/>
    <col min="4868" max="4869" width="7.625" style="14" customWidth="1"/>
    <col min="4870" max="4870" width="11.625" style="14" customWidth="1"/>
    <col min="4871" max="4871" width="9" style="14"/>
    <col min="4872" max="4872" width="6.625" style="14" customWidth="1"/>
    <col min="4873" max="4878" width="10.125" style="14" customWidth="1"/>
    <col min="4879" max="4883" width="9" style="14"/>
    <col min="4884" max="4884" width="14.25" style="14" customWidth="1"/>
    <col min="4885" max="4886" width="11.25" style="14" customWidth="1"/>
    <col min="4887" max="5120" width="9" style="14"/>
    <col min="5121" max="5121" width="8" style="14" customWidth="1"/>
    <col min="5122" max="5123" width="10.625" style="14" customWidth="1"/>
    <col min="5124" max="5125" width="7.625" style="14" customWidth="1"/>
    <col min="5126" max="5126" width="11.625" style="14" customWidth="1"/>
    <col min="5127" max="5127" width="9" style="14"/>
    <col min="5128" max="5128" width="6.625" style="14" customWidth="1"/>
    <col min="5129" max="5134" width="10.125" style="14" customWidth="1"/>
    <col min="5135" max="5139" width="9" style="14"/>
    <col min="5140" max="5140" width="14.25" style="14" customWidth="1"/>
    <col min="5141" max="5142" width="11.25" style="14" customWidth="1"/>
    <col min="5143" max="5376" width="9" style="14"/>
    <col min="5377" max="5377" width="8" style="14" customWidth="1"/>
    <col min="5378" max="5379" width="10.625" style="14" customWidth="1"/>
    <col min="5380" max="5381" width="7.625" style="14" customWidth="1"/>
    <col min="5382" max="5382" width="11.625" style="14" customWidth="1"/>
    <col min="5383" max="5383" width="9" style="14"/>
    <col min="5384" max="5384" width="6.625" style="14" customWidth="1"/>
    <col min="5385" max="5390" width="10.125" style="14" customWidth="1"/>
    <col min="5391" max="5395" width="9" style="14"/>
    <col min="5396" max="5396" width="14.25" style="14" customWidth="1"/>
    <col min="5397" max="5398" width="11.25" style="14" customWidth="1"/>
    <col min="5399" max="5632" width="9" style="14"/>
    <col min="5633" max="5633" width="8" style="14" customWidth="1"/>
    <col min="5634" max="5635" width="10.625" style="14" customWidth="1"/>
    <col min="5636" max="5637" width="7.625" style="14" customWidth="1"/>
    <col min="5638" max="5638" width="11.625" style="14" customWidth="1"/>
    <col min="5639" max="5639" width="9" style="14"/>
    <col min="5640" max="5640" width="6.625" style="14" customWidth="1"/>
    <col min="5641" max="5646" width="10.125" style="14" customWidth="1"/>
    <col min="5647" max="5651" width="9" style="14"/>
    <col min="5652" max="5652" width="14.25" style="14" customWidth="1"/>
    <col min="5653" max="5654" width="11.25" style="14" customWidth="1"/>
    <col min="5655" max="5888" width="9" style="14"/>
    <col min="5889" max="5889" width="8" style="14" customWidth="1"/>
    <col min="5890" max="5891" width="10.625" style="14" customWidth="1"/>
    <col min="5892" max="5893" width="7.625" style="14" customWidth="1"/>
    <col min="5894" max="5894" width="11.625" style="14" customWidth="1"/>
    <col min="5895" max="5895" width="9" style="14"/>
    <col min="5896" max="5896" width="6.625" style="14" customWidth="1"/>
    <col min="5897" max="5902" width="10.125" style="14" customWidth="1"/>
    <col min="5903" max="5907" width="9" style="14"/>
    <col min="5908" max="5908" width="14.25" style="14" customWidth="1"/>
    <col min="5909" max="5910" width="11.25" style="14" customWidth="1"/>
    <col min="5911" max="6144" width="9" style="14"/>
    <col min="6145" max="6145" width="8" style="14" customWidth="1"/>
    <col min="6146" max="6147" width="10.625" style="14" customWidth="1"/>
    <col min="6148" max="6149" width="7.625" style="14" customWidth="1"/>
    <col min="6150" max="6150" width="11.625" style="14" customWidth="1"/>
    <col min="6151" max="6151" width="9" style="14"/>
    <col min="6152" max="6152" width="6.625" style="14" customWidth="1"/>
    <col min="6153" max="6158" width="10.125" style="14" customWidth="1"/>
    <col min="6159" max="6163" width="9" style="14"/>
    <col min="6164" max="6164" width="14.25" style="14" customWidth="1"/>
    <col min="6165" max="6166" width="11.25" style="14" customWidth="1"/>
    <col min="6167" max="6400" width="9" style="14"/>
    <col min="6401" max="6401" width="8" style="14" customWidth="1"/>
    <col min="6402" max="6403" width="10.625" style="14" customWidth="1"/>
    <col min="6404" max="6405" width="7.625" style="14" customWidth="1"/>
    <col min="6406" max="6406" width="11.625" style="14" customWidth="1"/>
    <col min="6407" max="6407" width="9" style="14"/>
    <col min="6408" max="6408" width="6.625" style="14" customWidth="1"/>
    <col min="6409" max="6414" width="10.125" style="14" customWidth="1"/>
    <col min="6415" max="6419" width="9" style="14"/>
    <col min="6420" max="6420" width="14.25" style="14" customWidth="1"/>
    <col min="6421" max="6422" width="11.25" style="14" customWidth="1"/>
    <col min="6423" max="6656" width="9" style="14"/>
    <col min="6657" max="6657" width="8" style="14" customWidth="1"/>
    <col min="6658" max="6659" width="10.625" style="14" customWidth="1"/>
    <col min="6660" max="6661" width="7.625" style="14" customWidth="1"/>
    <col min="6662" max="6662" width="11.625" style="14" customWidth="1"/>
    <col min="6663" max="6663" width="9" style="14"/>
    <col min="6664" max="6664" width="6.625" style="14" customWidth="1"/>
    <col min="6665" max="6670" width="10.125" style="14" customWidth="1"/>
    <col min="6671" max="6675" width="9" style="14"/>
    <col min="6676" max="6676" width="14.25" style="14" customWidth="1"/>
    <col min="6677" max="6678" width="11.25" style="14" customWidth="1"/>
    <col min="6679" max="6912" width="9" style="14"/>
    <col min="6913" max="6913" width="8" style="14" customWidth="1"/>
    <col min="6914" max="6915" width="10.625" style="14" customWidth="1"/>
    <col min="6916" max="6917" width="7.625" style="14" customWidth="1"/>
    <col min="6918" max="6918" width="11.625" style="14" customWidth="1"/>
    <col min="6919" max="6919" width="9" style="14"/>
    <col min="6920" max="6920" width="6.625" style="14" customWidth="1"/>
    <col min="6921" max="6926" width="10.125" style="14" customWidth="1"/>
    <col min="6927" max="6931" width="9" style="14"/>
    <col min="6932" max="6932" width="14.25" style="14" customWidth="1"/>
    <col min="6933" max="6934" width="11.25" style="14" customWidth="1"/>
    <col min="6935" max="7168" width="9" style="14"/>
    <col min="7169" max="7169" width="8" style="14" customWidth="1"/>
    <col min="7170" max="7171" width="10.625" style="14" customWidth="1"/>
    <col min="7172" max="7173" width="7.625" style="14" customWidth="1"/>
    <col min="7174" max="7174" width="11.625" style="14" customWidth="1"/>
    <col min="7175" max="7175" width="9" style="14"/>
    <col min="7176" max="7176" width="6.625" style="14" customWidth="1"/>
    <col min="7177" max="7182" width="10.125" style="14" customWidth="1"/>
    <col min="7183" max="7187" width="9" style="14"/>
    <col min="7188" max="7188" width="14.25" style="14" customWidth="1"/>
    <col min="7189" max="7190" width="11.25" style="14" customWidth="1"/>
    <col min="7191" max="7424" width="9" style="14"/>
    <col min="7425" max="7425" width="8" style="14" customWidth="1"/>
    <col min="7426" max="7427" width="10.625" style="14" customWidth="1"/>
    <col min="7428" max="7429" width="7.625" style="14" customWidth="1"/>
    <col min="7430" max="7430" width="11.625" style="14" customWidth="1"/>
    <col min="7431" max="7431" width="9" style="14"/>
    <col min="7432" max="7432" width="6.625" style="14" customWidth="1"/>
    <col min="7433" max="7438" width="10.125" style="14" customWidth="1"/>
    <col min="7439" max="7443" width="9" style="14"/>
    <col min="7444" max="7444" width="14.25" style="14" customWidth="1"/>
    <col min="7445" max="7446" width="11.25" style="14" customWidth="1"/>
    <col min="7447" max="7680" width="9" style="14"/>
    <col min="7681" max="7681" width="8" style="14" customWidth="1"/>
    <col min="7682" max="7683" width="10.625" style="14" customWidth="1"/>
    <col min="7684" max="7685" width="7.625" style="14" customWidth="1"/>
    <col min="7686" max="7686" width="11.625" style="14" customWidth="1"/>
    <col min="7687" max="7687" width="9" style="14"/>
    <col min="7688" max="7688" width="6.625" style="14" customWidth="1"/>
    <col min="7689" max="7694" width="10.125" style="14" customWidth="1"/>
    <col min="7695" max="7699" width="9" style="14"/>
    <col min="7700" max="7700" width="14.25" style="14" customWidth="1"/>
    <col min="7701" max="7702" width="11.25" style="14" customWidth="1"/>
    <col min="7703" max="7936" width="9" style="14"/>
    <col min="7937" max="7937" width="8" style="14" customWidth="1"/>
    <col min="7938" max="7939" width="10.625" style="14" customWidth="1"/>
    <col min="7940" max="7941" width="7.625" style="14" customWidth="1"/>
    <col min="7942" max="7942" width="11.625" style="14" customWidth="1"/>
    <col min="7943" max="7943" width="9" style="14"/>
    <col min="7944" max="7944" width="6.625" style="14" customWidth="1"/>
    <col min="7945" max="7950" width="10.125" style="14" customWidth="1"/>
    <col min="7951" max="7955" width="9" style="14"/>
    <col min="7956" max="7956" width="14.25" style="14" customWidth="1"/>
    <col min="7957" max="7958" width="11.25" style="14" customWidth="1"/>
    <col min="7959" max="8192" width="9" style="14"/>
    <col min="8193" max="8193" width="8" style="14" customWidth="1"/>
    <col min="8194" max="8195" width="10.625" style="14" customWidth="1"/>
    <col min="8196" max="8197" width="7.625" style="14" customWidth="1"/>
    <col min="8198" max="8198" width="11.625" style="14" customWidth="1"/>
    <col min="8199" max="8199" width="9" style="14"/>
    <col min="8200" max="8200" width="6.625" style="14" customWidth="1"/>
    <col min="8201" max="8206" width="10.125" style="14" customWidth="1"/>
    <col min="8207" max="8211" width="9" style="14"/>
    <col min="8212" max="8212" width="14.25" style="14" customWidth="1"/>
    <col min="8213" max="8214" width="11.25" style="14" customWidth="1"/>
    <col min="8215" max="8448" width="9" style="14"/>
    <col min="8449" max="8449" width="8" style="14" customWidth="1"/>
    <col min="8450" max="8451" width="10.625" style="14" customWidth="1"/>
    <col min="8452" max="8453" width="7.625" style="14" customWidth="1"/>
    <col min="8454" max="8454" width="11.625" style="14" customWidth="1"/>
    <col min="8455" max="8455" width="9" style="14"/>
    <col min="8456" max="8456" width="6.625" style="14" customWidth="1"/>
    <col min="8457" max="8462" width="10.125" style="14" customWidth="1"/>
    <col min="8463" max="8467" width="9" style="14"/>
    <col min="8468" max="8468" width="14.25" style="14" customWidth="1"/>
    <col min="8469" max="8470" width="11.25" style="14" customWidth="1"/>
    <col min="8471" max="8704" width="9" style="14"/>
    <col min="8705" max="8705" width="8" style="14" customWidth="1"/>
    <col min="8706" max="8707" width="10.625" style="14" customWidth="1"/>
    <col min="8708" max="8709" width="7.625" style="14" customWidth="1"/>
    <col min="8710" max="8710" width="11.625" style="14" customWidth="1"/>
    <col min="8711" max="8711" width="9" style="14"/>
    <col min="8712" max="8712" width="6.625" style="14" customWidth="1"/>
    <col min="8713" max="8718" width="10.125" style="14" customWidth="1"/>
    <col min="8719" max="8723" width="9" style="14"/>
    <col min="8724" max="8724" width="14.25" style="14" customWidth="1"/>
    <col min="8725" max="8726" width="11.25" style="14" customWidth="1"/>
    <col min="8727" max="8960" width="9" style="14"/>
    <col min="8961" max="8961" width="8" style="14" customWidth="1"/>
    <col min="8962" max="8963" width="10.625" style="14" customWidth="1"/>
    <col min="8964" max="8965" width="7.625" style="14" customWidth="1"/>
    <col min="8966" max="8966" width="11.625" style="14" customWidth="1"/>
    <col min="8967" max="8967" width="9" style="14"/>
    <col min="8968" max="8968" width="6.625" style="14" customWidth="1"/>
    <col min="8969" max="8974" width="10.125" style="14" customWidth="1"/>
    <col min="8975" max="8979" width="9" style="14"/>
    <col min="8980" max="8980" width="14.25" style="14" customWidth="1"/>
    <col min="8981" max="8982" width="11.25" style="14" customWidth="1"/>
    <col min="8983" max="9216" width="9" style="14"/>
    <col min="9217" max="9217" width="8" style="14" customWidth="1"/>
    <col min="9218" max="9219" width="10.625" style="14" customWidth="1"/>
    <col min="9220" max="9221" width="7.625" style="14" customWidth="1"/>
    <col min="9222" max="9222" width="11.625" style="14" customWidth="1"/>
    <col min="9223" max="9223" width="9" style="14"/>
    <col min="9224" max="9224" width="6.625" style="14" customWidth="1"/>
    <col min="9225" max="9230" width="10.125" style="14" customWidth="1"/>
    <col min="9231" max="9235" width="9" style="14"/>
    <col min="9236" max="9236" width="14.25" style="14" customWidth="1"/>
    <col min="9237" max="9238" width="11.25" style="14" customWidth="1"/>
    <col min="9239" max="9472" width="9" style="14"/>
    <col min="9473" max="9473" width="8" style="14" customWidth="1"/>
    <col min="9474" max="9475" width="10.625" style="14" customWidth="1"/>
    <col min="9476" max="9477" width="7.625" style="14" customWidth="1"/>
    <col min="9478" max="9478" width="11.625" style="14" customWidth="1"/>
    <col min="9479" max="9479" width="9" style="14"/>
    <col min="9480" max="9480" width="6.625" style="14" customWidth="1"/>
    <col min="9481" max="9486" width="10.125" style="14" customWidth="1"/>
    <col min="9487" max="9491" width="9" style="14"/>
    <col min="9492" max="9492" width="14.25" style="14" customWidth="1"/>
    <col min="9493" max="9494" width="11.25" style="14" customWidth="1"/>
    <col min="9495" max="9728" width="9" style="14"/>
    <col min="9729" max="9729" width="8" style="14" customWidth="1"/>
    <col min="9730" max="9731" width="10.625" style="14" customWidth="1"/>
    <col min="9732" max="9733" width="7.625" style="14" customWidth="1"/>
    <col min="9734" max="9734" width="11.625" style="14" customWidth="1"/>
    <col min="9735" max="9735" width="9" style="14"/>
    <col min="9736" max="9736" width="6.625" style="14" customWidth="1"/>
    <col min="9737" max="9742" width="10.125" style="14" customWidth="1"/>
    <col min="9743" max="9747" width="9" style="14"/>
    <col min="9748" max="9748" width="14.25" style="14" customWidth="1"/>
    <col min="9749" max="9750" width="11.25" style="14" customWidth="1"/>
    <col min="9751" max="9984" width="9" style="14"/>
    <col min="9985" max="9985" width="8" style="14" customWidth="1"/>
    <col min="9986" max="9987" width="10.625" style="14" customWidth="1"/>
    <col min="9988" max="9989" width="7.625" style="14" customWidth="1"/>
    <col min="9990" max="9990" width="11.625" style="14" customWidth="1"/>
    <col min="9991" max="9991" width="9" style="14"/>
    <col min="9992" max="9992" width="6.625" style="14" customWidth="1"/>
    <col min="9993" max="9998" width="10.125" style="14" customWidth="1"/>
    <col min="9999" max="10003" width="9" style="14"/>
    <col min="10004" max="10004" width="14.25" style="14" customWidth="1"/>
    <col min="10005" max="10006" width="11.25" style="14" customWidth="1"/>
    <col min="10007" max="10240" width="9" style="14"/>
    <col min="10241" max="10241" width="8" style="14" customWidth="1"/>
    <col min="10242" max="10243" width="10.625" style="14" customWidth="1"/>
    <col min="10244" max="10245" width="7.625" style="14" customWidth="1"/>
    <col min="10246" max="10246" width="11.625" style="14" customWidth="1"/>
    <col min="10247" max="10247" width="9" style="14"/>
    <col min="10248" max="10248" width="6.625" style="14" customWidth="1"/>
    <col min="10249" max="10254" width="10.125" style="14" customWidth="1"/>
    <col min="10255" max="10259" width="9" style="14"/>
    <col min="10260" max="10260" width="14.25" style="14" customWidth="1"/>
    <col min="10261" max="10262" width="11.25" style="14" customWidth="1"/>
    <col min="10263" max="10496" width="9" style="14"/>
    <col min="10497" max="10497" width="8" style="14" customWidth="1"/>
    <col min="10498" max="10499" width="10.625" style="14" customWidth="1"/>
    <col min="10500" max="10501" width="7.625" style="14" customWidth="1"/>
    <col min="10502" max="10502" width="11.625" style="14" customWidth="1"/>
    <col min="10503" max="10503" width="9" style="14"/>
    <col min="10504" max="10504" width="6.625" style="14" customWidth="1"/>
    <col min="10505" max="10510" width="10.125" style="14" customWidth="1"/>
    <col min="10511" max="10515" width="9" style="14"/>
    <col min="10516" max="10516" width="14.25" style="14" customWidth="1"/>
    <col min="10517" max="10518" width="11.25" style="14" customWidth="1"/>
    <col min="10519" max="10752" width="9" style="14"/>
    <col min="10753" max="10753" width="8" style="14" customWidth="1"/>
    <col min="10754" max="10755" width="10.625" style="14" customWidth="1"/>
    <col min="10756" max="10757" width="7.625" style="14" customWidth="1"/>
    <col min="10758" max="10758" width="11.625" style="14" customWidth="1"/>
    <col min="10759" max="10759" width="9" style="14"/>
    <col min="10760" max="10760" width="6.625" style="14" customWidth="1"/>
    <col min="10761" max="10766" width="10.125" style="14" customWidth="1"/>
    <col min="10767" max="10771" width="9" style="14"/>
    <col min="10772" max="10772" width="14.25" style="14" customWidth="1"/>
    <col min="10773" max="10774" width="11.25" style="14" customWidth="1"/>
    <col min="10775" max="11008" width="9" style="14"/>
    <col min="11009" max="11009" width="8" style="14" customWidth="1"/>
    <col min="11010" max="11011" width="10.625" style="14" customWidth="1"/>
    <col min="11012" max="11013" width="7.625" style="14" customWidth="1"/>
    <col min="11014" max="11014" width="11.625" style="14" customWidth="1"/>
    <col min="11015" max="11015" width="9" style="14"/>
    <col min="11016" max="11016" width="6.625" style="14" customWidth="1"/>
    <col min="11017" max="11022" width="10.125" style="14" customWidth="1"/>
    <col min="11023" max="11027" width="9" style="14"/>
    <col min="11028" max="11028" width="14.25" style="14" customWidth="1"/>
    <col min="11029" max="11030" width="11.25" style="14" customWidth="1"/>
    <col min="11031" max="11264" width="9" style="14"/>
    <col min="11265" max="11265" width="8" style="14" customWidth="1"/>
    <col min="11266" max="11267" width="10.625" style="14" customWidth="1"/>
    <col min="11268" max="11269" width="7.625" style="14" customWidth="1"/>
    <col min="11270" max="11270" width="11.625" style="14" customWidth="1"/>
    <col min="11271" max="11271" width="9" style="14"/>
    <col min="11272" max="11272" width="6.625" style="14" customWidth="1"/>
    <col min="11273" max="11278" width="10.125" style="14" customWidth="1"/>
    <col min="11279" max="11283" width="9" style="14"/>
    <col min="11284" max="11284" width="14.25" style="14" customWidth="1"/>
    <col min="11285" max="11286" width="11.25" style="14" customWidth="1"/>
    <col min="11287" max="11520" width="9" style="14"/>
    <col min="11521" max="11521" width="8" style="14" customWidth="1"/>
    <col min="11522" max="11523" width="10.625" style="14" customWidth="1"/>
    <col min="11524" max="11525" width="7.625" style="14" customWidth="1"/>
    <col min="11526" max="11526" width="11.625" style="14" customWidth="1"/>
    <col min="11527" max="11527" width="9" style="14"/>
    <col min="11528" max="11528" width="6.625" style="14" customWidth="1"/>
    <col min="11529" max="11534" width="10.125" style="14" customWidth="1"/>
    <col min="11535" max="11539" width="9" style="14"/>
    <col min="11540" max="11540" width="14.25" style="14" customWidth="1"/>
    <col min="11541" max="11542" width="11.25" style="14" customWidth="1"/>
    <col min="11543" max="11776" width="9" style="14"/>
    <col min="11777" max="11777" width="8" style="14" customWidth="1"/>
    <col min="11778" max="11779" width="10.625" style="14" customWidth="1"/>
    <col min="11780" max="11781" width="7.625" style="14" customWidth="1"/>
    <col min="11782" max="11782" width="11.625" style="14" customWidth="1"/>
    <col min="11783" max="11783" width="9" style="14"/>
    <col min="11784" max="11784" width="6.625" style="14" customWidth="1"/>
    <col min="11785" max="11790" width="10.125" style="14" customWidth="1"/>
    <col min="11791" max="11795" width="9" style="14"/>
    <col min="11796" max="11796" width="14.25" style="14" customWidth="1"/>
    <col min="11797" max="11798" width="11.25" style="14" customWidth="1"/>
    <col min="11799" max="12032" width="9" style="14"/>
    <col min="12033" max="12033" width="8" style="14" customWidth="1"/>
    <col min="12034" max="12035" width="10.625" style="14" customWidth="1"/>
    <col min="12036" max="12037" width="7.625" style="14" customWidth="1"/>
    <col min="12038" max="12038" width="11.625" style="14" customWidth="1"/>
    <col min="12039" max="12039" width="9" style="14"/>
    <col min="12040" max="12040" width="6.625" style="14" customWidth="1"/>
    <col min="12041" max="12046" width="10.125" style="14" customWidth="1"/>
    <col min="12047" max="12051" width="9" style="14"/>
    <col min="12052" max="12052" width="14.25" style="14" customWidth="1"/>
    <col min="12053" max="12054" width="11.25" style="14" customWidth="1"/>
    <col min="12055" max="12288" width="9" style="14"/>
    <col min="12289" max="12289" width="8" style="14" customWidth="1"/>
    <col min="12290" max="12291" width="10.625" style="14" customWidth="1"/>
    <col min="12292" max="12293" width="7.625" style="14" customWidth="1"/>
    <col min="12294" max="12294" width="11.625" style="14" customWidth="1"/>
    <col min="12295" max="12295" width="9" style="14"/>
    <col min="12296" max="12296" width="6.625" style="14" customWidth="1"/>
    <col min="12297" max="12302" width="10.125" style="14" customWidth="1"/>
    <col min="12303" max="12307" width="9" style="14"/>
    <col min="12308" max="12308" width="14.25" style="14" customWidth="1"/>
    <col min="12309" max="12310" width="11.25" style="14" customWidth="1"/>
    <col min="12311" max="12544" width="9" style="14"/>
    <col min="12545" max="12545" width="8" style="14" customWidth="1"/>
    <col min="12546" max="12547" width="10.625" style="14" customWidth="1"/>
    <col min="12548" max="12549" width="7.625" style="14" customWidth="1"/>
    <col min="12550" max="12550" width="11.625" style="14" customWidth="1"/>
    <col min="12551" max="12551" width="9" style="14"/>
    <col min="12552" max="12552" width="6.625" style="14" customWidth="1"/>
    <col min="12553" max="12558" width="10.125" style="14" customWidth="1"/>
    <col min="12559" max="12563" width="9" style="14"/>
    <col min="12564" max="12564" width="14.25" style="14" customWidth="1"/>
    <col min="12565" max="12566" width="11.25" style="14" customWidth="1"/>
    <col min="12567" max="12800" width="9" style="14"/>
    <col min="12801" max="12801" width="8" style="14" customWidth="1"/>
    <col min="12802" max="12803" width="10.625" style="14" customWidth="1"/>
    <col min="12804" max="12805" width="7.625" style="14" customWidth="1"/>
    <col min="12806" max="12806" width="11.625" style="14" customWidth="1"/>
    <col min="12807" max="12807" width="9" style="14"/>
    <col min="12808" max="12808" width="6.625" style="14" customWidth="1"/>
    <col min="12809" max="12814" width="10.125" style="14" customWidth="1"/>
    <col min="12815" max="12819" width="9" style="14"/>
    <col min="12820" max="12820" width="14.25" style="14" customWidth="1"/>
    <col min="12821" max="12822" width="11.25" style="14" customWidth="1"/>
    <col min="12823" max="13056" width="9" style="14"/>
    <col min="13057" max="13057" width="8" style="14" customWidth="1"/>
    <col min="13058" max="13059" width="10.625" style="14" customWidth="1"/>
    <col min="13060" max="13061" width="7.625" style="14" customWidth="1"/>
    <col min="13062" max="13062" width="11.625" style="14" customWidth="1"/>
    <col min="13063" max="13063" width="9" style="14"/>
    <col min="13064" max="13064" width="6.625" style="14" customWidth="1"/>
    <col min="13065" max="13070" width="10.125" style="14" customWidth="1"/>
    <col min="13071" max="13075" width="9" style="14"/>
    <col min="13076" max="13076" width="14.25" style="14" customWidth="1"/>
    <col min="13077" max="13078" width="11.25" style="14" customWidth="1"/>
    <col min="13079" max="13312" width="9" style="14"/>
    <col min="13313" max="13313" width="8" style="14" customWidth="1"/>
    <col min="13314" max="13315" width="10.625" style="14" customWidth="1"/>
    <col min="13316" max="13317" width="7.625" style="14" customWidth="1"/>
    <col min="13318" max="13318" width="11.625" style="14" customWidth="1"/>
    <col min="13319" max="13319" width="9" style="14"/>
    <col min="13320" max="13320" width="6.625" style="14" customWidth="1"/>
    <col min="13321" max="13326" width="10.125" style="14" customWidth="1"/>
    <col min="13327" max="13331" width="9" style="14"/>
    <col min="13332" max="13332" width="14.25" style="14" customWidth="1"/>
    <col min="13333" max="13334" width="11.25" style="14" customWidth="1"/>
    <col min="13335" max="13568" width="9" style="14"/>
    <col min="13569" max="13569" width="8" style="14" customWidth="1"/>
    <col min="13570" max="13571" width="10.625" style="14" customWidth="1"/>
    <col min="13572" max="13573" width="7.625" style="14" customWidth="1"/>
    <col min="13574" max="13574" width="11.625" style="14" customWidth="1"/>
    <col min="13575" max="13575" width="9" style="14"/>
    <col min="13576" max="13576" width="6.625" style="14" customWidth="1"/>
    <col min="13577" max="13582" width="10.125" style="14" customWidth="1"/>
    <col min="13583" max="13587" width="9" style="14"/>
    <col min="13588" max="13588" width="14.25" style="14" customWidth="1"/>
    <col min="13589" max="13590" width="11.25" style="14" customWidth="1"/>
    <col min="13591" max="13824" width="9" style="14"/>
    <col min="13825" max="13825" width="8" style="14" customWidth="1"/>
    <col min="13826" max="13827" width="10.625" style="14" customWidth="1"/>
    <col min="13828" max="13829" width="7.625" style="14" customWidth="1"/>
    <col min="13830" max="13830" width="11.625" style="14" customWidth="1"/>
    <col min="13831" max="13831" width="9" style="14"/>
    <col min="13832" max="13832" width="6.625" style="14" customWidth="1"/>
    <col min="13833" max="13838" width="10.125" style="14" customWidth="1"/>
    <col min="13839" max="13843" width="9" style="14"/>
    <col min="13844" max="13844" width="14.25" style="14" customWidth="1"/>
    <col min="13845" max="13846" width="11.25" style="14" customWidth="1"/>
    <col min="13847" max="14080" width="9" style="14"/>
    <col min="14081" max="14081" width="8" style="14" customWidth="1"/>
    <col min="14082" max="14083" width="10.625" style="14" customWidth="1"/>
    <col min="14084" max="14085" width="7.625" style="14" customWidth="1"/>
    <col min="14086" max="14086" width="11.625" style="14" customWidth="1"/>
    <col min="14087" max="14087" width="9" style="14"/>
    <col min="14088" max="14088" width="6.625" style="14" customWidth="1"/>
    <col min="14089" max="14094" width="10.125" style="14" customWidth="1"/>
    <col min="14095" max="14099" width="9" style="14"/>
    <col min="14100" max="14100" width="14.25" style="14" customWidth="1"/>
    <col min="14101" max="14102" width="11.25" style="14" customWidth="1"/>
    <col min="14103" max="14336" width="9" style="14"/>
    <col min="14337" max="14337" width="8" style="14" customWidth="1"/>
    <col min="14338" max="14339" width="10.625" style="14" customWidth="1"/>
    <col min="14340" max="14341" width="7.625" style="14" customWidth="1"/>
    <col min="14342" max="14342" width="11.625" style="14" customWidth="1"/>
    <col min="14343" max="14343" width="9" style="14"/>
    <col min="14344" max="14344" width="6.625" style="14" customWidth="1"/>
    <col min="14345" max="14350" width="10.125" style="14" customWidth="1"/>
    <col min="14351" max="14355" width="9" style="14"/>
    <col min="14356" max="14356" width="14.25" style="14" customWidth="1"/>
    <col min="14357" max="14358" width="11.25" style="14" customWidth="1"/>
    <col min="14359" max="14592" width="9" style="14"/>
    <col min="14593" max="14593" width="8" style="14" customWidth="1"/>
    <col min="14594" max="14595" width="10.625" style="14" customWidth="1"/>
    <col min="14596" max="14597" width="7.625" style="14" customWidth="1"/>
    <col min="14598" max="14598" width="11.625" style="14" customWidth="1"/>
    <col min="14599" max="14599" width="9" style="14"/>
    <col min="14600" max="14600" width="6.625" style="14" customWidth="1"/>
    <col min="14601" max="14606" width="10.125" style="14" customWidth="1"/>
    <col min="14607" max="14611" width="9" style="14"/>
    <col min="14612" max="14612" width="14.25" style="14" customWidth="1"/>
    <col min="14613" max="14614" width="11.25" style="14" customWidth="1"/>
    <col min="14615" max="14848" width="9" style="14"/>
    <col min="14849" max="14849" width="8" style="14" customWidth="1"/>
    <col min="14850" max="14851" width="10.625" style="14" customWidth="1"/>
    <col min="14852" max="14853" width="7.625" style="14" customWidth="1"/>
    <col min="14854" max="14854" width="11.625" style="14" customWidth="1"/>
    <col min="14855" max="14855" width="9" style="14"/>
    <col min="14856" max="14856" width="6.625" style="14" customWidth="1"/>
    <col min="14857" max="14862" width="10.125" style="14" customWidth="1"/>
    <col min="14863" max="14867" width="9" style="14"/>
    <col min="14868" max="14868" width="14.25" style="14" customWidth="1"/>
    <col min="14869" max="14870" width="11.25" style="14" customWidth="1"/>
    <col min="14871" max="15104" width="9" style="14"/>
    <col min="15105" max="15105" width="8" style="14" customWidth="1"/>
    <col min="15106" max="15107" width="10.625" style="14" customWidth="1"/>
    <col min="15108" max="15109" width="7.625" style="14" customWidth="1"/>
    <col min="15110" max="15110" width="11.625" style="14" customWidth="1"/>
    <col min="15111" max="15111" width="9" style="14"/>
    <col min="15112" max="15112" width="6.625" style="14" customWidth="1"/>
    <col min="15113" max="15118" width="10.125" style="14" customWidth="1"/>
    <col min="15119" max="15123" width="9" style="14"/>
    <col min="15124" max="15124" width="14.25" style="14" customWidth="1"/>
    <col min="15125" max="15126" width="11.25" style="14" customWidth="1"/>
    <col min="15127" max="15360" width="9" style="14"/>
    <col min="15361" max="15361" width="8" style="14" customWidth="1"/>
    <col min="15362" max="15363" width="10.625" style="14" customWidth="1"/>
    <col min="15364" max="15365" width="7.625" style="14" customWidth="1"/>
    <col min="15366" max="15366" width="11.625" style="14" customWidth="1"/>
    <col min="15367" max="15367" width="9" style="14"/>
    <col min="15368" max="15368" width="6.625" style="14" customWidth="1"/>
    <col min="15369" max="15374" width="10.125" style="14" customWidth="1"/>
    <col min="15375" max="15379" width="9" style="14"/>
    <col min="15380" max="15380" width="14.25" style="14" customWidth="1"/>
    <col min="15381" max="15382" width="11.25" style="14" customWidth="1"/>
    <col min="15383" max="15616" width="9" style="14"/>
    <col min="15617" max="15617" width="8" style="14" customWidth="1"/>
    <col min="15618" max="15619" width="10.625" style="14" customWidth="1"/>
    <col min="15620" max="15621" width="7.625" style="14" customWidth="1"/>
    <col min="15622" max="15622" width="11.625" style="14" customWidth="1"/>
    <col min="15623" max="15623" width="9" style="14"/>
    <col min="15624" max="15624" width="6.625" style="14" customWidth="1"/>
    <col min="15625" max="15630" width="10.125" style="14" customWidth="1"/>
    <col min="15631" max="15635" width="9" style="14"/>
    <col min="15636" max="15636" width="14.25" style="14" customWidth="1"/>
    <col min="15637" max="15638" width="11.25" style="14" customWidth="1"/>
    <col min="15639" max="15872" width="9" style="14"/>
    <col min="15873" max="15873" width="8" style="14" customWidth="1"/>
    <col min="15874" max="15875" width="10.625" style="14" customWidth="1"/>
    <col min="15876" max="15877" width="7.625" style="14" customWidth="1"/>
    <col min="15878" max="15878" width="11.625" style="14" customWidth="1"/>
    <col min="15879" max="15879" width="9" style="14"/>
    <col min="15880" max="15880" width="6.625" style="14" customWidth="1"/>
    <col min="15881" max="15886" width="10.125" style="14" customWidth="1"/>
    <col min="15887" max="15891" width="9" style="14"/>
    <col min="15892" max="15892" width="14.25" style="14" customWidth="1"/>
    <col min="15893" max="15894" width="11.25" style="14" customWidth="1"/>
    <col min="15895" max="16128" width="9" style="14"/>
    <col min="16129" max="16129" width="8" style="14" customWidth="1"/>
    <col min="16130" max="16131" width="10.625" style="14" customWidth="1"/>
    <col min="16132" max="16133" width="7.625" style="14" customWidth="1"/>
    <col min="16134" max="16134" width="11.625" style="14" customWidth="1"/>
    <col min="16135" max="16135" width="9" style="14"/>
    <col min="16136" max="16136" width="6.625" style="14" customWidth="1"/>
    <col min="16137" max="16142" width="10.125" style="14" customWidth="1"/>
    <col min="16143" max="16147" width="9" style="14"/>
    <col min="16148" max="16148" width="14.25" style="14" customWidth="1"/>
    <col min="16149" max="16150" width="11.25" style="14" customWidth="1"/>
    <col min="16151" max="16384" width="9" style="14"/>
  </cols>
  <sheetData>
    <row r="1" spans="1:66" ht="31.5" thickBot="1" x14ac:dyDescent="0.5">
      <c r="A1" s="10" t="s">
        <v>19</v>
      </c>
      <c r="I1" s="13"/>
      <c r="J1" s="13"/>
      <c r="K1" s="13"/>
      <c r="L1" s="13"/>
      <c r="M1" s="13"/>
      <c r="N1" s="13"/>
      <c r="O1" s="13"/>
      <c r="Q1" s="13"/>
      <c r="AH1" s="16"/>
      <c r="AI1" s="16"/>
      <c r="AJ1" s="16"/>
      <c r="AK1" s="16"/>
      <c r="AL1" s="58" t="s">
        <v>51</v>
      </c>
      <c r="AM1" s="58" t="s">
        <v>52</v>
      </c>
      <c r="AN1" s="16"/>
      <c r="BC1" s="13"/>
      <c r="BD1" s="13"/>
      <c r="BE1" s="13"/>
      <c r="BF1" s="13"/>
      <c r="BG1" s="13"/>
      <c r="BH1" s="13"/>
      <c r="BI1" s="13"/>
      <c r="BJ1" s="13"/>
      <c r="BK1" s="13"/>
      <c r="BL1" s="13"/>
      <c r="BM1" s="13"/>
      <c r="BN1" s="13"/>
    </row>
    <row r="2" spans="1:66" s="20" customFormat="1" ht="39.75" customHeight="1" thickBot="1" x14ac:dyDescent="0.35">
      <c r="A2" s="17" t="s">
        <v>20</v>
      </c>
      <c r="B2" s="56" t="s">
        <v>51</v>
      </c>
      <c r="C2" s="57" t="s">
        <v>52</v>
      </c>
      <c r="D2" s="13"/>
      <c r="E2" s="19"/>
      <c r="F2" s="59" t="s">
        <v>21</v>
      </c>
      <c r="G2" s="60"/>
      <c r="I2" s="21"/>
      <c r="J2" s="21"/>
      <c r="K2" s="21"/>
      <c r="L2" s="21"/>
      <c r="M2" s="21"/>
      <c r="N2" s="21"/>
      <c r="O2" s="21"/>
      <c r="Q2" s="21"/>
      <c r="R2" s="13"/>
      <c r="S2" s="13"/>
      <c r="T2" s="13"/>
      <c r="U2" s="13"/>
      <c r="V2" s="13"/>
      <c r="W2" s="21"/>
      <c r="X2" s="21"/>
      <c r="Y2" s="13"/>
      <c r="Z2" s="13"/>
      <c r="AA2" s="13"/>
      <c r="AB2" s="13"/>
      <c r="AC2" s="13"/>
      <c r="AD2" s="13"/>
      <c r="AE2" s="13"/>
      <c r="AF2" s="13"/>
      <c r="AG2" s="13"/>
      <c r="AH2" s="16">
        <v>250</v>
      </c>
      <c r="AI2" s="16"/>
      <c r="AJ2" s="16"/>
      <c r="AK2" s="16">
        <v>250</v>
      </c>
      <c r="AL2" s="16">
        <v>0</v>
      </c>
      <c r="AM2" s="16">
        <v>0</v>
      </c>
      <c r="AN2" s="16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21"/>
      <c r="BD2" s="21"/>
      <c r="BE2" s="21"/>
      <c r="BF2" s="21"/>
      <c r="BG2" s="21"/>
      <c r="BH2" s="21"/>
      <c r="BI2" s="21"/>
      <c r="BJ2" s="21"/>
      <c r="BK2" s="21"/>
      <c r="BL2" s="21"/>
      <c r="BM2" s="21"/>
      <c r="BN2" s="21"/>
    </row>
    <row r="3" spans="1:66" ht="16.5" thickBot="1" x14ac:dyDescent="0.3">
      <c r="A3" s="22">
        <v>1</v>
      </c>
      <c r="B3" s="23">
        <v>1119.8738014137518</v>
      </c>
      <c r="C3" s="24">
        <v>451.65534125012027</v>
      </c>
      <c r="E3" s="25"/>
      <c r="F3" s="26">
        <v>10000</v>
      </c>
      <c r="G3" s="27" t="s">
        <v>22</v>
      </c>
      <c r="AH3" s="16">
        <v>275</v>
      </c>
      <c r="AI3" s="16"/>
      <c r="AJ3" s="16"/>
      <c r="AK3" s="16">
        <v>250</v>
      </c>
      <c r="AL3" s="16">
        <v>0</v>
      </c>
      <c r="AM3" s="16">
        <v>4</v>
      </c>
      <c r="AN3" s="16"/>
      <c r="BC3" s="13"/>
      <c r="BD3" s="13"/>
      <c r="BE3" s="13"/>
      <c r="BF3" s="13"/>
      <c r="BG3" s="13"/>
      <c r="BH3" s="13"/>
      <c r="BI3" s="13"/>
      <c r="BJ3" s="13"/>
      <c r="BK3" s="13"/>
      <c r="BL3" s="13"/>
      <c r="BM3" s="13"/>
      <c r="BN3" s="13"/>
    </row>
    <row r="4" spans="1:66" ht="16.5" thickBot="1" x14ac:dyDescent="0.3">
      <c r="A4" s="22">
        <v>2</v>
      </c>
      <c r="B4" s="23">
        <v>1143.4560175079148</v>
      </c>
      <c r="C4" s="24">
        <v>567.80596638778741</v>
      </c>
      <c r="E4" s="25"/>
      <c r="F4" s="28">
        <v>68.999999784864485</v>
      </c>
      <c r="G4" s="29" t="s">
        <v>23</v>
      </c>
      <c r="I4" s="61" t="s">
        <v>36</v>
      </c>
      <c r="J4" s="62"/>
      <c r="K4" s="63" t="s">
        <v>37</v>
      </c>
      <c r="L4" s="64"/>
      <c r="M4" s="65" t="s">
        <v>24</v>
      </c>
      <c r="N4" s="66"/>
      <c r="P4" s="30"/>
      <c r="AH4" s="16">
        <v>300</v>
      </c>
      <c r="AI4" s="16"/>
      <c r="AJ4" s="16"/>
      <c r="AK4" s="16">
        <v>275</v>
      </c>
      <c r="AL4" s="16">
        <v>0</v>
      </c>
      <c r="AM4" s="16">
        <v>4</v>
      </c>
      <c r="AN4" s="16"/>
      <c r="BC4" s="13"/>
      <c r="BD4" s="13"/>
      <c r="BE4" s="13"/>
      <c r="BF4" s="13"/>
      <c r="BG4" s="13"/>
      <c r="BH4" s="13"/>
      <c r="BI4" s="13"/>
      <c r="BJ4" s="13"/>
      <c r="BK4" s="13"/>
      <c r="BL4" s="13"/>
      <c r="BM4" s="13"/>
      <c r="BN4" s="13"/>
    </row>
    <row r="5" spans="1:66" x14ac:dyDescent="0.25">
      <c r="A5" s="22">
        <v>3</v>
      </c>
      <c r="B5" s="23">
        <v>925.70642588688474</v>
      </c>
      <c r="C5" s="24">
        <v>449.10783106642026</v>
      </c>
      <c r="E5" s="31"/>
      <c r="F5" s="32"/>
      <c r="G5" s="31"/>
      <c r="I5" s="33" t="s">
        <v>25</v>
      </c>
      <c r="J5" s="34">
        <v>1159.7839645184097</v>
      </c>
      <c r="K5" s="35" t="s">
        <v>25</v>
      </c>
      <c r="L5" s="36">
        <v>490.56865052323553</v>
      </c>
      <c r="M5" s="37"/>
      <c r="N5" s="38"/>
      <c r="P5" s="30"/>
      <c r="AH5" s="16">
        <v>325</v>
      </c>
      <c r="AI5" s="16"/>
      <c r="AJ5" s="16"/>
      <c r="AK5" s="16">
        <v>275</v>
      </c>
      <c r="AL5" s="16">
        <v>0</v>
      </c>
      <c r="AM5" s="16">
        <v>17</v>
      </c>
      <c r="AN5" s="16"/>
      <c r="BC5" s="13"/>
      <c r="BD5" s="13"/>
      <c r="BE5" s="13"/>
      <c r="BF5" s="13"/>
      <c r="BG5" s="13"/>
      <c r="BH5" s="13"/>
      <c r="BI5" s="13"/>
      <c r="BJ5" s="13"/>
      <c r="BK5" s="13"/>
      <c r="BL5" s="13"/>
      <c r="BM5" s="13"/>
      <c r="BN5" s="13"/>
    </row>
    <row r="6" spans="1:66" x14ac:dyDescent="0.25">
      <c r="A6" s="22">
        <v>4</v>
      </c>
      <c r="B6" s="23">
        <v>1199.0512104684442</v>
      </c>
      <c r="C6" s="24">
        <v>496.29585355555747</v>
      </c>
      <c r="I6" s="33" t="s">
        <v>26</v>
      </c>
      <c r="J6" s="39">
        <v>178.32786253832316</v>
      </c>
      <c r="K6" s="35" t="s">
        <v>26</v>
      </c>
      <c r="L6" s="40">
        <v>84.685204515423038</v>
      </c>
      <c r="M6" s="41"/>
      <c r="N6" s="42"/>
      <c r="AH6" s="16">
        <v>350</v>
      </c>
      <c r="AI6" s="16"/>
      <c r="AJ6" s="16"/>
      <c r="AK6" s="16">
        <v>300</v>
      </c>
      <c r="AL6" s="16">
        <v>0</v>
      </c>
      <c r="AM6" s="16">
        <v>17</v>
      </c>
      <c r="AN6" s="16"/>
      <c r="BC6" s="13"/>
      <c r="BD6" s="13"/>
      <c r="BE6" s="13"/>
      <c r="BF6" s="13"/>
      <c r="BG6" s="13"/>
      <c r="BH6" s="13"/>
      <c r="BI6" s="13"/>
      <c r="BJ6" s="13"/>
      <c r="BK6" s="13"/>
      <c r="BL6" s="13"/>
      <c r="BM6" s="13"/>
      <c r="BN6" s="13"/>
    </row>
    <row r="7" spans="1:66" x14ac:dyDescent="0.25">
      <c r="A7" s="22">
        <v>5</v>
      </c>
      <c r="B7" s="23">
        <v>1037.0940192586454</v>
      </c>
      <c r="C7" s="24">
        <v>371.7193031275915</v>
      </c>
      <c r="F7" s="43"/>
      <c r="I7" s="33" t="s">
        <v>27</v>
      </c>
      <c r="J7" s="34">
        <v>2116.6228308009408</v>
      </c>
      <c r="K7" s="35" t="s">
        <v>27</v>
      </c>
      <c r="L7" s="36">
        <v>883.53604958865276</v>
      </c>
      <c r="M7" s="25"/>
      <c r="N7" s="44"/>
      <c r="AH7" s="16">
        <v>375</v>
      </c>
      <c r="AI7" s="16"/>
      <c r="AJ7" s="16"/>
      <c r="AK7" s="16">
        <v>300</v>
      </c>
      <c r="AL7" s="16">
        <v>0</v>
      </c>
      <c r="AM7" s="16">
        <v>82</v>
      </c>
      <c r="AN7" s="16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</row>
    <row r="8" spans="1:66" ht="16.5" thickBot="1" x14ac:dyDescent="0.3">
      <c r="A8" s="22">
        <v>6</v>
      </c>
      <c r="B8" s="23">
        <v>1408.8237109141089</v>
      </c>
      <c r="C8" s="24">
        <v>597.53160378107862</v>
      </c>
      <c r="F8" s="43"/>
      <c r="I8" s="45" t="s">
        <v>28</v>
      </c>
      <c r="J8" s="46">
        <v>602.21418087044628</v>
      </c>
      <c r="K8" s="47" t="s">
        <v>28</v>
      </c>
      <c r="L8" s="48">
        <v>256.67808612325621</v>
      </c>
      <c r="M8" s="49"/>
      <c r="N8" s="50"/>
      <c r="AH8" s="16">
        <v>400</v>
      </c>
      <c r="AI8" s="16"/>
      <c r="AJ8" s="16"/>
      <c r="AK8" s="16">
        <v>325</v>
      </c>
      <c r="AL8" s="16">
        <v>0</v>
      </c>
      <c r="AM8" s="16">
        <v>82</v>
      </c>
      <c r="AN8" s="16"/>
      <c r="BC8" s="13"/>
      <c r="BD8" s="13"/>
      <c r="BE8" s="13"/>
      <c r="BF8" s="13"/>
      <c r="BG8" s="13"/>
      <c r="BH8" s="13"/>
      <c r="BI8" s="13"/>
      <c r="BJ8" s="13"/>
      <c r="BK8" s="13"/>
      <c r="BL8" s="13"/>
      <c r="BM8" s="13"/>
      <c r="BN8" s="13"/>
    </row>
    <row r="9" spans="1:66" x14ac:dyDescent="0.25">
      <c r="A9" s="22">
        <v>7</v>
      </c>
      <c r="B9" s="23">
        <v>1090.7724234855625</v>
      </c>
      <c r="C9" s="24">
        <v>625.16894410184898</v>
      </c>
      <c r="F9" s="43"/>
      <c r="I9" s="31"/>
      <c r="J9" s="51"/>
      <c r="K9" s="31"/>
      <c r="L9" s="31"/>
      <c r="M9" s="31"/>
      <c r="N9" s="31"/>
      <c r="AH9" s="16">
        <v>425</v>
      </c>
      <c r="AI9" s="16"/>
      <c r="AJ9" s="16"/>
      <c r="AK9" s="16">
        <v>325</v>
      </c>
      <c r="AL9" s="16">
        <v>0</v>
      </c>
      <c r="AM9" s="16">
        <v>170</v>
      </c>
      <c r="AN9" s="16"/>
      <c r="BC9" s="13"/>
      <c r="BD9" s="13"/>
      <c r="BE9" s="13"/>
      <c r="BF9" s="13"/>
      <c r="BG9" s="13"/>
      <c r="BH9" s="13"/>
      <c r="BI9" s="13"/>
      <c r="BJ9" s="13"/>
      <c r="BK9" s="13"/>
      <c r="BL9" s="13"/>
      <c r="BM9" s="13"/>
      <c r="BN9" s="13"/>
    </row>
    <row r="10" spans="1:66" x14ac:dyDescent="0.25">
      <c r="A10" s="22">
        <v>8</v>
      </c>
      <c r="B10" s="23">
        <v>975.86878061941434</v>
      </c>
      <c r="C10" s="24">
        <v>384.65700448678177</v>
      </c>
      <c r="F10" s="43"/>
      <c r="I10" s="25"/>
      <c r="J10" s="51"/>
      <c r="K10" s="31"/>
      <c r="L10" s="31"/>
      <c r="M10" s="31"/>
      <c r="N10" s="31"/>
      <c r="P10" s="30"/>
      <c r="AH10" s="16">
        <v>450</v>
      </c>
      <c r="AI10" s="16"/>
      <c r="AJ10" s="16"/>
      <c r="AK10" s="16">
        <v>350</v>
      </c>
      <c r="AL10" s="16">
        <v>0</v>
      </c>
      <c r="AM10" s="16">
        <v>170</v>
      </c>
      <c r="AN10" s="16"/>
      <c r="BC10" s="13"/>
      <c r="BD10" s="13"/>
      <c r="BE10" s="13"/>
      <c r="BF10" s="13"/>
      <c r="BG10" s="13"/>
      <c r="BH10" s="13"/>
      <c r="BI10" s="13"/>
      <c r="BJ10" s="13"/>
      <c r="BK10" s="13"/>
      <c r="BL10" s="13"/>
      <c r="BM10" s="13"/>
      <c r="BN10" s="13"/>
    </row>
    <row r="11" spans="1:66" x14ac:dyDescent="0.25">
      <c r="A11" s="22">
        <v>9</v>
      </c>
      <c r="B11" s="23">
        <v>1163.1538849051972</v>
      </c>
      <c r="C11" s="24">
        <v>392.43325597372882</v>
      </c>
      <c r="I11" s="31"/>
      <c r="J11" s="51"/>
      <c r="K11" s="31"/>
      <c r="L11" s="31"/>
      <c r="M11" s="31"/>
      <c r="N11" s="31"/>
      <c r="P11" s="30"/>
      <c r="AH11" s="16">
        <v>475</v>
      </c>
      <c r="AI11" s="16"/>
      <c r="AJ11" s="16"/>
      <c r="AK11" s="16">
        <v>350</v>
      </c>
      <c r="AL11" s="16">
        <v>0</v>
      </c>
      <c r="AM11" s="16">
        <v>391</v>
      </c>
      <c r="AN11" s="16"/>
      <c r="BC11" s="13"/>
      <c r="BD11" s="13"/>
      <c r="BE11" s="13"/>
      <c r="BF11" s="13"/>
      <c r="BG11" s="13"/>
      <c r="BH11" s="13"/>
      <c r="BI11" s="13"/>
      <c r="BJ11" s="13"/>
      <c r="BK11" s="13"/>
      <c r="BL11" s="13"/>
      <c r="BM11" s="13"/>
      <c r="BN11" s="13"/>
    </row>
    <row r="12" spans="1:66" x14ac:dyDescent="0.25">
      <c r="A12" s="22">
        <v>10</v>
      </c>
      <c r="B12" s="23">
        <v>1517.5856059880387</v>
      </c>
      <c r="C12" s="24">
        <v>442.86341156023957</v>
      </c>
      <c r="I12" s="31"/>
      <c r="J12" s="31"/>
      <c r="K12" s="31"/>
      <c r="L12" s="31"/>
      <c r="M12" s="31"/>
      <c r="N12" s="31"/>
      <c r="P12" s="30"/>
      <c r="AH12" s="16">
        <v>500</v>
      </c>
      <c r="AI12" s="16"/>
      <c r="AJ12" s="16"/>
      <c r="AK12" s="16">
        <v>375</v>
      </c>
      <c r="AL12" s="16">
        <v>0</v>
      </c>
      <c r="AM12" s="16">
        <v>391</v>
      </c>
      <c r="AN12" s="16"/>
      <c r="BC12" s="13"/>
      <c r="BD12" s="13"/>
      <c r="BE12" s="13"/>
      <c r="BF12" s="13"/>
      <c r="BG12" s="13"/>
      <c r="BH12" s="13"/>
      <c r="BI12" s="13"/>
      <c r="BJ12" s="13"/>
      <c r="BK12" s="13"/>
      <c r="BL12" s="13"/>
      <c r="BM12" s="13"/>
      <c r="BN12" s="13"/>
    </row>
    <row r="13" spans="1:66" x14ac:dyDescent="0.25">
      <c r="A13" s="22">
        <v>11</v>
      </c>
      <c r="B13" s="23">
        <v>1025.9468794903623</v>
      </c>
      <c r="C13" s="24">
        <v>444.31113046283508</v>
      </c>
      <c r="I13" s="31"/>
      <c r="J13" s="31"/>
      <c r="K13" s="31"/>
      <c r="L13" s="31"/>
      <c r="M13" s="31"/>
      <c r="N13" s="31"/>
      <c r="AH13" s="16">
        <v>525</v>
      </c>
      <c r="AI13" s="16"/>
      <c r="AJ13" s="16"/>
      <c r="AK13" s="16">
        <v>375</v>
      </c>
      <c r="AL13" s="16">
        <v>0</v>
      </c>
      <c r="AM13" s="16">
        <v>683</v>
      </c>
      <c r="AN13" s="16"/>
      <c r="BC13" s="13"/>
      <c r="BD13" s="13"/>
      <c r="BE13" s="13"/>
      <c r="BF13" s="13"/>
      <c r="BG13" s="13"/>
      <c r="BH13" s="13"/>
      <c r="BI13" s="13"/>
      <c r="BJ13" s="13"/>
      <c r="BK13" s="13"/>
      <c r="BL13" s="13"/>
      <c r="BM13" s="13"/>
      <c r="BN13" s="13"/>
    </row>
    <row r="14" spans="1:66" x14ac:dyDescent="0.25">
      <c r="A14" s="22">
        <v>12</v>
      </c>
      <c r="B14" s="23">
        <v>1135.5821666984398</v>
      </c>
      <c r="C14" s="24">
        <v>411.65939897027425</v>
      </c>
      <c r="E14" s="52"/>
      <c r="I14" s="31"/>
      <c r="J14" s="31"/>
      <c r="K14" s="31"/>
      <c r="L14" s="31"/>
      <c r="M14" s="31"/>
      <c r="N14" s="31"/>
      <c r="AH14" s="16">
        <v>550</v>
      </c>
      <c r="AI14" s="16"/>
      <c r="AJ14" s="16"/>
      <c r="AK14" s="16">
        <v>400</v>
      </c>
      <c r="AL14" s="16">
        <v>0</v>
      </c>
      <c r="AM14" s="16">
        <v>683</v>
      </c>
      <c r="AN14" s="16"/>
      <c r="BC14" s="13"/>
      <c r="BD14" s="13"/>
      <c r="BE14" s="13"/>
      <c r="BF14" s="13"/>
      <c r="BG14" s="13"/>
      <c r="BH14" s="13"/>
      <c r="BI14" s="13"/>
      <c r="BJ14" s="13"/>
      <c r="BK14" s="13"/>
      <c r="BL14" s="13"/>
      <c r="BM14" s="13"/>
      <c r="BN14" s="13"/>
    </row>
    <row r="15" spans="1:66" x14ac:dyDescent="0.25">
      <c r="A15" s="22">
        <v>13</v>
      </c>
      <c r="B15" s="23">
        <v>1246.8316859536371</v>
      </c>
      <c r="C15" s="24">
        <v>464.32687126188506</v>
      </c>
      <c r="E15" s="52"/>
      <c r="I15" s="31"/>
      <c r="J15" s="31"/>
      <c r="K15" s="31"/>
      <c r="L15" s="31"/>
      <c r="M15" s="31"/>
      <c r="N15" s="31"/>
      <c r="AH15" s="16">
        <v>575</v>
      </c>
      <c r="AI15" s="16"/>
      <c r="AJ15" s="16"/>
      <c r="AK15" s="16">
        <v>400</v>
      </c>
      <c r="AL15" s="16">
        <v>0</v>
      </c>
      <c r="AM15" s="16">
        <v>944</v>
      </c>
      <c r="AN15" s="16"/>
      <c r="BC15" s="13"/>
      <c r="BD15" s="13"/>
      <c r="BE15" s="13"/>
      <c r="BF15" s="13"/>
      <c r="BG15" s="13"/>
      <c r="BH15" s="13"/>
      <c r="BI15" s="13"/>
      <c r="BJ15" s="13"/>
      <c r="BK15" s="13"/>
      <c r="BL15" s="13"/>
      <c r="BM15" s="13"/>
      <c r="BN15" s="13"/>
    </row>
    <row r="16" spans="1:66" x14ac:dyDescent="0.25">
      <c r="A16" s="22">
        <v>14</v>
      </c>
      <c r="B16" s="23">
        <v>1540.2850562998287</v>
      </c>
      <c r="C16" s="24">
        <v>416.6034496212547</v>
      </c>
      <c r="E16" s="52"/>
      <c r="I16" s="31"/>
      <c r="J16" s="31"/>
      <c r="K16" s="31"/>
      <c r="L16" s="31"/>
      <c r="M16" s="31"/>
      <c r="N16" s="31"/>
      <c r="AH16" s="16">
        <v>600</v>
      </c>
      <c r="AI16" s="16"/>
      <c r="AJ16" s="16"/>
      <c r="AK16" s="16">
        <v>425</v>
      </c>
      <c r="AL16" s="16">
        <v>0</v>
      </c>
      <c r="AM16" s="16">
        <v>944</v>
      </c>
      <c r="AN16" s="16"/>
      <c r="BC16" s="13"/>
      <c r="BD16" s="13"/>
      <c r="BE16" s="13"/>
      <c r="BF16" s="13"/>
      <c r="BG16" s="13"/>
      <c r="BH16" s="13"/>
      <c r="BI16" s="13"/>
      <c r="BJ16" s="13"/>
      <c r="BK16" s="13"/>
      <c r="BL16" s="13"/>
      <c r="BM16" s="13"/>
      <c r="BN16" s="13"/>
    </row>
    <row r="17" spans="1:66" x14ac:dyDescent="0.25">
      <c r="A17" s="22">
        <v>15</v>
      </c>
      <c r="B17" s="23">
        <v>1346.0470782206153</v>
      </c>
      <c r="C17" s="24">
        <v>534.80827331776993</v>
      </c>
      <c r="I17" s="31"/>
      <c r="J17" s="31"/>
      <c r="K17" s="31"/>
      <c r="L17" s="31"/>
      <c r="M17" s="31"/>
      <c r="N17" s="31"/>
      <c r="AH17" s="16">
        <v>625</v>
      </c>
      <c r="AI17" s="16"/>
      <c r="AJ17" s="16"/>
      <c r="AK17" s="16">
        <v>425</v>
      </c>
      <c r="AL17" s="16">
        <v>0</v>
      </c>
      <c r="AM17" s="16">
        <v>1090</v>
      </c>
      <c r="AN17" s="16"/>
      <c r="BC17" s="13"/>
      <c r="BD17" s="13"/>
      <c r="BE17" s="13"/>
      <c r="BF17" s="13"/>
      <c r="BG17" s="13"/>
      <c r="BH17" s="13"/>
      <c r="BI17" s="13"/>
      <c r="BJ17" s="13"/>
      <c r="BK17" s="13"/>
      <c r="BL17" s="13"/>
      <c r="BM17" s="13"/>
      <c r="BN17" s="13"/>
    </row>
    <row r="18" spans="1:66" x14ac:dyDescent="0.25">
      <c r="A18" s="22">
        <v>16</v>
      </c>
      <c r="B18" s="23">
        <v>1075.6152662977731</v>
      </c>
      <c r="C18" s="24">
        <v>480.4248334211793</v>
      </c>
      <c r="I18" s="31"/>
      <c r="J18" s="31"/>
      <c r="K18" s="31"/>
      <c r="L18" s="31"/>
      <c r="M18" s="31"/>
      <c r="N18" s="31"/>
      <c r="AH18" s="16">
        <v>650</v>
      </c>
      <c r="AI18" s="16"/>
      <c r="AJ18" s="16"/>
      <c r="AK18" s="16">
        <v>450</v>
      </c>
      <c r="AL18" s="16">
        <v>0</v>
      </c>
      <c r="AM18" s="16">
        <v>1090</v>
      </c>
      <c r="AN18" s="16"/>
      <c r="BC18" s="13"/>
      <c r="BD18" s="13"/>
      <c r="BE18" s="13"/>
      <c r="BF18" s="13"/>
      <c r="BG18" s="13"/>
      <c r="BH18" s="13"/>
      <c r="BI18" s="13"/>
      <c r="BJ18" s="13"/>
      <c r="BK18" s="13"/>
      <c r="BL18" s="13"/>
      <c r="BM18" s="13"/>
      <c r="BN18" s="13"/>
    </row>
    <row r="19" spans="1:66" x14ac:dyDescent="0.25">
      <c r="A19" s="22">
        <v>17</v>
      </c>
      <c r="B19" s="23">
        <v>976.00111545377149</v>
      </c>
      <c r="C19" s="24">
        <v>478.88847051861455</v>
      </c>
      <c r="F19" s="53">
        <v>1</v>
      </c>
      <c r="I19" s="31"/>
      <c r="J19" s="31"/>
      <c r="K19" s="31"/>
      <c r="L19" s="31"/>
      <c r="M19" s="31"/>
      <c r="N19" s="31"/>
      <c r="AH19" s="16">
        <v>675</v>
      </c>
      <c r="AI19" s="16"/>
      <c r="AJ19" s="16"/>
      <c r="AK19" s="16">
        <v>450</v>
      </c>
      <c r="AL19" s="16">
        <v>0</v>
      </c>
      <c r="AM19" s="16">
        <v>1242</v>
      </c>
      <c r="AN19" s="16"/>
      <c r="BC19" s="13"/>
      <c r="BD19" s="13"/>
      <c r="BE19" s="13"/>
      <c r="BF19" s="13"/>
      <c r="BG19" s="13"/>
      <c r="BH19" s="13"/>
      <c r="BI19" s="13"/>
      <c r="BJ19" s="13"/>
      <c r="BK19" s="13"/>
      <c r="BL19" s="13"/>
      <c r="BM19" s="13"/>
      <c r="BN19" s="13"/>
    </row>
    <row r="20" spans="1:66" x14ac:dyDescent="0.25">
      <c r="A20" s="22">
        <v>18</v>
      </c>
      <c r="B20" s="23">
        <v>1405.8140154711682</v>
      </c>
      <c r="C20" s="24">
        <v>353.20855656903302</v>
      </c>
      <c r="I20" s="31"/>
      <c r="J20" s="31"/>
      <c r="K20" s="31"/>
      <c r="L20" s="31"/>
      <c r="M20" s="31"/>
      <c r="N20" s="31"/>
      <c r="AH20" s="16">
        <v>700</v>
      </c>
      <c r="AI20" s="16"/>
      <c r="AJ20" s="16"/>
      <c r="AK20" s="16">
        <v>475</v>
      </c>
      <c r="AL20" s="16">
        <v>0</v>
      </c>
      <c r="AM20" s="16">
        <v>1242</v>
      </c>
      <c r="AN20" s="16"/>
      <c r="BC20" s="13"/>
      <c r="BD20" s="13"/>
      <c r="BE20" s="13"/>
      <c r="BF20" s="13"/>
      <c r="BG20" s="13"/>
      <c r="BH20" s="13"/>
      <c r="BI20" s="13"/>
      <c r="BJ20" s="13"/>
      <c r="BK20" s="13"/>
      <c r="BL20" s="13"/>
      <c r="BM20" s="13"/>
      <c r="BN20" s="13"/>
    </row>
    <row r="21" spans="1:66" x14ac:dyDescent="0.25">
      <c r="A21" s="22">
        <v>19</v>
      </c>
      <c r="B21" s="23">
        <v>981.55353259642663</v>
      </c>
      <c r="C21" s="24">
        <v>536.80938804168647</v>
      </c>
      <c r="I21" s="31"/>
      <c r="J21" s="31"/>
      <c r="K21" s="31"/>
      <c r="L21" s="31"/>
      <c r="M21" s="31"/>
      <c r="N21" s="31"/>
      <c r="AH21" s="16">
        <v>725</v>
      </c>
      <c r="AI21" s="16"/>
      <c r="AJ21" s="16"/>
      <c r="AK21" s="16">
        <v>475</v>
      </c>
      <c r="AL21" s="16">
        <v>0</v>
      </c>
      <c r="AM21" s="16">
        <v>1158</v>
      </c>
      <c r="AN21" s="16"/>
      <c r="BC21" s="13"/>
      <c r="BD21" s="13"/>
      <c r="BE21" s="13"/>
      <c r="BF21" s="13"/>
      <c r="BG21" s="13"/>
      <c r="BH21" s="13"/>
      <c r="BI21" s="13"/>
      <c r="BJ21" s="13"/>
      <c r="BK21" s="13"/>
      <c r="BL21" s="13"/>
      <c r="BM21" s="13"/>
      <c r="BN21" s="13"/>
    </row>
    <row r="22" spans="1:66" x14ac:dyDescent="0.25">
      <c r="A22" s="22">
        <v>20</v>
      </c>
      <c r="B22" s="23">
        <v>1190.1537386450398</v>
      </c>
      <c r="C22" s="24">
        <v>547.32044372179655</v>
      </c>
      <c r="I22" s="31"/>
      <c r="J22" s="31"/>
      <c r="K22" s="31"/>
      <c r="L22" s="31"/>
      <c r="M22" s="31"/>
      <c r="N22" s="31"/>
      <c r="AH22" s="16">
        <v>750</v>
      </c>
      <c r="AI22" s="16"/>
      <c r="AJ22" s="16"/>
      <c r="AK22" s="16">
        <v>500</v>
      </c>
      <c r="AL22" s="16">
        <v>0</v>
      </c>
      <c r="AM22" s="16">
        <v>1158</v>
      </c>
      <c r="AN22" s="16"/>
      <c r="BC22" s="13"/>
      <c r="BD22" s="13"/>
      <c r="BE22" s="13"/>
      <c r="BF22" s="13"/>
      <c r="BG22" s="13"/>
      <c r="BH22" s="13"/>
      <c r="BI22" s="13"/>
      <c r="BJ22" s="13"/>
      <c r="BK22" s="13"/>
      <c r="BL22" s="13"/>
      <c r="BM22" s="13"/>
      <c r="BN22" s="13"/>
    </row>
    <row r="23" spans="1:66" x14ac:dyDescent="0.25">
      <c r="A23" s="22">
        <v>21</v>
      </c>
      <c r="B23" s="23">
        <v>1356.5186258612177</v>
      </c>
      <c r="C23" s="24">
        <v>506.80887871877286</v>
      </c>
      <c r="AH23" s="16">
        <v>775</v>
      </c>
      <c r="AI23" s="16"/>
      <c r="AJ23" s="16"/>
      <c r="AK23" s="16">
        <v>500</v>
      </c>
      <c r="AL23" s="16">
        <v>0</v>
      </c>
      <c r="AM23" s="16">
        <v>1111</v>
      </c>
      <c r="AN23" s="16"/>
      <c r="BC23" s="13"/>
      <c r="BD23" s="13"/>
      <c r="BE23" s="13"/>
      <c r="BF23" s="13"/>
      <c r="BG23" s="13"/>
      <c r="BH23" s="13"/>
      <c r="BI23" s="13"/>
      <c r="BJ23" s="13"/>
      <c r="BK23" s="13"/>
      <c r="BL23" s="13"/>
      <c r="BM23" s="13"/>
      <c r="BN23" s="13"/>
    </row>
    <row r="24" spans="1:66" x14ac:dyDescent="0.25">
      <c r="A24" s="22">
        <v>22</v>
      </c>
      <c r="B24" s="23">
        <v>1085.5433837214912</v>
      </c>
      <c r="C24" s="24">
        <v>551.9180298607846</v>
      </c>
      <c r="I24" s="54"/>
      <c r="AH24" s="16">
        <v>800</v>
      </c>
      <c r="AI24" s="16"/>
      <c r="AJ24" s="16"/>
      <c r="AK24" s="16">
        <v>525</v>
      </c>
      <c r="AL24" s="16">
        <v>0</v>
      </c>
      <c r="AM24" s="16">
        <v>1111</v>
      </c>
      <c r="AN24" s="16"/>
      <c r="BC24" s="13"/>
      <c r="BD24" s="13"/>
      <c r="BE24" s="13"/>
      <c r="BF24" s="13"/>
      <c r="BG24" s="13"/>
      <c r="BH24" s="13"/>
      <c r="BI24" s="13"/>
      <c r="BJ24" s="13"/>
      <c r="BK24" s="13"/>
      <c r="BL24" s="13"/>
      <c r="BM24" s="13"/>
      <c r="BN24" s="13"/>
    </row>
    <row r="25" spans="1:66" x14ac:dyDescent="0.25">
      <c r="A25" s="22">
        <v>23</v>
      </c>
      <c r="B25" s="23">
        <v>1211.6739233844439</v>
      </c>
      <c r="C25" s="24">
        <v>421.57004425613474</v>
      </c>
      <c r="AH25" s="16">
        <v>825</v>
      </c>
      <c r="AI25" s="16"/>
      <c r="AJ25" s="16"/>
      <c r="AK25" s="16">
        <v>525</v>
      </c>
      <c r="AL25" s="16">
        <v>0</v>
      </c>
      <c r="AM25" s="16">
        <v>924</v>
      </c>
      <c r="AN25" s="16"/>
      <c r="BC25" s="13"/>
      <c r="BD25" s="13"/>
      <c r="BE25" s="13"/>
      <c r="BF25" s="13"/>
      <c r="BG25" s="13"/>
      <c r="BH25" s="13"/>
      <c r="BI25" s="13"/>
      <c r="BJ25" s="13"/>
      <c r="BK25" s="13"/>
      <c r="BL25" s="13"/>
      <c r="BM25" s="13"/>
      <c r="BN25" s="13"/>
    </row>
    <row r="26" spans="1:66" x14ac:dyDescent="0.25">
      <c r="A26" s="22">
        <v>24</v>
      </c>
      <c r="B26" s="23">
        <v>867.62832906153346</v>
      </c>
      <c r="C26" s="24">
        <v>505.53539144460956</v>
      </c>
      <c r="AH26" s="16">
        <v>850</v>
      </c>
      <c r="AI26" s="16"/>
      <c r="AJ26" s="16"/>
      <c r="AK26" s="16">
        <v>550</v>
      </c>
      <c r="AL26" s="16">
        <v>0</v>
      </c>
      <c r="AM26" s="16">
        <v>924</v>
      </c>
      <c r="AN26" s="16"/>
      <c r="BC26" s="13"/>
      <c r="BD26" s="13"/>
      <c r="BE26" s="13"/>
      <c r="BF26" s="13"/>
      <c r="BG26" s="13"/>
      <c r="BH26" s="13"/>
      <c r="BI26" s="13"/>
      <c r="BJ26" s="13"/>
      <c r="BK26" s="13"/>
      <c r="BL26" s="13"/>
      <c r="BM26" s="13"/>
      <c r="BN26" s="13"/>
    </row>
    <row r="27" spans="1:66" x14ac:dyDescent="0.25">
      <c r="A27" s="22">
        <v>25</v>
      </c>
      <c r="B27" s="23">
        <v>1141.6813358205507</v>
      </c>
      <c r="C27" s="24">
        <v>323.00794917437133</v>
      </c>
      <c r="AH27" s="16">
        <v>875</v>
      </c>
      <c r="AI27" s="16"/>
      <c r="AJ27" s="16"/>
      <c r="AK27" s="16">
        <v>550</v>
      </c>
      <c r="AL27" s="16">
        <v>0</v>
      </c>
      <c r="AM27" s="16">
        <v>622</v>
      </c>
      <c r="AN27" s="16"/>
      <c r="BC27" s="13"/>
      <c r="BD27" s="13"/>
      <c r="BE27" s="13"/>
      <c r="BF27" s="13"/>
      <c r="BG27" s="13"/>
      <c r="BH27" s="13"/>
      <c r="BI27" s="13"/>
      <c r="BJ27" s="13"/>
      <c r="BK27" s="13"/>
      <c r="BL27" s="13"/>
      <c r="BM27" s="13"/>
      <c r="BN27" s="13"/>
    </row>
    <row r="28" spans="1:66" x14ac:dyDescent="0.25">
      <c r="A28" s="22">
        <v>26</v>
      </c>
      <c r="B28" s="23">
        <v>1086.036769539636</v>
      </c>
      <c r="C28" s="24">
        <v>372.2978308238234</v>
      </c>
      <c r="AH28" s="16">
        <v>900</v>
      </c>
      <c r="AI28" s="16"/>
      <c r="AJ28" s="16"/>
      <c r="AK28" s="16">
        <v>575</v>
      </c>
      <c r="AL28" s="16">
        <v>0</v>
      </c>
      <c r="AM28" s="16">
        <v>622</v>
      </c>
      <c r="AN28" s="16"/>
      <c r="BC28" s="13"/>
      <c r="BD28" s="13"/>
      <c r="BE28" s="13"/>
      <c r="BF28" s="13"/>
      <c r="BG28" s="13"/>
      <c r="BH28" s="13"/>
      <c r="BI28" s="13"/>
      <c r="BJ28" s="13"/>
      <c r="BK28" s="13"/>
      <c r="BL28" s="13"/>
      <c r="BM28" s="13"/>
      <c r="BN28" s="13"/>
    </row>
    <row r="29" spans="1:66" x14ac:dyDescent="0.25">
      <c r="A29" s="22">
        <v>27</v>
      </c>
      <c r="B29" s="23">
        <v>1009.9476997811056</v>
      </c>
      <c r="C29" s="24">
        <v>508.01404909973064</v>
      </c>
      <c r="AH29" s="16">
        <v>925</v>
      </c>
      <c r="AI29" s="16"/>
      <c r="AJ29" s="16"/>
      <c r="AK29" s="16">
        <v>575</v>
      </c>
      <c r="AL29" s="16">
        <v>0</v>
      </c>
      <c r="AM29" s="16">
        <v>494</v>
      </c>
      <c r="AN29" s="16"/>
      <c r="BC29" s="13"/>
      <c r="BD29" s="13"/>
      <c r="BE29" s="13"/>
      <c r="BF29" s="13"/>
      <c r="BG29" s="13"/>
      <c r="BH29" s="13"/>
      <c r="BI29" s="13"/>
      <c r="BJ29" s="13"/>
      <c r="BK29" s="13"/>
      <c r="BL29" s="13"/>
      <c r="BM29" s="13"/>
      <c r="BN29" s="13"/>
    </row>
    <row r="30" spans="1:66" x14ac:dyDescent="0.25">
      <c r="A30" s="22">
        <v>28</v>
      </c>
      <c r="B30" s="23">
        <v>1291.788378597163</v>
      </c>
      <c r="C30" s="24">
        <v>698.63189581569793</v>
      </c>
      <c r="AH30" s="16">
        <v>950</v>
      </c>
      <c r="AI30" s="16"/>
      <c r="AJ30" s="16"/>
      <c r="AK30" s="16">
        <v>600</v>
      </c>
      <c r="AL30" s="16">
        <v>0</v>
      </c>
      <c r="AM30" s="16">
        <v>494</v>
      </c>
      <c r="AN30" s="16"/>
      <c r="BC30" s="13"/>
      <c r="BD30" s="13"/>
      <c r="BE30" s="13"/>
      <c r="BF30" s="13"/>
      <c r="BG30" s="13"/>
      <c r="BH30" s="13"/>
      <c r="BI30" s="13"/>
      <c r="BJ30" s="13"/>
      <c r="BK30" s="13"/>
      <c r="BL30" s="13"/>
      <c r="BM30" s="13"/>
      <c r="BN30" s="13"/>
    </row>
    <row r="31" spans="1:66" x14ac:dyDescent="0.25">
      <c r="A31" s="22">
        <v>29</v>
      </c>
      <c r="B31" s="23">
        <v>1487.7289386402638</v>
      </c>
      <c r="C31" s="24">
        <v>311.15764651254858</v>
      </c>
      <c r="AH31" s="16">
        <v>975</v>
      </c>
      <c r="AI31" s="16"/>
      <c r="AJ31" s="16"/>
      <c r="AK31" s="16">
        <v>600</v>
      </c>
      <c r="AL31" s="16">
        <v>2</v>
      </c>
      <c r="AM31" s="16">
        <v>373</v>
      </c>
      <c r="AN31" s="16"/>
      <c r="BC31" s="13"/>
      <c r="BD31" s="13"/>
      <c r="BE31" s="13"/>
      <c r="BF31" s="13"/>
      <c r="BG31" s="13"/>
      <c r="BH31" s="13"/>
      <c r="BI31" s="13"/>
      <c r="BJ31" s="13"/>
      <c r="BK31" s="13"/>
      <c r="BL31" s="13"/>
      <c r="BM31" s="13"/>
      <c r="BN31" s="13"/>
    </row>
    <row r="32" spans="1:66" x14ac:dyDescent="0.25">
      <c r="A32" s="22">
        <v>30</v>
      </c>
      <c r="B32" s="23">
        <v>1037.0253073199458</v>
      </c>
      <c r="C32" s="24">
        <v>596.81587429388981</v>
      </c>
      <c r="AH32" s="16">
        <v>1000</v>
      </c>
      <c r="AI32" s="16"/>
      <c r="AJ32" s="16"/>
      <c r="AK32" s="16">
        <v>625</v>
      </c>
      <c r="AL32" s="16">
        <v>2</v>
      </c>
      <c r="AM32" s="16">
        <v>373</v>
      </c>
      <c r="AN32" s="16"/>
      <c r="BC32" s="13"/>
      <c r="BD32" s="13"/>
      <c r="BE32" s="13"/>
      <c r="BF32" s="13"/>
      <c r="BG32" s="13"/>
      <c r="BH32" s="13"/>
      <c r="BI32" s="13"/>
      <c r="BJ32" s="13"/>
      <c r="BK32" s="13"/>
      <c r="BL32" s="13"/>
      <c r="BM32" s="13"/>
      <c r="BN32" s="13"/>
    </row>
    <row r="33" spans="1:66" x14ac:dyDescent="0.25">
      <c r="A33" s="22">
        <v>31</v>
      </c>
      <c r="B33" s="23">
        <v>1326.7807475209372</v>
      </c>
      <c r="C33" s="24">
        <v>546.85869058957132</v>
      </c>
      <c r="AH33" s="16">
        <v>1025</v>
      </c>
      <c r="AI33" s="16"/>
      <c r="AJ33" s="16"/>
      <c r="AK33" s="16">
        <v>625</v>
      </c>
      <c r="AL33" s="16">
        <v>0</v>
      </c>
      <c r="AM33" s="16">
        <v>252</v>
      </c>
      <c r="AN33" s="16"/>
      <c r="BC33" s="13"/>
      <c r="BD33" s="13"/>
      <c r="BE33" s="13"/>
      <c r="BF33" s="13"/>
      <c r="BG33" s="13"/>
      <c r="BH33" s="13"/>
      <c r="BI33" s="13"/>
      <c r="BJ33" s="13"/>
      <c r="BK33" s="13"/>
      <c r="BL33" s="13"/>
      <c r="BM33" s="13"/>
      <c r="BN33" s="13"/>
    </row>
    <row r="34" spans="1:66" x14ac:dyDescent="0.25">
      <c r="A34" s="22">
        <v>32</v>
      </c>
      <c r="B34" s="23">
        <v>915.23940732522476</v>
      </c>
      <c r="C34" s="24">
        <v>439.72175904003814</v>
      </c>
      <c r="AH34" s="16">
        <v>1050</v>
      </c>
      <c r="AI34" s="16"/>
      <c r="AJ34" s="16"/>
      <c r="AK34" s="16">
        <v>650</v>
      </c>
      <c r="AL34" s="16">
        <v>0</v>
      </c>
      <c r="AM34" s="16">
        <v>252</v>
      </c>
      <c r="AN34" s="16"/>
      <c r="BC34" s="13"/>
      <c r="BD34" s="13"/>
      <c r="BE34" s="13"/>
      <c r="BF34" s="13"/>
      <c r="BG34" s="13"/>
      <c r="BH34" s="13"/>
      <c r="BI34" s="13"/>
      <c r="BJ34" s="13"/>
      <c r="BK34" s="13"/>
      <c r="BL34" s="13"/>
      <c r="BM34" s="13"/>
      <c r="BN34" s="13"/>
    </row>
    <row r="35" spans="1:66" x14ac:dyDescent="0.25">
      <c r="A35" s="22">
        <v>33</v>
      </c>
      <c r="B35" s="23">
        <v>1329.3470649461676</v>
      </c>
      <c r="C35" s="24">
        <v>455.46645623034965</v>
      </c>
      <c r="AH35" s="16">
        <v>1075</v>
      </c>
      <c r="AI35" s="16"/>
      <c r="AJ35" s="16"/>
      <c r="AK35" s="16">
        <v>650</v>
      </c>
      <c r="AL35" s="16">
        <v>2</v>
      </c>
      <c r="AM35" s="16">
        <v>170</v>
      </c>
      <c r="AN35" s="16"/>
      <c r="BC35" s="13"/>
      <c r="BD35" s="13"/>
      <c r="BE35" s="13"/>
      <c r="BF35" s="13"/>
      <c r="BG35" s="13"/>
      <c r="BH35" s="13"/>
      <c r="BI35" s="13"/>
      <c r="BJ35" s="13"/>
      <c r="BK35" s="13"/>
      <c r="BL35" s="13"/>
      <c r="BM35" s="13"/>
      <c r="BN35" s="13"/>
    </row>
    <row r="36" spans="1:66" x14ac:dyDescent="0.25">
      <c r="A36" s="22">
        <v>34</v>
      </c>
      <c r="B36" s="23">
        <v>1194.2771423943234</v>
      </c>
      <c r="C36" s="24">
        <v>370.97389119207463</v>
      </c>
      <c r="AH36" s="16">
        <v>1100</v>
      </c>
      <c r="AI36" s="16"/>
      <c r="AJ36" s="16"/>
      <c r="AK36" s="16">
        <v>675</v>
      </c>
      <c r="AL36" s="16">
        <v>2</v>
      </c>
      <c r="AM36" s="16">
        <v>170</v>
      </c>
      <c r="AN36" s="16"/>
      <c r="BC36" s="13"/>
      <c r="BD36" s="13"/>
      <c r="BE36" s="13"/>
      <c r="BF36" s="13"/>
      <c r="BG36" s="13"/>
      <c r="BH36" s="13"/>
      <c r="BI36" s="13"/>
      <c r="BJ36" s="13"/>
      <c r="BK36" s="13"/>
      <c r="BL36" s="13"/>
      <c r="BM36" s="13"/>
      <c r="BN36" s="13"/>
    </row>
    <row r="37" spans="1:66" x14ac:dyDescent="0.25">
      <c r="A37" s="22">
        <v>35</v>
      </c>
      <c r="B37" s="23">
        <v>1163.9987407146132</v>
      </c>
      <c r="C37" s="24">
        <v>494.6703537580475</v>
      </c>
      <c r="AH37" s="16">
        <v>1125</v>
      </c>
      <c r="AI37" s="16"/>
      <c r="AJ37" s="16"/>
      <c r="AK37" s="16">
        <v>675</v>
      </c>
      <c r="AL37" s="16">
        <v>6</v>
      </c>
      <c r="AM37" s="16">
        <v>120</v>
      </c>
      <c r="AN37" s="16"/>
      <c r="BC37" s="13"/>
      <c r="BD37" s="13"/>
      <c r="BE37" s="13"/>
      <c r="BF37" s="13"/>
      <c r="BG37" s="13"/>
      <c r="BH37" s="13"/>
      <c r="BI37" s="13"/>
      <c r="BJ37" s="13"/>
      <c r="BK37" s="13"/>
      <c r="BL37" s="13"/>
      <c r="BM37" s="13"/>
      <c r="BN37" s="13"/>
    </row>
    <row r="38" spans="1:66" x14ac:dyDescent="0.25">
      <c r="A38" s="22">
        <v>36</v>
      </c>
      <c r="B38" s="23">
        <v>1264.0583523688063</v>
      </c>
      <c r="C38" s="24">
        <v>541.73855826400143</v>
      </c>
      <c r="AH38" s="16">
        <v>1150</v>
      </c>
      <c r="AI38" s="16"/>
      <c r="AJ38" s="16"/>
      <c r="AK38" s="16">
        <v>700</v>
      </c>
      <c r="AL38" s="16">
        <v>6</v>
      </c>
      <c r="AM38" s="16">
        <v>120</v>
      </c>
      <c r="AN38" s="16"/>
      <c r="BC38" s="13"/>
      <c r="BD38" s="13"/>
      <c r="BE38" s="13"/>
      <c r="BF38" s="13"/>
      <c r="BG38" s="13"/>
      <c r="BH38" s="13"/>
      <c r="BI38" s="13"/>
      <c r="BJ38" s="13"/>
      <c r="BK38" s="13"/>
      <c r="BL38" s="13"/>
      <c r="BM38" s="13"/>
      <c r="BN38" s="13"/>
    </row>
    <row r="39" spans="1:66" x14ac:dyDescent="0.25">
      <c r="A39" s="22">
        <v>37</v>
      </c>
      <c r="B39" s="23">
        <v>1132.8627255685687</v>
      </c>
      <c r="C39" s="24">
        <v>393.58749417574506</v>
      </c>
      <c r="AH39" s="16">
        <v>1175</v>
      </c>
      <c r="AI39" s="16"/>
      <c r="AJ39" s="16"/>
      <c r="AK39" s="16">
        <v>700</v>
      </c>
      <c r="AL39" s="16">
        <v>7</v>
      </c>
      <c r="AM39" s="16">
        <v>65</v>
      </c>
      <c r="AN39" s="16"/>
      <c r="BC39" s="13"/>
      <c r="BD39" s="13"/>
      <c r="BE39" s="13"/>
      <c r="BF39" s="13"/>
      <c r="BG39" s="13"/>
      <c r="BH39" s="13"/>
      <c r="BI39" s="13"/>
      <c r="BJ39" s="13"/>
      <c r="BK39" s="13"/>
      <c r="BL39" s="13"/>
      <c r="BM39" s="13"/>
      <c r="BN39" s="13"/>
    </row>
    <row r="40" spans="1:66" x14ac:dyDescent="0.25">
      <c r="A40" s="22">
        <v>38</v>
      </c>
      <c r="B40" s="23">
        <v>1164.9998255049481</v>
      </c>
      <c r="C40" s="24">
        <v>404.45083488658855</v>
      </c>
      <c r="AH40" s="16">
        <v>1200</v>
      </c>
      <c r="AI40" s="16"/>
      <c r="AJ40" s="16"/>
      <c r="AK40" s="16">
        <v>725</v>
      </c>
      <c r="AL40" s="16">
        <v>7</v>
      </c>
      <c r="AM40" s="16">
        <v>65</v>
      </c>
      <c r="AN40" s="16"/>
      <c r="BC40" s="13"/>
      <c r="BD40" s="13"/>
      <c r="BE40" s="13"/>
      <c r="BF40" s="13"/>
      <c r="BG40" s="13"/>
      <c r="BH40" s="13"/>
      <c r="BI40" s="13"/>
      <c r="BJ40" s="13"/>
      <c r="BK40" s="13"/>
      <c r="BL40" s="13"/>
      <c r="BM40" s="13"/>
      <c r="BN40" s="13"/>
    </row>
    <row r="41" spans="1:66" x14ac:dyDescent="0.25">
      <c r="A41" s="22">
        <v>39</v>
      </c>
      <c r="B41" s="23">
        <v>1225.7059526932244</v>
      </c>
      <c r="C41" s="24">
        <v>439.38222315509609</v>
      </c>
      <c r="AH41" s="16">
        <v>1225</v>
      </c>
      <c r="AI41" s="16"/>
      <c r="AJ41" s="16"/>
      <c r="AK41" s="16">
        <v>725</v>
      </c>
      <c r="AL41" s="16">
        <v>16</v>
      </c>
      <c r="AM41" s="16">
        <v>37</v>
      </c>
      <c r="AN41" s="16"/>
      <c r="BC41" s="13"/>
      <c r="BD41" s="13"/>
      <c r="BE41" s="13"/>
      <c r="BF41" s="13"/>
      <c r="BG41" s="13"/>
      <c r="BH41" s="13"/>
      <c r="BI41" s="13"/>
      <c r="BJ41" s="13"/>
      <c r="BK41" s="13"/>
      <c r="BL41" s="13"/>
      <c r="BM41" s="13"/>
      <c r="BN41" s="13"/>
    </row>
    <row r="42" spans="1:66" x14ac:dyDescent="0.25">
      <c r="A42" s="22">
        <v>40</v>
      </c>
      <c r="B42" s="23">
        <v>1290.7551227281981</v>
      </c>
      <c r="C42" s="24">
        <v>566.63671147169464</v>
      </c>
      <c r="AH42" s="16">
        <v>1250</v>
      </c>
      <c r="AI42" s="16"/>
      <c r="AJ42" s="16"/>
      <c r="AK42" s="16">
        <v>750</v>
      </c>
      <c r="AL42" s="16">
        <v>16</v>
      </c>
      <c r="AM42" s="16">
        <v>37</v>
      </c>
      <c r="AN42" s="16"/>
      <c r="BC42" s="13"/>
      <c r="BD42" s="13"/>
      <c r="BE42" s="13"/>
      <c r="BF42" s="13"/>
      <c r="BG42" s="13"/>
      <c r="BH42" s="13"/>
      <c r="BI42" s="13"/>
      <c r="BJ42" s="13"/>
      <c r="BK42" s="13"/>
      <c r="BL42" s="13"/>
      <c r="BM42" s="13"/>
      <c r="BN42" s="13"/>
    </row>
    <row r="43" spans="1:66" x14ac:dyDescent="0.25">
      <c r="A43" s="22">
        <v>41</v>
      </c>
      <c r="B43" s="23">
        <v>1033.7796877971925</v>
      </c>
      <c r="C43" s="24">
        <v>422.81886409953012</v>
      </c>
      <c r="AH43" s="16">
        <v>1275</v>
      </c>
      <c r="AI43" s="16"/>
      <c r="AJ43" s="16"/>
      <c r="AK43" s="16">
        <v>750</v>
      </c>
      <c r="AL43" s="16">
        <v>37</v>
      </c>
      <c r="AM43" s="16">
        <v>28</v>
      </c>
      <c r="AN43" s="16"/>
      <c r="BC43" s="13"/>
      <c r="BD43" s="13"/>
      <c r="BE43" s="13"/>
      <c r="BF43" s="13"/>
      <c r="BG43" s="13"/>
      <c r="BH43" s="13"/>
      <c r="BI43" s="13"/>
      <c r="BJ43" s="13"/>
      <c r="BK43" s="13"/>
      <c r="BL43" s="13"/>
      <c r="BM43" s="13"/>
      <c r="BN43" s="13"/>
    </row>
    <row r="44" spans="1:66" x14ac:dyDescent="0.25">
      <c r="A44" s="22">
        <v>42</v>
      </c>
      <c r="B44" s="23">
        <v>1226.0550008138916</v>
      </c>
      <c r="C44" s="24">
        <v>356.48330778854552</v>
      </c>
      <c r="AH44" s="16">
        <v>1300</v>
      </c>
      <c r="AI44" s="16"/>
      <c r="AJ44" s="16"/>
      <c r="AK44" s="16">
        <v>775</v>
      </c>
      <c r="AL44" s="16">
        <v>37</v>
      </c>
      <c r="AM44" s="16">
        <v>28</v>
      </c>
      <c r="AN44" s="16"/>
      <c r="BC44" s="13"/>
      <c r="BD44" s="13"/>
      <c r="BE44" s="13"/>
      <c r="BF44" s="13"/>
      <c r="BG44" s="13"/>
      <c r="BH44" s="13"/>
      <c r="BI44" s="13"/>
      <c r="BJ44" s="13"/>
      <c r="BK44" s="13"/>
      <c r="BL44" s="13"/>
      <c r="BM44" s="13"/>
      <c r="BN44" s="13"/>
    </row>
    <row r="45" spans="1:66" x14ac:dyDescent="0.25">
      <c r="A45" s="22">
        <v>43</v>
      </c>
      <c r="B45" s="23">
        <v>1086.9624000141057</v>
      </c>
      <c r="C45" s="24">
        <v>540.09199345890511</v>
      </c>
      <c r="AH45" s="16">
        <v>1325</v>
      </c>
      <c r="AI45" s="16"/>
      <c r="AJ45" s="16"/>
      <c r="AK45" s="16">
        <v>775</v>
      </c>
      <c r="AL45" s="16">
        <v>47</v>
      </c>
      <c r="AM45" s="16">
        <v>11</v>
      </c>
      <c r="AN45" s="16"/>
      <c r="BC45" s="13"/>
      <c r="BD45" s="13"/>
      <c r="BE45" s="13"/>
      <c r="BF45" s="13"/>
      <c r="BG45" s="13"/>
      <c r="BH45" s="13"/>
      <c r="BI45" s="13"/>
      <c r="BJ45" s="13"/>
      <c r="BK45" s="13"/>
      <c r="BL45" s="13"/>
      <c r="BM45" s="13"/>
      <c r="BN45" s="13"/>
    </row>
    <row r="46" spans="1:66" x14ac:dyDescent="0.25">
      <c r="A46" s="22">
        <v>44</v>
      </c>
      <c r="B46" s="23">
        <v>1154.3343139831595</v>
      </c>
      <c r="C46" s="24">
        <v>461.65162813481771</v>
      </c>
      <c r="I46" s="54"/>
      <c r="AH46" s="16">
        <v>1350</v>
      </c>
      <c r="AI46" s="16"/>
      <c r="AJ46" s="16"/>
      <c r="AK46" s="16">
        <v>800</v>
      </c>
      <c r="AL46" s="16">
        <v>47</v>
      </c>
      <c r="AM46" s="16">
        <v>11</v>
      </c>
      <c r="AN46" s="16"/>
      <c r="BC46" s="13"/>
      <c r="BD46" s="13"/>
      <c r="BE46" s="13"/>
      <c r="BF46" s="13"/>
      <c r="BG46" s="13"/>
      <c r="BH46" s="13"/>
      <c r="BI46" s="13"/>
      <c r="BJ46" s="13"/>
      <c r="BK46" s="13"/>
      <c r="BL46" s="13"/>
      <c r="BM46" s="13"/>
      <c r="BN46" s="13"/>
    </row>
    <row r="47" spans="1:66" x14ac:dyDescent="0.25">
      <c r="A47" s="22">
        <v>45</v>
      </c>
      <c r="B47" s="23">
        <v>1172.5613914996504</v>
      </c>
      <c r="C47" s="24">
        <v>451.37590007808018</v>
      </c>
      <c r="AH47" s="16">
        <v>1375</v>
      </c>
      <c r="AI47" s="16"/>
      <c r="AJ47" s="16"/>
      <c r="AK47" s="16">
        <v>800</v>
      </c>
      <c r="AL47" s="16">
        <v>53</v>
      </c>
      <c r="AM47" s="16">
        <v>9</v>
      </c>
      <c r="AN47" s="16"/>
      <c r="BC47" s="13"/>
      <c r="BD47" s="13"/>
      <c r="BE47" s="13"/>
      <c r="BF47" s="13"/>
      <c r="BG47" s="13"/>
      <c r="BH47" s="13"/>
      <c r="BI47" s="13"/>
      <c r="BJ47" s="13"/>
      <c r="BK47" s="13"/>
      <c r="BL47" s="13"/>
      <c r="BM47" s="13"/>
      <c r="BN47" s="13"/>
    </row>
    <row r="48" spans="1:66" x14ac:dyDescent="0.25">
      <c r="A48" s="22">
        <v>46</v>
      </c>
      <c r="B48" s="23">
        <v>1197.6049563534311</v>
      </c>
      <c r="C48" s="24">
        <v>576.57427780089915</v>
      </c>
      <c r="AH48" s="16">
        <v>1400</v>
      </c>
      <c r="AI48" s="16"/>
      <c r="AJ48" s="16"/>
      <c r="AK48" s="16">
        <v>825</v>
      </c>
      <c r="AL48" s="16">
        <v>53</v>
      </c>
      <c r="AM48" s="16">
        <v>9</v>
      </c>
      <c r="AN48" s="16"/>
      <c r="BC48" s="13"/>
      <c r="BD48" s="13"/>
      <c r="BE48" s="13"/>
      <c r="BF48" s="13"/>
      <c r="BG48" s="13"/>
      <c r="BH48" s="13"/>
      <c r="BI48" s="13"/>
      <c r="BJ48" s="13"/>
      <c r="BK48" s="13"/>
      <c r="BL48" s="13"/>
      <c r="BM48" s="13"/>
      <c r="BN48" s="13"/>
    </row>
    <row r="49" spans="1:66" x14ac:dyDescent="0.25">
      <c r="A49" s="22">
        <v>47</v>
      </c>
      <c r="B49" s="23">
        <v>1266.7350870964406</v>
      </c>
      <c r="C49" s="24">
        <v>436.98391808788853</v>
      </c>
      <c r="AH49" s="16">
        <v>1425</v>
      </c>
      <c r="AI49" s="16"/>
      <c r="AJ49" s="16"/>
      <c r="AK49" s="16">
        <v>825</v>
      </c>
      <c r="AL49" s="16">
        <v>93</v>
      </c>
      <c r="AM49" s="16">
        <v>1</v>
      </c>
      <c r="AN49" s="16"/>
      <c r="BC49" s="13"/>
      <c r="BD49" s="13"/>
      <c r="BE49" s="13"/>
      <c r="BF49" s="13"/>
      <c r="BG49" s="13"/>
      <c r="BH49" s="13"/>
      <c r="BI49" s="13"/>
      <c r="BJ49" s="13"/>
      <c r="BK49" s="13"/>
      <c r="BL49" s="13"/>
      <c r="BM49" s="13"/>
      <c r="BN49" s="13"/>
    </row>
    <row r="50" spans="1:66" x14ac:dyDescent="0.25">
      <c r="A50" s="22">
        <v>48</v>
      </c>
      <c r="B50" s="23">
        <v>1145.817132258419</v>
      </c>
      <c r="C50" s="24">
        <v>440.54526325622203</v>
      </c>
      <c r="AH50" s="16">
        <v>1450</v>
      </c>
      <c r="AI50" s="16"/>
      <c r="AJ50" s="16"/>
      <c r="AK50" s="16">
        <v>850</v>
      </c>
      <c r="AL50" s="16">
        <v>93</v>
      </c>
      <c r="AM50" s="16">
        <v>1</v>
      </c>
      <c r="AN50" s="16"/>
      <c r="BC50" s="13"/>
      <c r="BD50" s="13"/>
      <c r="BE50" s="13"/>
      <c r="BF50" s="13"/>
      <c r="BG50" s="13"/>
      <c r="BH50" s="13"/>
      <c r="BI50" s="13"/>
      <c r="BJ50" s="13"/>
      <c r="BK50" s="13"/>
      <c r="BL50" s="13"/>
      <c r="BM50" s="13"/>
      <c r="BN50" s="13"/>
    </row>
    <row r="51" spans="1:66" x14ac:dyDescent="0.25">
      <c r="A51" s="22">
        <v>49</v>
      </c>
      <c r="B51" s="23">
        <v>1130.0656638280702</v>
      </c>
      <c r="C51" s="24">
        <v>622.86901233963226</v>
      </c>
      <c r="AH51" s="16">
        <v>1475</v>
      </c>
      <c r="AI51" s="16"/>
      <c r="AJ51" s="16"/>
      <c r="AK51" s="16">
        <v>850</v>
      </c>
      <c r="AL51" s="16">
        <v>153</v>
      </c>
      <c r="AM51" s="16">
        <v>1</v>
      </c>
      <c r="AN51" s="16"/>
      <c r="BC51" s="13"/>
      <c r="BD51" s="13"/>
      <c r="BE51" s="13"/>
      <c r="BF51" s="13"/>
      <c r="BG51" s="13"/>
      <c r="BH51" s="13"/>
      <c r="BI51" s="13"/>
      <c r="BJ51" s="13"/>
      <c r="BK51" s="13"/>
      <c r="BL51" s="13"/>
      <c r="BM51" s="13"/>
      <c r="BN51" s="13"/>
    </row>
    <row r="52" spans="1:66" x14ac:dyDescent="0.25">
      <c r="A52" s="22">
        <v>50</v>
      </c>
      <c r="B52" s="23">
        <v>1112.7094015880784</v>
      </c>
      <c r="C52" s="24">
        <v>500.22438691696988</v>
      </c>
      <c r="AH52" s="16">
        <v>1500</v>
      </c>
      <c r="AI52" s="16"/>
      <c r="AJ52" s="16"/>
      <c r="AK52" s="16">
        <v>875</v>
      </c>
      <c r="AL52" s="16">
        <v>153</v>
      </c>
      <c r="AM52" s="16">
        <v>1</v>
      </c>
      <c r="AN52" s="16"/>
      <c r="BC52" s="13"/>
      <c r="BD52" s="13"/>
      <c r="BE52" s="13"/>
      <c r="BF52" s="13"/>
      <c r="BG52" s="13"/>
      <c r="BH52" s="13"/>
      <c r="BI52" s="13"/>
      <c r="BJ52" s="13"/>
      <c r="BK52" s="13"/>
      <c r="BL52" s="13"/>
      <c r="BM52" s="13"/>
      <c r="BN52" s="13"/>
    </row>
    <row r="53" spans="1:66" x14ac:dyDescent="0.25">
      <c r="A53" s="22">
        <v>51</v>
      </c>
      <c r="B53" s="23">
        <v>1469.057957761612</v>
      </c>
      <c r="C53" s="24">
        <v>468.45808719714648</v>
      </c>
      <c r="AH53" s="16">
        <v>1525</v>
      </c>
      <c r="AI53" s="16"/>
      <c r="AJ53" s="16"/>
      <c r="AK53" s="16">
        <v>875</v>
      </c>
      <c r="AL53" s="16">
        <v>189</v>
      </c>
      <c r="AM53" s="16">
        <v>1</v>
      </c>
      <c r="AN53" s="16"/>
      <c r="BC53" s="13"/>
      <c r="BD53" s="13"/>
      <c r="BE53" s="13"/>
      <c r="BF53" s="13"/>
      <c r="BG53" s="13"/>
      <c r="BH53" s="13"/>
      <c r="BI53" s="13"/>
      <c r="BJ53" s="13"/>
      <c r="BK53" s="13"/>
      <c r="BL53" s="13"/>
      <c r="BM53" s="13"/>
      <c r="BN53" s="13"/>
    </row>
    <row r="54" spans="1:66" x14ac:dyDescent="0.25">
      <c r="A54" s="22">
        <v>52</v>
      </c>
      <c r="B54" s="23">
        <v>1483.6997590474855</v>
      </c>
      <c r="C54" s="24">
        <v>484.31801259673404</v>
      </c>
      <c r="AH54" s="16">
        <v>1550</v>
      </c>
      <c r="AI54" s="16"/>
      <c r="AJ54" s="16"/>
      <c r="AK54" s="16">
        <v>900</v>
      </c>
      <c r="AL54" s="16">
        <v>189</v>
      </c>
      <c r="AM54" s="16">
        <v>1</v>
      </c>
      <c r="AN54" s="16"/>
      <c r="BC54" s="13"/>
      <c r="BD54" s="13"/>
      <c r="BE54" s="13"/>
      <c r="BF54" s="13"/>
      <c r="BG54" s="13"/>
      <c r="BH54" s="13"/>
      <c r="BI54" s="13"/>
      <c r="BJ54" s="13"/>
      <c r="BK54" s="13"/>
      <c r="BL54" s="13"/>
      <c r="BM54" s="13"/>
      <c r="BN54" s="13"/>
    </row>
    <row r="55" spans="1:66" x14ac:dyDescent="0.25">
      <c r="A55" s="22">
        <v>53</v>
      </c>
      <c r="B55" s="23">
        <v>1319.7070190083753</v>
      </c>
      <c r="C55" s="24">
        <v>457.42516503421524</v>
      </c>
      <c r="AH55" s="16">
        <v>1575</v>
      </c>
      <c r="AI55" s="16"/>
      <c r="AJ55" s="16"/>
      <c r="AK55" s="16">
        <v>900</v>
      </c>
      <c r="AL55" s="16">
        <v>243</v>
      </c>
      <c r="AM55" s="16">
        <v>0</v>
      </c>
      <c r="AN55" s="16"/>
      <c r="BC55" s="13"/>
      <c r="BD55" s="13"/>
      <c r="BE55" s="13"/>
      <c r="BF55" s="13"/>
      <c r="BG55" s="13"/>
      <c r="BH55" s="13"/>
      <c r="BI55" s="13"/>
      <c r="BJ55" s="13"/>
      <c r="BK55" s="13"/>
      <c r="BL55" s="13"/>
      <c r="BM55" s="13"/>
      <c r="BN55" s="13"/>
    </row>
    <row r="56" spans="1:66" x14ac:dyDescent="0.25">
      <c r="A56" s="22">
        <v>54</v>
      </c>
      <c r="B56" s="23">
        <v>1376.4546746890865</v>
      </c>
      <c r="C56" s="24">
        <v>580.26817243576147</v>
      </c>
      <c r="AH56" s="16">
        <v>1600</v>
      </c>
      <c r="AI56" s="16"/>
      <c r="AJ56" s="16"/>
      <c r="AK56" s="16">
        <v>925</v>
      </c>
      <c r="AL56" s="16">
        <v>243</v>
      </c>
      <c r="AM56" s="16"/>
      <c r="AN56" s="16"/>
      <c r="BC56" s="13"/>
      <c r="BD56" s="13"/>
      <c r="BE56" s="13"/>
      <c r="BF56" s="13"/>
      <c r="BG56" s="13"/>
      <c r="BH56" s="13"/>
      <c r="BI56" s="13"/>
      <c r="BJ56" s="13"/>
      <c r="BK56" s="13"/>
      <c r="BL56" s="13"/>
      <c r="BM56" s="13"/>
      <c r="BN56" s="13"/>
    </row>
    <row r="57" spans="1:66" x14ac:dyDescent="0.25">
      <c r="A57" s="22">
        <v>55</v>
      </c>
      <c r="B57" s="23">
        <v>953.87154232296723</v>
      </c>
      <c r="C57" s="24">
        <v>394.52510970583177</v>
      </c>
      <c r="AH57" s="16">
        <v>1625</v>
      </c>
      <c r="AI57" s="16"/>
      <c r="AJ57" s="16"/>
      <c r="AK57" s="16">
        <v>925</v>
      </c>
      <c r="AL57" s="16">
        <v>277</v>
      </c>
      <c r="AM57" s="16"/>
      <c r="AN57" s="16"/>
      <c r="BC57" s="13"/>
      <c r="BD57" s="13"/>
      <c r="BE57" s="13"/>
      <c r="BF57" s="13"/>
      <c r="BG57" s="13"/>
      <c r="BH57" s="13"/>
      <c r="BI57" s="13"/>
      <c r="BJ57" s="13"/>
      <c r="BK57" s="13"/>
      <c r="BL57" s="13"/>
      <c r="BM57" s="13"/>
      <c r="BN57" s="13"/>
    </row>
    <row r="58" spans="1:66" x14ac:dyDescent="0.25">
      <c r="A58" s="22">
        <v>56</v>
      </c>
      <c r="B58" s="23">
        <v>768.59347988811658</v>
      </c>
      <c r="C58" s="24">
        <v>459.78185167115299</v>
      </c>
      <c r="AH58" s="16">
        <v>1650</v>
      </c>
      <c r="AI58" s="16"/>
      <c r="AJ58" s="16"/>
      <c r="AK58" s="16">
        <v>950</v>
      </c>
      <c r="AL58" s="16">
        <v>277</v>
      </c>
      <c r="AM58" s="16"/>
      <c r="AN58" s="16"/>
      <c r="BC58" s="13"/>
      <c r="BD58" s="13"/>
      <c r="BE58" s="13"/>
      <c r="BF58" s="13"/>
      <c r="BG58" s="13"/>
      <c r="BH58" s="13"/>
      <c r="BI58" s="13"/>
      <c r="BJ58" s="13"/>
      <c r="BK58" s="13"/>
      <c r="BL58" s="13"/>
      <c r="BM58" s="13"/>
      <c r="BN58" s="13"/>
    </row>
    <row r="59" spans="1:66" x14ac:dyDescent="0.25">
      <c r="A59" s="22">
        <v>57</v>
      </c>
      <c r="B59" s="23">
        <v>1011.2623385316112</v>
      </c>
      <c r="C59" s="24">
        <v>496.75100186901534</v>
      </c>
      <c r="AH59" s="16">
        <v>1675</v>
      </c>
      <c r="AI59" s="16"/>
      <c r="AJ59" s="16"/>
      <c r="AK59" s="16">
        <v>950</v>
      </c>
      <c r="AL59" s="16">
        <v>317</v>
      </c>
      <c r="AM59" s="16"/>
      <c r="AN59" s="16"/>
      <c r="BC59" s="13"/>
      <c r="BD59" s="13"/>
      <c r="BE59" s="13"/>
      <c r="BF59" s="13"/>
      <c r="BG59" s="13"/>
      <c r="BH59" s="13"/>
      <c r="BI59" s="13"/>
      <c r="BJ59" s="13"/>
      <c r="BK59" s="13"/>
      <c r="BL59" s="13"/>
      <c r="BM59" s="13"/>
      <c r="BN59" s="13"/>
    </row>
    <row r="60" spans="1:66" x14ac:dyDescent="0.25">
      <c r="A60" s="22">
        <v>58</v>
      </c>
      <c r="B60" s="23">
        <v>1306.6189131295623</v>
      </c>
      <c r="C60" s="24">
        <v>495.14931552947661</v>
      </c>
      <c r="AH60" s="16">
        <v>1700</v>
      </c>
      <c r="AI60" s="16"/>
      <c r="AJ60" s="16"/>
      <c r="AK60" s="16">
        <v>975</v>
      </c>
      <c r="AL60" s="16">
        <v>317</v>
      </c>
      <c r="AM60" s="16"/>
      <c r="AN60" s="16"/>
      <c r="BC60" s="13"/>
      <c r="BD60" s="13"/>
      <c r="BE60" s="13"/>
      <c r="BF60" s="13"/>
      <c r="BG60" s="13"/>
      <c r="BH60" s="13"/>
      <c r="BI60" s="13"/>
      <c r="BJ60" s="13"/>
      <c r="BK60" s="13"/>
      <c r="BL60" s="13"/>
      <c r="BM60" s="13"/>
      <c r="BN60" s="13"/>
    </row>
    <row r="61" spans="1:66" x14ac:dyDescent="0.25">
      <c r="A61" s="22">
        <v>59</v>
      </c>
      <c r="B61" s="23">
        <v>1176.710042565906</v>
      </c>
      <c r="C61" s="24">
        <v>599.36399843147319</v>
      </c>
      <c r="AH61" s="16">
        <v>1725</v>
      </c>
      <c r="AI61" s="16"/>
      <c r="AJ61" s="16"/>
      <c r="AK61" s="16">
        <v>975</v>
      </c>
      <c r="AL61" s="16">
        <v>417</v>
      </c>
      <c r="AM61" s="16"/>
      <c r="AN61" s="16"/>
      <c r="BC61" s="13"/>
      <c r="BD61" s="13"/>
      <c r="BE61" s="13"/>
      <c r="BF61" s="13"/>
      <c r="BG61" s="13"/>
      <c r="BH61" s="13"/>
      <c r="BI61" s="13"/>
      <c r="BJ61" s="13"/>
      <c r="BK61" s="13"/>
      <c r="BL61" s="13"/>
      <c r="BM61" s="13"/>
      <c r="BN61" s="13"/>
    </row>
    <row r="62" spans="1:66" x14ac:dyDescent="0.25">
      <c r="A62" s="22">
        <v>60</v>
      </c>
      <c r="B62" s="23">
        <v>1027.3280089369916</v>
      </c>
      <c r="C62" s="24">
        <v>412.27880738132069</v>
      </c>
      <c r="AH62" s="16">
        <v>1750</v>
      </c>
      <c r="AI62" s="16"/>
      <c r="AJ62" s="16"/>
      <c r="AK62" s="16">
        <v>1000</v>
      </c>
      <c r="AL62" s="16">
        <v>417</v>
      </c>
      <c r="AM62" s="16"/>
      <c r="AN62" s="16"/>
      <c r="BC62" s="13"/>
      <c r="BD62" s="13"/>
      <c r="BE62" s="13"/>
      <c r="BF62" s="13"/>
      <c r="BG62" s="13"/>
      <c r="BH62" s="13"/>
      <c r="BI62" s="13"/>
      <c r="BJ62" s="13"/>
      <c r="BK62" s="13"/>
      <c r="BL62" s="13"/>
      <c r="BM62" s="13"/>
      <c r="BN62" s="13"/>
    </row>
    <row r="63" spans="1:66" x14ac:dyDescent="0.25">
      <c r="A63" s="22">
        <v>61</v>
      </c>
      <c r="B63" s="23">
        <v>1179.8840727976519</v>
      </c>
      <c r="C63" s="24">
        <v>541.86670329313415</v>
      </c>
      <c r="AH63" s="16">
        <v>1775</v>
      </c>
      <c r="AI63" s="16"/>
      <c r="AJ63" s="16"/>
      <c r="AK63" s="16">
        <v>1000</v>
      </c>
      <c r="AL63" s="16">
        <v>446</v>
      </c>
      <c r="AM63" s="16"/>
      <c r="AN63" s="16"/>
      <c r="BC63" s="13"/>
      <c r="BD63" s="13"/>
      <c r="BE63" s="13"/>
      <c r="BF63" s="13"/>
      <c r="BG63" s="13"/>
      <c r="BH63" s="13"/>
      <c r="BI63" s="13"/>
      <c r="BJ63" s="13"/>
      <c r="BK63" s="13"/>
      <c r="BL63" s="13"/>
      <c r="BM63" s="13"/>
      <c r="BN63" s="13"/>
    </row>
    <row r="64" spans="1:66" x14ac:dyDescent="0.25">
      <c r="A64" s="22">
        <v>62</v>
      </c>
      <c r="B64" s="23">
        <v>1083.1850477571952</v>
      </c>
      <c r="C64" s="24">
        <v>431.41702784069201</v>
      </c>
      <c r="AH64" s="16">
        <v>1800</v>
      </c>
      <c r="AI64" s="16"/>
      <c r="AJ64" s="16"/>
      <c r="AK64" s="16">
        <v>1025</v>
      </c>
      <c r="AL64" s="16">
        <v>446</v>
      </c>
      <c r="AM64" s="16"/>
      <c r="AN64" s="16"/>
      <c r="BC64" s="13"/>
      <c r="BD64" s="13"/>
      <c r="BE64" s="13"/>
      <c r="BF64" s="13"/>
      <c r="BG64" s="13"/>
      <c r="BH64" s="13"/>
      <c r="BI64" s="13"/>
      <c r="BJ64" s="13"/>
      <c r="BK64" s="13"/>
      <c r="BL64" s="13"/>
      <c r="BM64" s="13"/>
      <c r="BN64" s="13"/>
    </row>
    <row r="65" spans="1:66" x14ac:dyDescent="0.25">
      <c r="A65" s="22">
        <v>63</v>
      </c>
      <c r="B65" s="23">
        <v>891.86549309964346</v>
      </c>
      <c r="C65" s="24">
        <v>428.31571468733654</v>
      </c>
      <c r="AH65" s="16">
        <v>1825</v>
      </c>
      <c r="AI65" s="16"/>
      <c r="AJ65" s="16"/>
      <c r="AK65" s="16">
        <v>1025</v>
      </c>
      <c r="AL65" s="16">
        <v>491</v>
      </c>
      <c r="AM65" s="16"/>
      <c r="AN65" s="16"/>
      <c r="BC65" s="13"/>
      <c r="BD65" s="13"/>
      <c r="BE65" s="13"/>
      <c r="BF65" s="13"/>
      <c r="BG65" s="13"/>
      <c r="BH65" s="13"/>
      <c r="BI65" s="13"/>
      <c r="BJ65" s="13"/>
      <c r="BK65" s="13"/>
      <c r="BL65" s="13"/>
      <c r="BM65" s="13"/>
      <c r="BN65" s="13"/>
    </row>
    <row r="66" spans="1:66" x14ac:dyDescent="0.25">
      <c r="A66" s="22">
        <v>64</v>
      </c>
      <c r="B66" s="23">
        <v>972.38690049840056</v>
      </c>
      <c r="C66" s="24">
        <v>451.08517730502717</v>
      </c>
      <c r="AH66" s="16">
        <v>1850</v>
      </c>
      <c r="AI66" s="16"/>
      <c r="AJ66" s="16"/>
      <c r="AK66" s="16">
        <v>1050</v>
      </c>
      <c r="AL66" s="16">
        <v>491</v>
      </c>
      <c r="AM66" s="16"/>
      <c r="AN66" s="16"/>
      <c r="BC66" s="13"/>
      <c r="BD66" s="13"/>
      <c r="BE66" s="13"/>
      <c r="BF66" s="13"/>
      <c r="BG66" s="13"/>
      <c r="BH66" s="13"/>
      <c r="BI66" s="13"/>
      <c r="BJ66" s="13"/>
      <c r="BK66" s="13"/>
      <c r="BL66" s="13"/>
      <c r="BM66" s="13"/>
      <c r="BN66" s="13"/>
    </row>
    <row r="67" spans="1:66" x14ac:dyDescent="0.25">
      <c r="A67" s="22">
        <v>65</v>
      </c>
      <c r="B67" s="23">
        <v>1245.389536753293</v>
      </c>
      <c r="C67" s="24">
        <v>488.34895561719975</v>
      </c>
      <c r="AH67" s="16">
        <v>1875</v>
      </c>
      <c r="AI67" s="16"/>
      <c r="AJ67" s="16"/>
      <c r="AK67" s="16">
        <v>1050</v>
      </c>
      <c r="AL67" s="16">
        <v>525</v>
      </c>
      <c r="AM67" s="16"/>
      <c r="AN67" s="16"/>
      <c r="BC67" s="13"/>
      <c r="BD67" s="13"/>
      <c r="BE67" s="13"/>
      <c r="BF67" s="13"/>
      <c r="BG67" s="13"/>
      <c r="BH67" s="13"/>
      <c r="BI67" s="13"/>
      <c r="BJ67" s="13"/>
      <c r="BK67" s="13"/>
      <c r="BL67" s="13"/>
      <c r="BM67" s="13"/>
      <c r="BN67" s="13"/>
    </row>
    <row r="68" spans="1:66" x14ac:dyDescent="0.25">
      <c r="A68" s="22">
        <v>66</v>
      </c>
      <c r="B68" s="23">
        <v>1479.6713314631625</v>
      </c>
      <c r="C68" s="24">
        <v>470.21589408176322</v>
      </c>
      <c r="AH68" s="13">
        <v>1900</v>
      </c>
      <c r="AK68" s="13">
        <v>1075</v>
      </c>
      <c r="AL68" s="13">
        <v>525</v>
      </c>
      <c r="BC68" s="13"/>
      <c r="BD68" s="13"/>
      <c r="BE68" s="13"/>
      <c r="BF68" s="13"/>
      <c r="BG68" s="13"/>
      <c r="BH68" s="13"/>
      <c r="BI68" s="13"/>
      <c r="BJ68" s="13"/>
      <c r="BK68" s="13"/>
      <c r="BL68" s="13"/>
      <c r="BM68" s="13"/>
      <c r="BN68" s="13"/>
    </row>
    <row r="69" spans="1:66" x14ac:dyDescent="0.25">
      <c r="A69" s="22">
        <v>67</v>
      </c>
      <c r="B69" s="23">
        <v>1072.6967115702389</v>
      </c>
      <c r="C69" s="24">
        <v>487.43204454797473</v>
      </c>
      <c r="AH69" s="13">
        <v>1925</v>
      </c>
      <c r="AK69" s="13">
        <v>1075</v>
      </c>
      <c r="AL69" s="13">
        <v>576</v>
      </c>
      <c r="BC69" s="13"/>
      <c r="BD69" s="13"/>
      <c r="BE69" s="13"/>
      <c r="BF69" s="13"/>
      <c r="BG69" s="13"/>
      <c r="BH69" s="13"/>
      <c r="BI69" s="13"/>
      <c r="BJ69" s="13"/>
      <c r="BK69" s="13"/>
      <c r="BL69" s="13"/>
      <c r="BM69" s="13"/>
      <c r="BN69" s="13"/>
    </row>
    <row r="70" spans="1:66" x14ac:dyDescent="0.25">
      <c r="A70" s="22">
        <v>68</v>
      </c>
      <c r="B70" s="23">
        <v>945.40726527327774</v>
      </c>
      <c r="C70" s="24">
        <v>503.59142942866396</v>
      </c>
      <c r="AH70" s="13">
        <v>1950</v>
      </c>
      <c r="AK70" s="13">
        <v>1100</v>
      </c>
      <c r="AL70" s="13">
        <v>576</v>
      </c>
      <c r="BC70" s="13"/>
      <c r="BD70" s="13"/>
      <c r="BE70" s="13"/>
      <c r="BF70" s="13"/>
      <c r="BG70" s="13"/>
      <c r="BH70" s="13"/>
      <c r="BI70" s="13"/>
      <c r="BJ70" s="13"/>
      <c r="BK70" s="13"/>
      <c r="BL70" s="13"/>
      <c r="BM70" s="13"/>
      <c r="BN70" s="13"/>
    </row>
    <row r="71" spans="1:66" x14ac:dyDescent="0.25">
      <c r="A71" s="22">
        <v>69</v>
      </c>
      <c r="B71" s="23">
        <v>1034.7079697167001</v>
      </c>
      <c r="C71" s="24">
        <v>585.30916271027047</v>
      </c>
      <c r="AH71" s="13">
        <v>1975</v>
      </c>
      <c r="AK71" s="13">
        <v>1100</v>
      </c>
      <c r="AL71" s="13">
        <v>569</v>
      </c>
      <c r="BC71" s="13"/>
      <c r="BD71" s="13"/>
      <c r="BE71" s="13"/>
      <c r="BF71" s="13"/>
      <c r="BG71" s="13"/>
      <c r="BH71" s="13"/>
      <c r="BI71" s="13"/>
      <c r="BJ71" s="13"/>
      <c r="BK71" s="13"/>
      <c r="BL71" s="13"/>
      <c r="BM71" s="13"/>
      <c r="BN71" s="13"/>
    </row>
    <row r="72" spans="1:66" x14ac:dyDescent="0.25">
      <c r="A72" s="22">
        <v>70</v>
      </c>
      <c r="B72" s="23">
        <v>863.96985293569639</v>
      </c>
      <c r="C72" s="24">
        <v>458.93600031553245</v>
      </c>
      <c r="AH72" s="13">
        <v>2000</v>
      </c>
      <c r="AK72" s="13">
        <v>1125</v>
      </c>
      <c r="AL72" s="13">
        <v>569</v>
      </c>
      <c r="BC72" s="13"/>
      <c r="BD72" s="13"/>
      <c r="BE72" s="13"/>
      <c r="BF72" s="13"/>
      <c r="BG72" s="13"/>
      <c r="BH72" s="13"/>
      <c r="BI72" s="13"/>
      <c r="BJ72" s="13"/>
      <c r="BK72" s="13"/>
      <c r="BL72" s="13"/>
      <c r="BM72" s="13"/>
      <c r="BN72" s="13"/>
    </row>
    <row r="73" spans="1:66" x14ac:dyDescent="0.25">
      <c r="A73" s="22">
        <v>71</v>
      </c>
      <c r="B73" s="23">
        <v>1211.4255068955736</v>
      </c>
      <c r="C73" s="24">
        <v>530.58955032848246</v>
      </c>
      <c r="AH73" s="13">
        <v>2025</v>
      </c>
      <c r="AK73" s="13">
        <v>1125</v>
      </c>
      <c r="AL73" s="13">
        <v>578</v>
      </c>
      <c r="BC73" s="13"/>
      <c r="BD73" s="13"/>
      <c r="BE73" s="13"/>
      <c r="BF73" s="13"/>
      <c r="BG73" s="13"/>
      <c r="BH73" s="13"/>
      <c r="BI73" s="13"/>
      <c r="BJ73" s="13"/>
      <c r="BK73" s="13"/>
      <c r="BL73" s="13"/>
      <c r="BM73" s="13"/>
      <c r="BN73" s="13"/>
    </row>
    <row r="74" spans="1:66" x14ac:dyDescent="0.25">
      <c r="A74" s="22">
        <v>72</v>
      </c>
      <c r="B74" s="23">
        <v>1312.5122286165301</v>
      </c>
      <c r="C74" s="24">
        <v>458.04007731343404</v>
      </c>
      <c r="AH74" s="13">
        <v>2050</v>
      </c>
      <c r="AK74" s="13">
        <v>1150</v>
      </c>
      <c r="AL74" s="13">
        <v>578</v>
      </c>
      <c r="BC74" s="13"/>
      <c r="BD74" s="13"/>
      <c r="BE74" s="13"/>
      <c r="BF74" s="13"/>
      <c r="BG74" s="13"/>
      <c r="BH74" s="13"/>
      <c r="BI74" s="13"/>
      <c r="BJ74" s="13"/>
      <c r="BK74" s="13"/>
      <c r="BL74" s="13"/>
      <c r="BM74" s="13"/>
      <c r="BN74" s="13"/>
    </row>
    <row r="75" spans="1:66" x14ac:dyDescent="0.25">
      <c r="A75" s="22">
        <v>73</v>
      </c>
      <c r="B75" s="23">
        <v>1476.3828695882314</v>
      </c>
      <c r="C75" s="24">
        <v>406.19202714081644</v>
      </c>
      <c r="AH75" s="13">
        <v>2075</v>
      </c>
      <c r="AK75" s="13">
        <v>1150</v>
      </c>
      <c r="AL75" s="13">
        <v>569</v>
      </c>
      <c r="BC75" s="13"/>
      <c r="BD75" s="13"/>
      <c r="BE75" s="13"/>
      <c r="BF75" s="13"/>
      <c r="BG75" s="13"/>
      <c r="BH75" s="13"/>
      <c r="BI75" s="13"/>
      <c r="BJ75" s="13"/>
      <c r="BK75" s="13"/>
      <c r="BL75" s="13"/>
      <c r="BM75" s="13"/>
      <c r="BN75" s="13"/>
    </row>
    <row r="76" spans="1:66" x14ac:dyDescent="0.25">
      <c r="A76" s="22">
        <v>74</v>
      </c>
      <c r="B76" s="23">
        <v>1043.5230336364209</v>
      </c>
      <c r="C76" s="24">
        <v>446.26825608362554</v>
      </c>
      <c r="AH76" s="13">
        <v>2100</v>
      </c>
      <c r="AK76" s="13">
        <v>1175</v>
      </c>
      <c r="AL76" s="13">
        <v>569</v>
      </c>
      <c r="BC76" s="13"/>
      <c r="BD76" s="13"/>
      <c r="BE76" s="13"/>
      <c r="BF76" s="13"/>
      <c r="BG76" s="13"/>
      <c r="BH76" s="13"/>
      <c r="BI76" s="13"/>
      <c r="BJ76" s="13"/>
      <c r="BK76" s="13"/>
      <c r="BL76" s="13"/>
      <c r="BM76" s="13"/>
      <c r="BN76" s="13"/>
    </row>
    <row r="77" spans="1:66" x14ac:dyDescent="0.25">
      <c r="A77" s="22">
        <v>75</v>
      </c>
      <c r="B77" s="23">
        <v>1145.1351160817078</v>
      </c>
      <c r="C77" s="24">
        <v>598.78975792143012</v>
      </c>
      <c r="AH77" s="13">
        <v>2125</v>
      </c>
      <c r="AK77" s="13">
        <v>1175</v>
      </c>
      <c r="AL77" s="13">
        <v>567</v>
      </c>
      <c r="BC77" s="13"/>
      <c r="BD77" s="13"/>
      <c r="BE77" s="13"/>
      <c r="BF77" s="13"/>
      <c r="BG77" s="13"/>
      <c r="BH77" s="13"/>
      <c r="BI77" s="13"/>
      <c r="BJ77" s="13"/>
      <c r="BK77" s="13"/>
      <c r="BL77" s="13"/>
      <c r="BM77" s="13"/>
      <c r="BN77" s="13"/>
    </row>
    <row r="78" spans="1:66" x14ac:dyDescent="0.25">
      <c r="A78" s="22">
        <v>76</v>
      </c>
      <c r="B78" s="23">
        <v>1054.2864195358045</v>
      </c>
      <c r="C78" s="24">
        <v>443.0267314096493</v>
      </c>
      <c r="AK78" s="13">
        <v>1200</v>
      </c>
      <c r="AL78" s="13">
        <v>567</v>
      </c>
      <c r="BC78" s="13"/>
      <c r="BD78" s="13"/>
      <c r="BE78" s="13"/>
      <c r="BF78" s="13"/>
      <c r="BG78" s="13"/>
      <c r="BH78" s="13"/>
      <c r="BI78" s="13"/>
      <c r="BJ78" s="13"/>
      <c r="BK78" s="13"/>
      <c r="BL78" s="13"/>
      <c r="BM78" s="13"/>
      <c r="BN78" s="13"/>
    </row>
    <row r="79" spans="1:66" x14ac:dyDescent="0.25">
      <c r="A79" s="22">
        <v>77</v>
      </c>
      <c r="B79" s="23">
        <v>895.40088736131179</v>
      </c>
      <c r="C79" s="24">
        <v>656.62184689315882</v>
      </c>
      <c r="AK79" s="13">
        <v>1200</v>
      </c>
      <c r="AL79" s="13">
        <v>504</v>
      </c>
      <c r="BC79" s="13"/>
      <c r="BD79" s="13"/>
      <c r="BE79" s="13"/>
      <c r="BF79" s="13"/>
      <c r="BG79" s="13"/>
      <c r="BH79" s="13"/>
      <c r="BI79" s="13"/>
      <c r="BJ79" s="13"/>
      <c r="BK79" s="13"/>
      <c r="BL79" s="13"/>
      <c r="BM79" s="13"/>
      <c r="BN79" s="13"/>
    </row>
    <row r="80" spans="1:66" x14ac:dyDescent="0.25">
      <c r="A80" s="22">
        <v>78</v>
      </c>
      <c r="B80" s="23">
        <v>1281.7375551442665</v>
      </c>
      <c r="C80" s="24">
        <v>399.40693869484585</v>
      </c>
      <c r="AK80" s="13">
        <v>1225</v>
      </c>
      <c r="AL80" s="13">
        <v>504</v>
      </c>
      <c r="BC80" s="13"/>
      <c r="BD80" s="13"/>
      <c r="BE80" s="13"/>
      <c r="BF80" s="13"/>
      <c r="BG80" s="13"/>
      <c r="BH80" s="13"/>
      <c r="BI80" s="13"/>
      <c r="BJ80" s="13"/>
      <c r="BK80" s="13"/>
      <c r="BL80" s="13"/>
      <c r="BM80" s="13"/>
      <c r="BN80" s="13"/>
    </row>
    <row r="81" spans="1:66" x14ac:dyDescent="0.25">
      <c r="A81" s="22">
        <v>79</v>
      </c>
      <c r="B81" s="23">
        <v>1090.8598173498783</v>
      </c>
      <c r="C81" s="24">
        <v>406.12884290167273</v>
      </c>
      <c r="AK81" s="13">
        <v>1225</v>
      </c>
      <c r="AL81" s="13">
        <v>462</v>
      </c>
      <c r="BC81" s="13"/>
      <c r="BD81" s="13"/>
      <c r="BE81" s="13"/>
      <c r="BF81" s="13"/>
      <c r="BG81" s="13"/>
      <c r="BH81" s="13"/>
      <c r="BI81" s="13"/>
      <c r="BJ81" s="13"/>
      <c r="BK81" s="13"/>
      <c r="BL81" s="13"/>
      <c r="BM81" s="13"/>
      <c r="BN81" s="13"/>
    </row>
    <row r="82" spans="1:66" x14ac:dyDescent="0.25">
      <c r="A82" s="22">
        <v>80</v>
      </c>
      <c r="B82" s="23">
        <v>1071.0323376883355</v>
      </c>
      <c r="C82" s="24">
        <v>565.24455293569918</v>
      </c>
      <c r="AK82" s="13">
        <v>1250</v>
      </c>
      <c r="AL82" s="13">
        <v>462</v>
      </c>
      <c r="BC82" s="13"/>
      <c r="BD82" s="13"/>
      <c r="BE82" s="13"/>
      <c r="BF82" s="13"/>
      <c r="BG82" s="13"/>
      <c r="BH82" s="13"/>
      <c r="BI82" s="13"/>
      <c r="BJ82" s="13"/>
      <c r="BK82" s="13"/>
      <c r="BL82" s="13"/>
      <c r="BM82" s="13"/>
      <c r="BN82" s="13"/>
    </row>
    <row r="83" spans="1:66" x14ac:dyDescent="0.25">
      <c r="A83" s="22">
        <v>81</v>
      </c>
      <c r="B83" s="23">
        <v>1194.2410542998932</v>
      </c>
      <c r="C83" s="24">
        <v>544.11877731318441</v>
      </c>
      <c r="AK83" s="13">
        <v>1250</v>
      </c>
      <c r="AL83" s="13">
        <v>422</v>
      </c>
      <c r="BC83" s="13"/>
      <c r="BD83" s="13"/>
      <c r="BE83" s="13"/>
      <c r="BF83" s="13"/>
      <c r="BG83" s="13"/>
      <c r="BH83" s="13"/>
      <c r="BI83" s="13"/>
      <c r="BJ83" s="13"/>
      <c r="BK83" s="13"/>
      <c r="BL83" s="13"/>
      <c r="BM83" s="13"/>
      <c r="BN83" s="13"/>
    </row>
    <row r="84" spans="1:66" x14ac:dyDescent="0.25">
      <c r="A84" s="22">
        <v>82</v>
      </c>
      <c r="B84" s="23">
        <v>875.15972780988068</v>
      </c>
      <c r="C84" s="24">
        <v>370.32543439566598</v>
      </c>
      <c r="AK84" s="13">
        <v>1275</v>
      </c>
      <c r="AL84" s="13">
        <v>422</v>
      </c>
      <c r="BC84" s="13"/>
      <c r="BD84" s="13"/>
      <c r="BE84" s="13"/>
      <c r="BF84" s="13"/>
      <c r="BG84" s="13"/>
      <c r="BH84" s="13"/>
      <c r="BI84" s="13"/>
      <c r="BJ84" s="13"/>
      <c r="BK84" s="13"/>
      <c r="BL84" s="13"/>
      <c r="BM84" s="13"/>
      <c r="BN84" s="13"/>
    </row>
    <row r="85" spans="1:66" x14ac:dyDescent="0.25">
      <c r="A85" s="22">
        <v>83</v>
      </c>
      <c r="B85" s="23">
        <v>1237.9204142612468</v>
      </c>
      <c r="C85" s="24">
        <v>589.54047757492242</v>
      </c>
      <c r="AK85" s="13">
        <v>1275</v>
      </c>
      <c r="AL85" s="13">
        <v>352</v>
      </c>
      <c r="BC85" s="13"/>
      <c r="BD85" s="13"/>
      <c r="BE85" s="13"/>
      <c r="BF85" s="13"/>
      <c r="BG85" s="13"/>
      <c r="BH85" s="13"/>
      <c r="BI85" s="13"/>
      <c r="BJ85" s="13"/>
      <c r="BK85" s="13"/>
      <c r="BL85" s="13"/>
      <c r="BM85" s="13"/>
      <c r="BN85" s="13"/>
    </row>
    <row r="86" spans="1:66" x14ac:dyDescent="0.25">
      <c r="A86" s="22">
        <v>84</v>
      </c>
      <c r="B86" s="23">
        <v>1564.170162539873</v>
      </c>
      <c r="C86" s="24">
        <v>352.42239285535061</v>
      </c>
      <c r="AK86" s="13">
        <v>1300</v>
      </c>
      <c r="AL86" s="13">
        <v>352</v>
      </c>
      <c r="BC86" s="13"/>
      <c r="BD86" s="13"/>
      <c r="BE86" s="13"/>
      <c r="BF86" s="13"/>
      <c r="BG86" s="13"/>
      <c r="BH86" s="13"/>
      <c r="BI86" s="13"/>
      <c r="BJ86" s="13"/>
      <c r="BK86" s="13"/>
      <c r="BL86" s="13"/>
      <c r="BM86" s="13"/>
      <c r="BN86" s="13"/>
    </row>
    <row r="87" spans="1:66" x14ac:dyDescent="0.25">
      <c r="A87" s="22">
        <v>85</v>
      </c>
      <c r="B87" s="23">
        <v>1208.7696065625232</v>
      </c>
      <c r="C87" s="24">
        <v>594.4374728427149</v>
      </c>
      <c r="AK87" s="13">
        <v>1300</v>
      </c>
      <c r="AL87" s="13">
        <v>344</v>
      </c>
      <c r="BC87" s="13"/>
      <c r="BD87" s="13"/>
      <c r="BE87" s="13"/>
      <c r="BF87" s="13"/>
      <c r="BG87" s="13"/>
      <c r="BH87" s="13"/>
      <c r="BI87" s="13"/>
      <c r="BJ87" s="13"/>
      <c r="BK87" s="13"/>
      <c r="BL87" s="13"/>
      <c r="BM87" s="13"/>
      <c r="BN87" s="13"/>
    </row>
    <row r="88" spans="1:66" x14ac:dyDescent="0.25">
      <c r="A88" s="22">
        <v>86</v>
      </c>
      <c r="B88" s="23">
        <v>1161.7182890263493</v>
      </c>
      <c r="C88" s="24">
        <v>561.85426532938629</v>
      </c>
      <c r="AK88" s="13">
        <v>1325</v>
      </c>
      <c r="AL88" s="13">
        <v>344</v>
      </c>
      <c r="BC88" s="13"/>
      <c r="BD88" s="13"/>
      <c r="BE88" s="13"/>
      <c r="BF88" s="13"/>
      <c r="BG88" s="13"/>
      <c r="BH88" s="13"/>
      <c r="BI88" s="13"/>
      <c r="BJ88" s="13"/>
      <c r="BK88" s="13"/>
      <c r="BL88" s="13"/>
      <c r="BM88" s="13"/>
      <c r="BN88" s="13"/>
    </row>
    <row r="89" spans="1:66" x14ac:dyDescent="0.25">
      <c r="A89" s="22">
        <v>87</v>
      </c>
      <c r="B89" s="23">
        <v>1073.1334164173713</v>
      </c>
      <c r="C89" s="24">
        <v>456.19272636811269</v>
      </c>
      <c r="AK89" s="13">
        <v>1325</v>
      </c>
      <c r="AL89" s="13">
        <v>282</v>
      </c>
      <c r="BC89" s="13"/>
      <c r="BD89" s="13"/>
      <c r="BE89" s="13"/>
      <c r="BF89" s="13"/>
      <c r="BG89" s="13"/>
      <c r="BH89" s="13"/>
      <c r="BI89" s="13"/>
      <c r="BJ89" s="13"/>
      <c r="BK89" s="13"/>
      <c r="BL89" s="13"/>
      <c r="BM89" s="13"/>
      <c r="BN89" s="13"/>
    </row>
    <row r="90" spans="1:66" x14ac:dyDescent="0.25">
      <c r="A90" s="22">
        <v>88</v>
      </c>
      <c r="B90" s="23">
        <v>1051.3184169414792</v>
      </c>
      <c r="C90" s="24">
        <v>512.98058032756467</v>
      </c>
      <c r="AK90" s="13">
        <v>1350</v>
      </c>
      <c r="AL90" s="13">
        <v>282</v>
      </c>
      <c r="BC90" s="13"/>
      <c r="BD90" s="13"/>
      <c r="BE90" s="13"/>
      <c r="BF90" s="13"/>
      <c r="BG90" s="13"/>
      <c r="BH90" s="13"/>
      <c r="BI90" s="13"/>
      <c r="BJ90" s="13"/>
      <c r="BK90" s="13"/>
      <c r="BL90" s="13"/>
      <c r="BM90" s="13"/>
      <c r="BN90" s="13"/>
    </row>
    <row r="91" spans="1:66" x14ac:dyDescent="0.25">
      <c r="A91" s="22">
        <v>89</v>
      </c>
      <c r="B91" s="23">
        <v>1125.2359277298781</v>
      </c>
      <c r="C91" s="24">
        <v>489.9526636872057</v>
      </c>
      <c r="AK91" s="13">
        <v>1350</v>
      </c>
      <c r="AL91" s="13">
        <v>256</v>
      </c>
      <c r="BC91" s="13"/>
      <c r="BD91" s="13"/>
      <c r="BE91" s="13"/>
      <c r="BF91" s="13"/>
      <c r="BG91" s="13"/>
      <c r="BH91" s="13"/>
      <c r="BI91" s="13"/>
      <c r="BJ91" s="13"/>
      <c r="BK91" s="13"/>
      <c r="BL91" s="13"/>
      <c r="BM91" s="13"/>
      <c r="BN91" s="13"/>
    </row>
    <row r="92" spans="1:66" x14ac:dyDescent="0.25">
      <c r="A92" s="22">
        <v>90</v>
      </c>
      <c r="B92" s="23">
        <v>1102.7941702986407</v>
      </c>
      <c r="C92" s="24">
        <v>411.3012605691689</v>
      </c>
      <c r="AK92" s="13">
        <v>1375</v>
      </c>
      <c r="AL92" s="13">
        <v>256</v>
      </c>
      <c r="BC92" s="13"/>
      <c r="BD92" s="13"/>
      <c r="BE92" s="13"/>
      <c r="BF92" s="13"/>
      <c r="BG92" s="13"/>
      <c r="BH92" s="13"/>
      <c r="BI92" s="13"/>
      <c r="BJ92" s="13"/>
      <c r="BK92" s="13"/>
      <c r="BL92" s="13"/>
      <c r="BM92" s="13"/>
      <c r="BN92" s="13"/>
    </row>
    <row r="93" spans="1:66" x14ac:dyDescent="0.25">
      <c r="A93" s="22">
        <v>91</v>
      </c>
      <c r="B93" s="23">
        <v>1185.0781261798468</v>
      </c>
      <c r="C93" s="24">
        <v>500.86127878932041</v>
      </c>
      <c r="AK93" s="13">
        <v>1375</v>
      </c>
      <c r="AL93" s="13">
        <v>213</v>
      </c>
      <c r="BC93" s="13"/>
      <c r="BD93" s="13"/>
      <c r="BE93" s="13"/>
      <c r="BF93" s="13"/>
      <c r="BG93" s="13"/>
      <c r="BH93" s="13"/>
      <c r="BI93" s="13"/>
      <c r="BJ93" s="13"/>
      <c r="BK93" s="13"/>
      <c r="BL93" s="13"/>
      <c r="BM93" s="13"/>
      <c r="BN93" s="13"/>
    </row>
    <row r="94" spans="1:66" x14ac:dyDescent="0.25">
      <c r="A94" s="22">
        <v>92</v>
      </c>
      <c r="B94" s="23">
        <v>1077.948541389944</v>
      </c>
      <c r="C94" s="24">
        <v>440.42247979852868</v>
      </c>
      <c r="AK94" s="13">
        <v>1400</v>
      </c>
      <c r="AL94" s="13">
        <v>213</v>
      </c>
      <c r="BC94" s="13"/>
      <c r="BD94" s="13"/>
      <c r="BE94" s="13"/>
      <c r="BF94" s="13"/>
      <c r="BG94" s="13"/>
      <c r="BH94" s="13"/>
      <c r="BI94" s="13"/>
      <c r="BJ94" s="13"/>
      <c r="BK94" s="13"/>
      <c r="BL94" s="13"/>
      <c r="BM94" s="13"/>
      <c r="BN94" s="13"/>
    </row>
    <row r="95" spans="1:66" x14ac:dyDescent="0.25">
      <c r="A95" s="22">
        <v>93</v>
      </c>
      <c r="B95" s="23">
        <v>1130.5911775799648</v>
      </c>
      <c r="C95" s="24">
        <v>410.25072018862028</v>
      </c>
      <c r="AK95" s="13">
        <v>1400</v>
      </c>
      <c r="AL95" s="13">
        <v>200</v>
      </c>
      <c r="BC95" s="13"/>
      <c r="BD95" s="13"/>
      <c r="BE95" s="13"/>
      <c r="BF95" s="13"/>
      <c r="BG95" s="13"/>
      <c r="BH95" s="13"/>
      <c r="BI95" s="13"/>
      <c r="BJ95" s="13"/>
      <c r="BK95" s="13"/>
      <c r="BL95" s="13"/>
      <c r="BM95" s="13"/>
      <c r="BN95" s="13"/>
    </row>
    <row r="96" spans="1:66" x14ac:dyDescent="0.25">
      <c r="A96" s="22">
        <v>94</v>
      </c>
      <c r="B96" s="23">
        <v>1142.8491031748024</v>
      </c>
      <c r="C96" s="24">
        <v>620.75027803847627</v>
      </c>
      <c r="AK96" s="13">
        <v>1425</v>
      </c>
      <c r="AL96" s="13">
        <v>200</v>
      </c>
      <c r="BC96" s="13"/>
      <c r="BD96" s="13"/>
      <c r="BE96" s="13"/>
      <c r="BF96" s="13"/>
      <c r="BG96" s="13"/>
      <c r="BH96" s="13"/>
      <c r="BI96" s="13"/>
      <c r="BJ96" s="13"/>
      <c r="BK96" s="13"/>
      <c r="BL96" s="13"/>
      <c r="BM96" s="13"/>
      <c r="BN96" s="13"/>
    </row>
    <row r="97" spans="1:66" x14ac:dyDescent="0.25">
      <c r="A97" s="22">
        <v>95</v>
      </c>
      <c r="B97" s="23">
        <v>1415.8708505320526</v>
      </c>
      <c r="C97" s="24">
        <v>572.47458947640439</v>
      </c>
      <c r="AK97" s="13">
        <v>1425</v>
      </c>
      <c r="AL97" s="13">
        <v>174</v>
      </c>
      <c r="BC97" s="13"/>
      <c r="BD97" s="13"/>
      <c r="BE97" s="13"/>
      <c r="BF97" s="13"/>
      <c r="BG97" s="13"/>
      <c r="BH97" s="13"/>
      <c r="BI97" s="13"/>
      <c r="BJ97" s="13"/>
      <c r="BK97" s="13"/>
      <c r="BL97" s="13"/>
      <c r="BM97" s="13"/>
      <c r="BN97" s="13"/>
    </row>
    <row r="98" spans="1:66" x14ac:dyDescent="0.25">
      <c r="A98" s="22">
        <v>96</v>
      </c>
      <c r="B98" s="23">
        <v>1105.4179790572277</v>
      </c>
      <c r="C98" s="24">
        <v>466.96536426046271</v>
      </c>
      <c r="AK98" s="13">
        <v>1450</v>
      </c>
      <c r="AL98" s="13">
        <v>174</v>
      </c>
      <c r="BC98" s="13"/>
      <c r="BD98" s="13"/>
      <c r="BE98" s="13"/>
      <c r="BF98" s="13"/>
      <c r="BG98" s="13"/>
      <c r="BH98" s="13"/>
      <c r="BI98" s="13"/>
      <c r="BJ98" s="13"/>
      <c r="BK98" s="13"/>
      <c r="BL98" s="13"/>
      <c r="BM98" s="13"/>
      <c r="BN98" s="13"/>
    </row>
    <row r="99" spans="1:66" x14ac:dyDescent="0.25">
      <c r="A99" s="22">
        <v>97</v>
      </c>
      <c r="B99" s="23">
        <v>996.68865879232851</v>
      </c>
      <c r="C99" s="24">
        <v>498.19492155936172</v>
      </c>
      <c r="AK99" s="13">
        <v>1450</v>
      </c>
      <c r="AL99" s="13">
        <v>129</v>
      </c>
      <c r="BC99" s="13"/>
      <c r="BD99" s="13"/>
      <c r="BE99" s="13"/>
      <c r="BF99" s="13"/>
      <c r="BG99" s="13"/>
      <c r="BH99" s="13"/>
      <c r="BI99" s="13"/>
      <c r="BJ99" s="13"/>
      <c r="BK99" s="13"/>
      <c r="BL99" s="13"/>
      <c r="BM99" s="13"/>
      <c r="BN99" s="13"/>
    </row>
    <row r="100" spans="1:66" x14ac:dyDescent="0.25">
      <c r="A100" s="22">
        <v>98</v>
      </c>
      <c r="B100" s="23">
        <v>1096.0119246709273</v>
      </c>
      <c r="C100" s="24">
        <v>511.28748940696653</v>
      </c>
      <c r="AK100" s="13">
        <v>1475</v>
      </c>
      <c r="AL100" s="13">
        <v>129</v>
      </c>
      <c r="BC100" s="13"/>
      <c r="BD100" s="13"/>
      <c r="BE100" s="13"/>
      <c r="BF100" s="13"/>
      <c r="BG100" s="13"/>
      <c r="BH100" s="13"/>
      <c r="BI100" s="13"/>
      <c r="BJ100" s="13"/>
      <c r="BK100" s="13"/>
      <c r="BL100" s="13"/>
      <c r="BM100" s="13"/>
      <c r="BN100" s="13"/>
    </row>
    <row r="101" spans="1:66" x14ac:dyDescent="0.25">
      <c r="A101" s="22">
        <v>99</v>
      </c>
      <c r="B101" s="23">
        <v>1349.5231939433627</v>
      </c>
      <c r="C101" s="24">
        <v>421.49578078907706</v>
      </c>
      <c r="AK101" s="13">
        <v>1475</v>
      </c>
      <c r="AL101" s="13">
        <v>96</v>
      </c>
      <c r="BC101" s="13"/>
      <c r="BD101" s="13"/>
      <c r="BE101" s="13"/>
      <c r="BF101" s="13"/>
      <c r="BG101" s="13"/>
      <c r="BH101" s="13"/>
      <c r="BI101" s="13"/>
      <c r="BJ101" s="13"/>
      <c r="BK101" s="13"/>
      <c r="BL101" s="13"/>
      <c r="BM101" s="13"/>
      <c r="BN101" s="13"/>
    </row>
    <row r="102" spans="1:66" x14ac:dyDescent="0.25">
      <c r="A102" s="22">
        <v>100</v>
      </c>
      <c r="B102" s="23">
        <v>1099.6534822212338</v>
      </c>
      <c r="C102" s="24">
        <v>472.99591632157922</v>
      </c>
      <c r="AK102" s="13">
        <v>1500</v>
      </c>
      <c r="AL102" s="13">
        <v>96</v>
      </c>
      <c r="BC102" s="13"/>
      <c r="BD102" s="13"/>
      <c r="BE102" s="13"/>
      <c r="BF102" s="13"/>
      <c r="BG102" s="13"/>
      <c r="BH102" s="13"/>
      <c r="BI102" s="13"/>
      <c r="BJ102" s="13"/>
      <c r="BK102" s="13"/>
      <c r="BL102" s="13"/>
      <c r="BM102" s="13"/>
      <c r="BN102" s="13"/>
    </row>
    <row r="103" spans="1:66" x14ac:dyDescent="0.25">
      <c r="A103" s="55" t="s">
        <v>29</v>
      </c>
      <c r="AK103" s="13">
        <v>1500</v>
      </c>
      <c r="AL103" s="13">
        <v>88</v>
      </c>
    </row>
    <row r="104" spans="1:66" x14ac:dyDescent="0.25">
      <c r="AK104" s="13">
        <v>1525</v>
      </c>
      <c r="AL104" s="13">
        <v>88</v>
      </c>
    </row>
    <row r="105" spans="1:66" x14ac:dyDescent="0.25">
      <c r="AK105" s="13">
        <v>1525</v>
      </c>
      <c r="AL105" s="13">
        <v>78</v>
      </c>
    </row>
    <row r="106" spans="1:66" x14ac:dyDescent="0.25">
      <c r="AK106" s="13">
        <v>1550</v>
      </c>
      <c r="AL106" s="13">
        <v>78</v>
      </c>
    </row>
    <row r="107" spans="1:66" x14ac:dyDescent="0.25">
      <c r="AK107" s="13">
        <v>1550</v>
      </c>
      <c r="AL107" s="13">
        <v>43</v>
      </c>
    </row>
    <row r="108" spans="1:66" x14ac:dyDescent="0.25">
      <c r="AK108" s="13">
        <v>1575</v>
      </c>
      <c r="AL108" s="13">
        <v>43</v>
      </c>
    </row>
    <row r="109" spans="1:66" x14ac:dyDescent="0.25">
      <c r="AK109" s="13">
        <v>1575</v>
      </c>
      <c r="AL109" s="13">
        <v>45</v>
      </c>
    </row>
    <row r="110" spans="1:66" x14ac:dyDescent="0.25">
      <c r="AK110" s="13">
        <v>1600</v>
      </c>
      <c r="AL110" s="13">
        <v>45</v>
      </c>
    </row>
    <row r="111" spans="1:66" x14ac:dyDescent="0.25">
      <c r="AK111" s="13">
        <v>1600</v>
      </c>
      <c r="AL111" s="13">
        <v>35</v>
      </c>
    </row>
    <row r="112" spans="1:66" x14ac:dyDescent="0.25">
      <c r="AK112" s="13">
        <v>1625</v>
      </c>
      <c r="AL112" s="13">
        <v>35</v>
      </c>
    </row>
    <row r="113" spans="37:38" x14ac:dyDescent="0.25">
      <c r="AK113" s="13">
        <v>1625</v>
      </c>
      <c r="AL113" s="13">
        <v>26</v>
      </c>
    </row>
    <row r="114" spans="37:38" x14ac:dyDescent="0.25">
      <c r="AK114" s="13">
        <v>1650</v>
      </c>
      <c r="AL114" s="13">
        <v>26</v>
      </c>
    </row>
    <row r="115" spans="37:38" x14ac:dyDescent="0.25">
      <c r="AK115" s="13">
        <v>1650</v>
      </c>
      <c r="AL115" s="13">
        <v>17</v>
      </c>
    </row>
    <row r="116" spans="37:38" x14ac:dyDescent="0.25">
      <c r="AK116" s="13">
        <v>1675</v>
      </c>
      <c r="AL116" s="13">
        <v>17</v>
      </c>
    </row>
    <row r="117" spans="37:38" x14ac:dyDescent="0.25">
      <c r="AK117" s="13">
        <v>1675</v>
      </c>
      <c r="AL117" s="13">
        <v>14</v>
      </c>
    </row>
    <row r="118" spans="37:38" x14ac:dyDescent="0.25">
      <c r="AK118" s="13">
        <v>1700</v>
      </c>
      <c r="AL118" s="13">
        <v>14</v>
      </c>
    </row>
    <row r="119" spans="37:38" x14ac:dyDescent="0.25">
      <c r="AK119" s="13">
        <v>1700</v>
      </c>
      <c r="AL119" s="13">
        <v>14</v>
      </c>
    </row>
    <row r="120" spans="37:38" x14ac:dyDescent="0.25">
      <c r="AK120" s="13">
        <v>1725</v>
      </c>
      <c r="AL120" s="13">
        <v>14</v>
      </c>
    </row>
    <row r="121" spans="37:38" x14ac:dyDescent="0.25">
      <c r="AK121" s="13">
        <v>1725</v>
      </c>
      <c r="AL121" s="13">
        <v>11</v>
      </c>
    </row>
    <row r="122" spans="37:38" x14ac:dyDescent="0.25">
      <c r="AK122" s="13">
        <v>1750</v>
      </c>
      <c r="AL122" s="13">
        <v>11</v>
      </c>
    </row>
    <row r="123" spans="37:38" x14ac:dyDescent="0.25">
      <c r="AK123" s="13">
        <v>1750</v>
      </c>
      <c r="AL123" s="13">
        <v>3</v>
      </c>
    </row>
    <row r="124" spans="37:38" x14ac:dyDescent="0.25">
      <c r="AK124" s="13">
        <v>1775</v>
      </c>
      <c r="AL124" s="13">
        <v>3</v>
      </c>
    </row>
    <row r="125" spans="37:38" x14ac:dyDescent="0.25">
      <c r="AK125" s="13">
        <v>1775</v>
      </c>
      <c r="AL125" s="13">
        <v>2</v>
      </c>
    </row>
    <row r="126" spans="37:38" x14ac:dyDescent="0.25">
      <c r="AK126" s="13">
        <v>1800</v>
      </c>
      <c r="AL126" s="13">
        <v>2</v>
      </c>
    </row>
    <row r="127" spans="37:38" x14ac:dyDescent="0.25">
      <c r="AK127" s="13">
        <v>1800</v>
      </c>
      <c r="AL127" s="13">
        <v>3</v>
      </c>
    </row>
    <row r="128" spans="37:38" x14ac:dyDescent="0.25">
      <c r="AK128" s="13">
        <v>1825</v>
      </c>
      <c r="AL128" s="13">
        <v>3</v>
      </c>
    </row>
    <row r="129" spans="37:38" x14ac:dyDescent="0.25">
      <c r="AK129" s="13">
        <v>1825</v>
      </c>
      <c r="AL129" s="13">
        <v>0</v>
      </c>
    </row>
    <row r="130" spans="37:38" x14ac:dyDescent="0.25">
      <c r="AK130" s="13">
        <v>1850</v>
      </c>
      <c r="AL130" s="13">
        <v>0</v>
      </c>
    </row>
    <row r="131" spans="37:38" x14ac:dyDescent="0.25">
      <c r="AK131" s="13">
        <v>1850</v>
      </c>
      <c r="AL131" s="13">
        <v>3</v>
      </c>
    </row>
    <row r="132" spans="37:38" x14ac:dyDescent="0.25">
      <c r="AK132" s="13">
        <v>1875</v>
      </c>
      <c r="AL132" s="13">
        <v>3</v>
      </c>
    </row>
    <row r="133" spans="37:38" x14ac:dyDescent="0.25">
      <c r="AK133" s="13">
        <v>1875</v>
      </c>
      <c r="AL133" s="13">
        <v>0</v>
      </c>
    </row>
    <row r="134" spans="37:38" x14ac:dyDescent="0.25">
      <c r="AK134" s="13">
        <v>1900</v>
      </c>
      <c r="AL134" s="13">
        <v>0</v>
      </c>
    </row>
    <row r="135" spans="37:38" x14ac:dyDescent="0.25">
      <c r="AK135" s="13">
        <v>1900</v>
      </c>
      <c r="AL135" s="13">
        <v>0</v>
      </c>
    </row>
    <row r="136" spans="37:38" x14ac:dyDescent="0.25">
      <c r="AK136" s="13">
        <v>1925</v>
      </c>
      <c r="AL136" s="13">
        <v>0</v>
      </c>
    </row>
    <row r="137" spans="37:38" x14ac:dyDescent="0.25">
      <c r="AK137" s="13">
        <v>1925</v>
      </c>
      <c r="AL137" s="13">
        <v>1</v>
      </c>
    </row>
    <row r="138" spans="37:38" x14ac:dyDescent="0.25">
      <c r="AK138" s="13">
        <v>1950</v>
      </c>
      <c r="AL138" s="13">
        <v>1</v>
      </c>
    </row>
    <row r="139" spans="37:38" x14ac:dyDescent="0.25">
      <c r="AK139" s="13">
        <v>1950</v>
      </c>
      <c r="AL139" s="13">
        <v>1</v>
      </c>
    </row>
    <row r="140" spans="37:38" x14ac:dyDescent="0.25">
      <c r="AK140" s="13">
        <v>1975</v>
      </c>
      <c r="AL140" s="13">
        <v>1</v>
      </c>
    </row>
    <row r="141" spans="37:38" x14ac:dyDescent="0.25">
      <c r="AK141" s="13">
        <v>1975</v>
      </c>
      <c r="AL141" s="13">
        <v>1</v>
      </c>
    </row>
    <row r="142" spans="37:38" x14ac:dyDescent="0.25">
      <c r="AK142" s="13">
        <v>2000</v>
      </c>
      <c r="AL142" s="13">
        <v>1</v>
      </c>
    </row>
    <row r="143" spans="37:38" x14ac:dyDescent="0.25">
      <c r="AK143" s="13">
        <v>2000</v>
      </c>
      <c r="AL143" s="13">
        <v>0</v>
      </c>
    </row>
    <row r="144" spans="37:38" x14ac:dyDescent="0.25">
      <c r="AK144" s="13">
        <v>2025</v>
      </c>
      <c r="AL144" s="13">
        <v>0</v>
      </c>
    </row>
    <row r="145" spans="37:38" x14ac:dyDescent="0.25">
      <c r="AK145" s="13">
        <v>2025</v>
      </c>
      <c r="AL145" s="13">
        <v>0</v>
      </c>
    </row>
    <row r="146" spans="37:38" x14ac:dyDescent="0.25">
      <c r="AK146" s="13">
        <v>2050</v>
      </c>
      <c r="AL146" s="13">
        <v>0</v>
      </c>
    </row>
    <row r="147" spans="37:38" x14ac:dyDescent="0.25">
      <c r="AK147" s="13">
        <v>2050</v>
      </c>
      <c r="AL147" s="13">
        <v>0</v>
      </c>
    </row>
    <row r="148" spans="37:38" x14ac:dyDescent="0.25">
      <c r="AK148" s="13">
        <v>2075</v>
      </c>
      <c r="AL148" s="13">
        <v>0</v>
      </c>
    </row>
    <row r="149" spans="37:38" x14ac:dyDescent="0.25">
      <c r="AK149" s="13">
        <v>2075</v>
      </c>
      <c r="AL149" s="13">
        <v>0</v>
      </c>
    </row>
    <row r="150" spans="37:38" x14ac:dyDescent="0.25">
      <c r="AK150" s="13">
        <v>2100</v>
      </c>
      <c r="AL150" s="13">
        <v>0</v>
      </c>
    </row>
    <row r="151" spans="37:38" x14ac:dyDescent="0.25">
      <c r="AK151" s="13">
        <v>2100</v>
      </c>
      <c r="AL151" s="13">
        <v>1</v>
      </c>
    </row>
    <row r="152" spans="37:38" x14ac:dyDescent="0.25">
      <c r="AK152" s="13">
        <v>2125</v>
      </c>
      <c r="AL152" s="13">
        <v>1</v>
      </c>
    </row>
    <row r="153" spans="37:38" x14ac:dyDescent="0.25">
      <c r="AK153" s="13">
        <v>2125</v>
      </c>
      <c r="AL153" s="13">
        <v>0</v>
      </c>
    </row>
  </sheetData>
  <dataConsolidate/>
  <mergeCells count="4">
    <mergeCell ref="F2:G2"/>
    <mergeCell ref="I4:J4"/>
    <mergeCell ref="K4:L4"/>
    <mergeCell ref="M4:N4"/>
  </mergeCells>
  <pageMargins left="0.75" right="0.75" top="1" bottom="1" header="0.5" footer="0.5"/>
  <pageSetup orientation="portrait" horizontalDpi="200" verticalDpi="200"/>
  <headerFooter alignWithMargins="0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BN123"/>
  <sheetViews>
    <sheetView showGridLines="0" workbookViewId="0">
      <selection activeCell="F10" sqref="F10"/>
    </sheetView>
  </sheetViews>
  <sheetFormatPr defaultRowHeight="15.75" x14ac:dyDescent="0.25"/>
  <cols>
    <col min="1" max="1" width="8" style="22" customWidth="1"/>
    <col min="2" max="2" width="10.625" style="11" customWidth="1"/>
    <col min="3" max="3" width="10.625" style="12" customWidth="1"/>
    <col min="4" max="4" width="7.625" style="13" customWidth="1"/>
    <col min="5" max="5" width="7.625" style="14" customWidth="1"/>
    <col min="6" max="6" width="11.625" style="15" customWidth="1"/>
    <col min="7" max="7" width="9" style="14"/>
    <col min="8" max="8" width="6.625" style="14" customWidth="1"/>
    <col min="9" max="14" width="10.125" style="14" customWidth="1"/>
    <col min="15" max="17" width="9" style="14"/>
    <col min="18" max="19" width="9" style="13"/>
    <col min="20" max="20" width="14.25" style="13" customWidth="1"/>
    <col min="21" max="22" width="11.25" style="13" customWidth="1"/>
    <col min="23" max="54" width="9" style="13"/>
    <col min="55" max="256" width="9" style="14"/>
    <col min="257" max="257" width="8" style="14" customWidth="1"/>
    <col min="258" max="259" width="10.625" style="14" customWidth="1"/>
    <col min="260" max="261" width="7.625" style="14" customWidth="1"/>
    <col min="262" max="262" width="11.625" style="14" customWidth="1"/>
    <col min="263" max="263" width="9" style="14"/>
    <col min="264" max="264" width="6.625" style="14" customWidth="1"/>
    <col min="265" max="270" width="10.125" style="14" customWidth="1"/>
    <col min="271" max="275" width="9" style="14"/>
    <col min="276" max="276" width="14.25" style="14" customWidth="1"/>
    <col min="277" max="278" width="11.25" style="14" customWidth="1"/>
    <col min="279" max="512" width="9" style="14"/>
    <col min="513" max="513" width="8" style="14" customWidth="1"/>
    <col min="514" max="515" width="10.625" style="14" customWidth="1"/>
    <col min="516" max="517" width="7.625" style="14" customWidth="1"/>
    <col min="518" max="518" width="11.625" style="14" customWidth="1"/>
    <col min="519" max="519" width="9" style="14"/>
    <col min="520" max="520" width="6.625" style="14" customWidth="1"/>
    <col min="521" max="526" width="10.125" style="14" customWidth="1"/>
    <col min="527" max="531" width="9" style="14"/>
    <col min="532" max="532" width="14.25" style="14" customWidth="1"/>
    <col min="533" max="534" width="11.25" style="14" customWidth="1"/>
    <col min="535" max="768" width="9" style="14"/>
    <col min="769" max="769" width="8" style="14" customWidth="1"/>
    <col min="770" max="771" width="10.625" style="14" customWidth="1"/>
    <col min="772" max="773" width="7.625" style="14" customWidth="1"/>
    <col min="774" max="774" width="11.625" style="14" customWidth="1"/>
    <col min="775" max="775" width="9" style="14"/>
    <col min="776" max="776" width="6.625" style="14" customWidth="1"/>
    <col min="777" max="782" width="10.125" style="14" customWidth="1"/>
    <col min="783" max="787" width="9" style="14"/>
    <col min="788" max="788" width="14.25" style="14" customWidth="1"/>
    <col min="789" max="790" width="11.25" style="14" customWidth="1"/>
    <col min="791" max="1024" width="9" style="14"/>
    <col min="1025" max="1025" width="8" style="14" customWidth="1"/>
    <col min="1026" max="1027" width="10.625" style="14" customWidth="1"/>
    <col min="1028" max="1029" width="7.625" style="14" customWidth="1"/>
    <col min="1030" max="1030" width="11.625" style="14" customWidth="1"/>
    <col min="1031" max="1031" width="9" style="14"/>
    <col min="1032" max="1032" width="6.625" style="14" customWidth="1"/>
    <col min="1033" max="1038" width="10.125" style="14" customWidth="1"/>
    <col min="1039" max="1043" width="9" style="14"/>
    <col min="1044" max="1044" width="14.25" style="14" customWidth="1"/>
    <col min="1045" max="1046" width="11.25" style="14" customWidth="1"/>
    <col min="1047" max="1280" width="9" style="14"/>
    <col min="1281" max="1281" width="8" style="14" customWidth="1"/>
    <col min="1282" max="1283" width="10.625" style="14" customWidth="1"/>
    <col min="1284" max="1285" width="7.625" style="14" customWidth="1"/>
    <col min="1286" max="1286" width="11.625" style="14" customWidth="1"/>
    <col min="1287" max="1287" width="9" style="14"/>
    <col min="1288" max="1288" width="6.625" style="14" customWidth="1"/>
    <col min="1289" max="1294" width="10.125" style="14" customWidth="1"/>
    <col min="1295" max="1299" width="9" style="14"/>
    <col min="1300" max="1300" width="14.25" style="14" customWidth="1"/>
    <col min="1301" max="1302" width="11.25" style="14" customWidth="1"/>
    <col min="1303" max="1536" width="9" style="14"/>
    <col min="1537" max="1537" width="8" style="14" customWidth="1"/>
    <col min="1538" max="1539" width="10.625" style="14" customWidth="1"/>
    <col min="1540" max="1541" width="7.625" style="14" customWidth="1"/>
    <col min="1542" max="1542" width="11.625" style="14" customWidth="1"/>
    <col min="1543" max="1543" width="9" style="14"/>
    <col min="1544" max="1544" width="6.625" style="14" customWidth="1"/>
    <col min="1545" max="1550" width="10.125" style="14" customWidth="1"/>
    <col min="1551" max="1555" width="9" style="14"/>
    <col min="1556" max="1556" width="14.25" style="14" customWidth="1"/>
    <col min="1557" max="1558" width="11.25" style="14" customWidth="1"/>
    <col min="1559" max="1792" width="9" style="14"/>
    <col min="1793" max="1793" width="8" style="14" customWidth="1"/>
    <col min="1794" max="1795" width="10.625" style="14" customWidth="1"/>
    <col min="1796" max="1797" width="7.625" style="14" customWidth="1"/>
    <col min="1798" max="1798" width="11.625" style="14" customWidth="1"/>
    <col min="1799" max="1799" width="9" style="14"/>
    <col min="1800" max="1800" width="6.625" style="14" customWidth="1"/>
    <col min="1801" max="1806" width="10.125" style="14" customWidth="1"/>
    <col min="1807" max="1811" width="9" style="14"/>
    <col min="1812" max="1812" width="14.25" style="14" customWidth="1"/>
    <col min="1813" max="1814" width="11.25" style="14" customWidth="1"/>
    <col min="1815" max="2048" width="9" style="14"/>
    <col min="2049" max="2049" width="8" style="14" customWidth="1"/>
    <col min="2050" max="2051" width="10.625" style="14" customWidth="1"/>
    <col min="2052" max="2053" width="7.625" style="14" customWidth="1"/>
    <col min="2054" max="2054" width="11.625" style="14" customWidth="1"/>
    <col min="2055" max="2055" width="9" style="14"/>
    <col min="2056" max="2056" width="6.625" style="14" customWidth="1"/>
    <col min="2057" max="2062" width="10.125" style="14" customWidth="1"/>
    <col min="2063" max="2067" width="9" style="14"/>
    <col min="2068" max="2068" width="14.25" style="14" customWidth="1"/>
    <col min="2069" max="2070" width="11.25" style="14" customWidth="1"/>
    <col min="2071" max="2304" width="9" style="14"/>
    <col min="2305" max="2305" width="8" style="14" customWidth="1"/>
    <col min="2306" max="2307" width="10.625" style="14" customWidth="1"/>
    <col min="2308" max="2309" width="7.625" style="14" customWidth="1"/>
    <col min="2310" max="2310" width="11.625" style="14" customWidth="1"/>
    <col min="2311" max="2311" width="9" style="14"/>
    <col min="2312" max="2312" width="6.625" style="14" customWidth="1"/>
    <col min="2313" max="2318" width="10.125" style="14" customWidth="1"/>
    <col min="2319" max="2323" width="9" style="14"/>
    <col min="2324" max="2324" width="14.25" style="14" customWidth="1"/>
    <col min="2325" max="2326" width="11.25" style="14" customWidth="1"/>
    <col min="2327" max="2560" width="9" style="14"/>
    <col min="2561" max="2561" width="8" style="14" customWidth="1"/>
    <col min="2562" max="2563" width="10.625" style="14" customWidth="1"/>
    <col min="2564" max="2565" width="7.625" style="14" customWidth="1"/>
    <col min="2566" max="2566" width="11.625" style="14" customWidth="1"/>
    <col min="2567" max="2567" width="9" style="14"/>
    <col min="2568" max="2568" width="6.625" style="14" customWidth="1"/>
    <col min="2569" max="2574" width="10.125" style="14" customWidth="1"/>
    <col min="2575" max="2579" width="9" style="14"/>
    <col min="2580" max="2580" width="14.25" style="14" customWidth="1"/>
    <col min="2581" max="2582" width="11.25" style="14" customWidth="1"/>
    <col min="2583" max="2816" width="9" style="14"/>
    <col min="2817" max="2817" width="8" style="14" customWidth="1"/>
    <col min="2818" max="2819" width="10.625" style="14" customWidth="1"/>
    <col min="2820" max="2821" width="7.625" style="14" customWidth="1"/>
    <col min="2822" max="2822" width="11.625" style="14" customWidth="1"/>
    <col min="2823" max="2823" width="9" style="14"/>
    <col min="2824" max="2824" width="6.625" style="14" customWidth="1"/>
    <col min="2825" max="2830" width="10.125" style="14" customWidth="1"/>
    <col min="2831" max="2835" width="9" style="14"/>
    <col min="2836" max="2836" width="14.25" style="14" customWidth="1"/>
    <col min="2837" max="2838" width="11.25" style="14" customWidth="1"/>
    <col min="2839" max="3072" width="9" style="14"/>
    <col min="3073" max="3073" width="8" style="14" customWidth="1"/>
    <col min="3074" max="3075" width="10.625" style="14" customWidth="1"/>
    <col min="3076" max="3077" width="7.625" style="14" customWidth="1"/>
    <col min="3078" max="3078" width="11.625" style="14" customWidth="1"/>
    <col min="3079" max="3079" width="9" style="14"/>
    <col min="3080" max="3080" width="6.625" style="14" customWidth="1"/>
    <col min="3081" max="3086" width="10.125" style="14" customWidth="1"/>
    <col min="3087" max="3091" width="9" style="14"/>
    <col min="3092" max="3092" width="14.25" style="14" customWidth="1"/>
    <col min="3093" max="3094" width="11.25" style="14" customWidth="1"/>
    <col min="3095" max="3328" width="9" style="14"/>
    <col min="3329" max="3329" width="8" style="14" customWidth="1"/>
    <col min="3330" max="3331" width="10.625" style="14" customWidth="1"/>
    <col min="3332" max="3333" width="7.625" style="14" customWidth="1"/>
    <col min="3334" max="3334" width="11.625" style="14" customWidth="1"/>
    <col min="3335" max="3335" width="9" style="14"/>
    <col min="3336" max="3336" width="6.625" style="14" customWidth="1"/>
    <col min="3337" max="3342" width="10.125" style="14" customWidth="1"/>
    <col min="3343" max="3347" width="9" style="14"/>
    <col min="3348" max="3348" width="14.25" style="14" customWidth="1"/>
    <col min="3349" max="3350" width="11.25" style="14" customWidth="1"/>
    <col min="3351" max="3584" width="9" style="14"/>
    <col min="3585" max="3585" width="8" style="14" customWidth="1"/>
    <col min="3586" max="3587" width="10.625" style="14" customWidth="1"/>
    <col min="3588" max="3589" width="7.625" style="14" customWidth="1"/>
    <col min="3590" max="3590" width="11.625" style="14" customWidth="1"/>
    <col min="3591" max="3591" width="9" style="14"/>
    <col min="3592" max="3592" width="6.625" style="14" customWidth="1"/>
    <col min="3593" max="3598" width="10.125" style="14" customWidth="1"/>
    <col min="3599" max="3603" width="9" style="14"/>
    <col min="3604" max="3604" width="14.25" style="14" customWidth="1"/>
    <col min="3605" max="3606" width="11.25" style="14" customWidth="1"/>
    <col min="3607" max="3840" width="9" style="14"/>
    <col min="3841" max="3841" width="8" style="14" customWidth="1"/>
    <col min="3842" max="3843" width="10.625" style="14" customWidth="1"/>
    <col min="3844" max="3845" width="7.625" style="14" customWidth="1"/>
    <col min="3846" max="3846" width="11.625" style="14" customWidth="1"/>
    <col min="3847" max="3847" width="9" style="14"/>
    <col min="3848" max="3848" width="6.625" style="14" customWidth="1"/>
    <col min="3849" max="3854" width="10.125" style="14" customWidth="1"/>
    <col min="3855" max="3859" width="9" style="14"/>
    <col min="3860" max="3860" width="14.25" style="14" customWidth="1"/>
    <col min="3861" max="3862" width="11.25" style="14" customWidth="1"/>
    <col min="3863" max="4096" width="9" style="14"/>
    <col min="4097" max="4097" width="8" style="14" customWidth="1"/>
    <col min="4098" max="4099" width="10.625" style="14" customWidth="1"/>
    <col min="4100" max="4101" width="7.625" style="14" customWidth="1"/>
    <col min="4102" max="4102" width="11.625" style="14" customWidth="1"/>
    <col min="4103" max="4103" width="9" style="14"/>
    <col min="4104" max="4104" width="6.625" style="14" customWidth="1"/>
    <col min="4105" max="4110" width="10.125" style="14" customWidth="1"/>
    <col min="4111" max="4115" width="9" style="14"/>
    <col min="4116" max="4116" width="14.25" style="14" customWidth="1"/>
    <col min="4117" max="4118" width="11.25" style="14" customWidth="1"/>
    <col min="4119" max="4352" width="9" style="14"/>
    <col min="4353" max="4353" width="8" style="14" customWidth="1"/>
    <col min="4354" max="4355" width="10.625" style="14" customWidth="1"/>
    <col min="4356" max="4357" width="7.625" style="14" customWidth="1"/>
    <col min="4358" max="4358" width="11.625" style="14" customWidth="1"/>
    <col min="4359" max="4359" width="9" style="14"/>
    <col min="4360" max="4360" width="6.625" style="14" customWidth="1"/>
    <col min="4361" max="4366" width="10.125" style="14" customWidth="1"/>
    <col min="4367" max="4371" width="9" style="14"/>
    <col min="4372" max="4372" width="14.25" style="14" customWidth="1"/>
    <col min="4373" max="4374" width="11.25" style="14" customWidth="1"/>
    <col min="4375" max="4608" width="9" style="14"/>
    <col min="4609" max="4609" width="8" style="14" customWidth="1"/>
    <col min="4610" max="4611" width="10.625" style="14" customWidth="1"/>
    <col min="4612" max="4613" width="7.625" style="14" customWidth="1"/>
    <col min="4614" max="4614" width="11.625" style="14" customWidth="1"/>
    <col min="4615" max="4615" width="9" style="14"/>
    <col min="4616" max="4616" width="6.625" style="14" customWidth="1"/>
    <col min="4617" max="4622" width="10.125" style="14" customWidth="1"/>
    <col min="4623" max="4627" width="9" style="14"/>
    <col min="4628" max="4628" width="14.25" style="14" customWidth="1"/>
    <col min="4629" max="4630" width="11.25" style="14" customWidth="1"/>
    <col min="4631" max="4864" width="9" style="14"/>
    <col min="4865" max="4865" width="8" style="14" customWidth="1"/>
    <col min="4866" max="4867" width="10.625" style="14" customWidth="1"/>
    <col min="4868" max="4869" width="7.625" style="14" customWidth="1"/>
    <col min="4870" max="4870" width="11.625" style="14" customWidth="1"/>
    <col min="4871" max="4871" width="9" style="14"/>
    <col min="4872" max="4872" width="6.625" style="14" customWidth="1"/>
    <col min="4873" max="4878" width="10.125" style="14" customWidth="1"/>
    <col min="4879" max="4883" width="9" style="14"/>
    <col min="4884" max="4884" width="14.25" style="14" customWidth="1"/>
    <col min="4885" max="4886" width="11.25" style="14" customWidth="1"/>
    <col min="4887" max="5120" width="9" style="14"/>
    <col min="5121" max="5121" width="8" style="14" customWidth="1"/>
    <col min="5122" max="5123" width="10.625" style="14" customWidth="1"/>
    <col min="5124" max="5125" width="7.625" style="14" customWidth="1"/>
    <col min="5126" max="5126" width="11.625" style="14" customWidth="1"/>
    <col min="5127" max="5127" width="9" style="14"/>
    <col min="5128" max="5128" width="6.625" style="14" customWidth="1"/>
    <col min="5129" max="5134" width="10.125" style="14" customWidth="1"/>
    <col min="5135" max="5139" width="9" style="14"/>
    <col min="5140" max="5140" width="14.25" style="14" customWidth="1"/>
    <col min="5141" max="5142" width="11.25" style="14" customWidth="1"/>
    <col min="5143" max="5376" width="9" style="14"/>
    <col min="5377" max="5377" width="8" style="14" customWidth="1"/>
    <col min="5378" max="5379" width="10.625" style="14" customWidth="1"/>
    <col min="5380" max="5381" width="7.625" style="14" customWidth="1"/>
    <col min="5382" max="5382" width="11.625" style="14" customWidth="1"/>
    <col min="5383" max="5383" width="9" style="14"/>
    <col min="5384" max="5384" width="6.625" style="14" customWidth="1"/>
    <col min="5385" max="5390" width="10.125" style="14" customWidth="1"/>
    <col min="5391" max="5395" width="9" style="14"/>
    <col min="5396" max="5396" width="14.25" style="14" customWidth="1"/>
    <col min="5397" max="5398" width="11.25" style="14" customWidth="1"/>
    <col min="5399" max="5632" width="9" style="14"/>
    <col min="5633" max="5633" width="8" style="14" customWidth="1"/>
    <col min="5634" max="5635" width="10.625" style="14" customWidth="1"/>
    <col min="5636" max="5637" width="7.625" style="14" customWidth="1"/>
    <col min="5638" max="5638" width="11.625" style="14" customWidth="1"/>
    <col min="5639" max="5639" width="9" style="14"/>
    <col min="5640" max="5640" width="6.625" style="14" customWidth="1"/>
    <col min="5641" max="5646" width="10.125" style="14" customWidth="1"/>
    <col min="5647" max="5651" width="9" style="14"/>
    <col min="5652" max="5652" width="14.25" style="14" customWidth="1"/>
    <col min="5653" max="5654" width="11.25" style="14" customWidth="1"/>
    <col min="5655" max="5888" width="9" style="14"/>
    <col min="5889" max="5889" width="8" style="14" customWidth="1"/>
    <col min="5890" max="5891" width="10.625" style="14" customWidth="1"/>
    <col min="5892" max="5893" width="7.625" style="14" customWidth="1"/>
    <col min="5894" max="5894" width="11.625" style="14" customWidth="1"/>
    <col min="5895" max="5895" width="9" style="14"/>
    <col min="5896" max="5896" width="6.625" style="14" customWidth="1"/>
    <col min="5897" max="5902" width="10.125" style="14" customWidth="1"/>
    <col min="5903" max="5907" width="9" style="14"/>
    <col min="5908" max="5908" width="14.25" style="14" customWidth="1"/>
    <col min="5909" max="5910" width="11.25" style="14" customWidth="1"/>
    <col min="5911" max="6144" width="9" style="14"/>
    <col min="6145" max="6145" width="8" style="14" customWidth="1"/>
    <col min="6146" max="6147" width="10.625" style="14" customWidth="1"/>
    <col min="6148" max="6149" width="7.625" style="14" customWidth="1"/>
    <col min="6150" max="6150" width="11.625" style="14" customWidth="1"/>
    <col min="6151" max="6151" width="9" style="14"/>
    <col min="6152" max="6152" width="6.625" style="14" customWidth="1"/>
    <col min="6153" max="6158" width="10.125" style="14" customWidth="1"/>
    <col min="6159" max="6163" width="9" style="14"/>
    <col min="6164" max="6164" width="14.25" style="14" customWidth="1"/>
    <col min="6165" max="6166" width="11.25" style="14" customWidth="1"/>
    <col min="6167" max="6400" width="9" style="14"/>
    <col min="6401" max="6401" width="8" style="14" customWidth="1"/>
    <col min="6402" max="6403" width="10.625" style="14" customWidth="1"/>
    <col min="6404" max="6405" width="7.625" style="14" customWidth="1"/>
    <col min="6406" max="6406" width="11.625" style="14" customWidth="1"/>
    <col min="6407" max="6407" width="9" style="14"/>
    <col min="6408" max="6408" width="6.625" style="14" customWidth="1"/>
    <col min="6409" max="6414" width="10.125" style="14" customWidth="1"/>
    <col min="6415" max="6419" width="9" style="14"/>
    <col min="6420" max="6420" width="14.25" style="14" customWidth="1"/>
    <col min="6421" max="6422" width="11.25" style="14" customWidth="1"/>
    <col min="6423" max="6656" width="9" style="14"/>
    <col min="6657" max="6657" width="8" style="14" customWidth="1"/>
    <col min="6658" max="6659" width="10.625" style="14" customWidth="1"/>
    <col min="6660" max="6661" width="7.625" style="14" customWidth="1"/>
    <col min="6662" max="6662" width="11.625" style="14" customWidth="1"/>
    <col min="6663" max="6663" width="9" style="14"/>
    <col min="6664" max="6664" width="6.625" style="14" customWidth="1"/>
    <col min="6665" max="6670" width="10.125" style="14" customWidth="1"/>
    <col min="6671" max="6675" width="9" style="14"/>
    <col min="6676" max="6676" width="14.25" style="14" customWidth="1"/>
    <col min="6677" max="6678" width="11.25" style="14" customWidth="1"/>
    <col min="6679" max="6912" width="9" style="14"/>
    <col min="6913" max="6913" width="8" style="14" customWidth="1"/>
    <col min="6914" max="6915" width="10.625" style="14" customWidth="1"/>
    <col min="6916" max="6917" width="7.625" style="14" customWidth="1"/>
    <col min="6918" max="6918" width="11.625" style="14" customWidth="1"/>
    <col min="6919" max="6919" width="9" style="14"/>
    <col min="6920" max="6920" width="6.625" style="14" customWidth="1"/>
    <col min="6921" max="6926" width="10.125" style="14" customWidth="1"/>
    <col min="6927" max="6931" width="9" style="14"/>
    <col min="6932" max="6932" width="14.25" style="14" customWidth="1"/>
    <col min="6933" max="6934" width="11.25" style="14" customWidth="1"/>
    <col min="6935" max="7168" width="9" style="14"/>
    <col min="7169" max="7169" width="8" style="14" customWidth="1"/>
    <col min="7170" max="7171" width="10.625" style="14" customWidth="1"/>
    <col min="7172" max="7173" width="7.625" style="14" customWidth="1"/>
    <col min="7174" max="7174" width="11.625" style="14" customWidth="1"/>
    <col min="7175" max="7175" width="9" style="14"/>
    <col min="7176" max="7176" width="6.625" style="14" customWidth="1"/>
    <col min="7177" max="7182" width="10.125" style="14" customWidth="1"/>
    <col min="7183" max="7187" width="9" style="14"/>
    <col min="7188" max="7188" width="14.25" style="14" customWidth="1"/>
    <col min="7189" max="7190" width="11.25" style="14" customWidth="1"/>
    <col min="7191" max="7424" width="9" style="14"/>
    <col min="7425" max="7425" width="8" style="14" customWidth="1"/>
    <col min="7426" max="7427" width="10.625" style="14" customWidth="1"/>
    <col min="7428" max="7429" width="7.625" style="14" customWidth="1"/>
    <col min="7430" max="7430" width="11.625" style="14" customWidth="1"/>
    <col min="7431" max="7431" width="9" style="14"/>
    <col min="7432" max="7432" width="6.625" style="14" customWidth="1"/>
    <col min="7433" max="7438" width="10.125" style="14" customWidth="1"/>
    <col min="7439" max="7443" width="9" style="14"/>
    <col min="7444" max="7444" width="14.25" style="14" customWidth="1"/>
    <col min="7445" max="7446" width="11.25" style="14" customWidth="1"/>
    <col min="7447" max="7680" width="9" style="14"/>
    <col min="7681" max="7681" width="8" style="14" customWidth="1"/>
    <col min="7682" max="7683" width="10.625" style="14" customWidth="1"/>
    <col min="7684" max="7685" width="7.625" style="14" customWidth="1"/>
    <col min="7686" max="7686" width="11.625" style="14" customWidth="1"/>
    <col min="7687" max="7687" width="9" style="14"/>
    <col min="7688" max="7688" width="6.625" style="14" customWidth="1"/>
    <col min="7689" max="7694" width="10.125" style="14" customWidth="1"/>
    <col min="7695" max="7699" width="9" style="14"/>
    <col min="7700" max="7700" width="14.25" style="14" customWidth="1"/>
    <col min="7701" max="7702" width="11.25" style="14" customWidth="1"/>
    <col min="7703" max="7936" width="9" style="14"/>
    <col min="7937" max="7937" width="8" style="14" customWidth="1"/>
    <col min="7938" max="7939" width="10.625" style="14" customWidth="1"/>
    <col min="7940" max="7941" width="7.625" style="14" customWidth="1"/>
    <col min="7942" max="7942" width="11.625" style="14" customWidth="1"/>
    <col min="7943" max="7943" width="9" style="14"/>
    <col min="7944" max="7944" width="6.625" style="14" customWidth="1"/>
    <col min="7945" max="7950" width="10.125" style="14" customWidth="1"/>
    <col min="7951" max="7955" width="9" style="14"/>
    <col min="7956" max="7956" width="14.25" style="14" customWidth="1"/>
    <col min="7957" max="7958" width="11.25" style="14" customWidth="1"/>
    <col min="7959" max="8192" width="9" style="14"/>
    <col min="8193" max="8193" width="8" style="14" customWidth="1"/>
    <col min="8194" max="8195" width="10.625" style="14" customWidth="1"/>
    <col min="8196" max="8197" width="7.625" style="14" customWidth="1"/>
    <col min="8198" max="8198" width="11.625" style="14" customWidth="1"/>
    <col min="8199" max="8199" width="9" style="14"/>
    <col min="8200" max="8200" width="6.625" style="14" customWidth="1"/>
    <col min="8201" max="8206" width="10.125" style="14" customWidth="1"/>
    <col min="8207" max="8211" width="9" style="14"/>
    <col min="8212" max="8212" width="14.25" style="14" customWidth="1"/>
    <col min="8213" max="8214" width="11.25" style="14" customWidth="1"/>
    <col min="8215" max="8448" width="9" style="14"/>
    <col min="8449" max="8449" width="8" style="14" customWidth="1"/>
    <col min="8450" max="8451" width="10.625" style="14" customWidth="1"/>
    <col min="8452" max="8453" width="7.625" style="14" customWidth="1"/>
    <col min="8454" max="8454" width="11.625" style="14" customWidth="1"/>
    <col min="8455" max="8455" width="9" style="14"/>
    <col min="8456" max="8456" width="6.625" style="14" customWidth="1"/>
    <col min="8457" max="8462" width="10.125" style="14" customWidth="1"/>
    <col min="8463" max="8467" width="9" style="14"/>
    <col min="8468" max="8468" width="14.25" style="14" customWidth="1"/>
    <col min="8469" max="8470" width="11.25" style="14" customWidth="1"/>
    <col min="8471" max="8704" width="9" style="14"/>
    <col min="8705" max="8705" width="8" style="14" customWidth="1"/>
    <col min="8706" max="8707" width="10.625" style="14" customWidth="1"/>
    <col min="8708" max="8709" width="7.625" style="14" customWidth="1"/>
    <col min="8710" max="8710" width="11.625" style="14" customWidth="1"/>
    <col min="8711" max="8711" width="9" style="14"/>
    <col min="8712" max="8712" width="6.625" style="14" customWidth="1"/>
    <col min="8713" max="8718" width="10.125" style="14" customWidth="1"/>
    <col min="8719" max="8723" width="9" style="14"/>
    <col min="8724" max="8724" width="14.25" style="14" customWidth="1"/>
    <col min="8725" max="8726" width="11.25" style="14" customWidth="1"/>
    <col min="8727" max="8960" width="9" style="14"/>
    <col min="8961" max="8961" width="8" style="14" customWidth="1"/>
    <col min="8962" max="8963" width="10.625" style="14" customWidth="1"/>
    <col min="8964" max="8965" width="7.625" style="14" customWidth="1"/>
    <col min="8966" max="8966" width="11.625" style="14" customWidth="1"/>
    <col min="8967" max="8967" width="9" style="14"/>
    <col min="8968" max="8968" width="6.625" style="14" customWidth="1"/>
    <col min="8969" max="8974" width="10.125" style="14" customWidth="1"/>
    <col min="8975" max="8979" width="9" style="14"/>
    <col min="8980" max="8980" width="14.25" style="14" customWidth="1"/>
    <col min="8981" max="8982" width="11.25" style="14" customWidth="1"/>
    <col min="8983" max="9216" width="9" style="14"/>
    <col min="9217" max="9217" width="8" style="14" customWidth="1"/>
    <col min="9218" max="9219" width="10.625" style="14" customWidth="1"/>
    <col min="9220" max="9221" width="7.625" style="14" customWidth="1"/>
    <col min="9222" max="9222" width="11.625" style="14" customWidth="1"/>
    <col min="9223" max="9223" width="9" style="14"/>
    <col min="9224" max="9224" width="6.625" style="14" customWidth="1"/>
    <col min="9225" max="9230" width="10.125" style="14" customWidth="1"/>
    <col min="9231" max="9235" width="9" style="14"/>
    <col min="9236" max="9236" width="14.25" style="14" customWidth="1"/>
    <col min="9237" max="9238" width="11.25" style="14" customWidth="1"/>
    <col min="9239" max="9472" width="9" style="14"/>
    <col min="9473" max="9473" width="8" style="14" customWidth="1"/>
    <col min="9474" max="9475" width="10.625" style="14" customWidth="1"/>
    <col min="9476" max="9477" width="7.625" style="14" customWidth="1"/>
    <col min="9478" max="9478" width="11.625" style="14" customWidth="1"/>
    <col min="9479" max="9479" width="9" style="14"/>
    <col min="9480" max="9480" width="6.625" style="14" customWidth="1"/>
    <col min="9481" max="9486" width="10.125" style="14" customWidth="1"/>
    <col min="9487" max="9491" width="9" style="14"/>
    <col min="9492" max="9492" width="14.25" style="14" customWidth="1"/>
    <col min="9493" max="9494" width="11.25" style="14" customWidth="1"/>
    <col min="9495" max="9728" width="9" style="14"/>
    <col min="9729" max="9729" width="8" style="14" customWidth="1"/>
    <col min="9730" max="9731" width="10.625" style="14" customWidth="1"/>
    <col min="9732" max="9733" width="7.625" style="14" customWidth="1"/>
    <col min="9734" max="9734" width="11.625" style="14" customWidth="1"/>
    <col min="9735" max="9735" width="9" style="14"/>
    <col min="9736" max="9736" width="6.625" style="14" customWidth="1"/>
    <col min="9737" max="9742" width="10.125" style="14" customWidth="1"/>
    <col min="9743" max="9747" width="9" style="14"/>
    <col min="9748" max="9748" width="14.25" style="14" customWidth="1"/>
    <col min="9749" max="9750" width="11.25" style="14" customWidth="1"/>
    <col min="9751" max="9984" width="9" style="14"/>
    <col min="9985" max="9985" width="8" style="14" customWidth="1"/>
    <col min="9986" max="9987" width="10.625" style="14" customWidth="1"/>
    <col min="9988" max="9989" width="7.625" style="14" customWidth="1"/>
    <col min="9990" max="9990" width="11.625" style="14" customWidth="1"/>
    <col min="9991" max="9991" width="9" style="14"/>
    <col min="9992" max="9992" width="6.625" style="14" customWidth="1"/>
    <col min="9993" max="9998" width="10.125" style="14" customWidth="1"/>
    <col min="9999" max="10003" width="9" style="14"/>
    <col min="10004" max="10004" width="14.25" style="14" customWidth="1"/>
    <col min="10005" max="10006" width="11.25" style="14" customWidth="1"/>
    <col min="10007" max="10240" width="9" style="14"/>
    <col min="10241" max="10241" width="8" style="14" customWidth="1"/>
    <col min="10242" max="10243" width="10.625" style="14" customWidth="1"/>
    <col min="10244" max="10245" width="7.625" style="14" customWidth="1"/>
    <col min="10246" max="10246" width="11.625" style="14" customWidth="1"/>
    <col min="10247" max="10247" width="9" style="14"/>
    <col min="10248" max="10248" width="6.625" style="14" customWidth="1"/>
    <col min="10249" max="10254" width="10.125" style="14" customWidth="1"/>
    <col min="10255" max="10259" width="9" style="14"/>
    <col min="10260" max="10260" width="14.25" style="14" customWidth="1"/>
    <col min="10261" max="10262" width="11.25" style="14" customWidth="1"/>
    <col min="10263" max="10496" width="9" style="14"/>
    <col min="10497" max="10497" width="8" style="14" customWidth="1"/>
    <col min="10498" max="10499" width="10.625" style="14" customWidth="1"/>
    <col min="10500" max="10501" width="7.625" style="14" customWidth="1"/>
    <col min="10502" max="10502" width="11.625" style="14" customWidth="1"/>
    <col min="10503" max="10503" width="9" style="14"/>
    <col min="10504" max="10504" width="6.625" style="14" customWidth="1"/>
    <col min="10505" max="10510" width="10.125" style="14" customWidth="1"/>
    <col min="10511" max="10515" width="9" style="14"/>
    <col min="10516" max="10516" width="14.25" style="14" customWidth="1"/>
    <col min="10517" max="10518" width="11.25" style="14" customWidth="1"/>
    <col min="10519" max="10752" width="9" style="14"/>
    <col min="10753" max="10753" width="8" style="14" customWidth="1"/>
    <col min="10754" max="10755" width="10.625" style="14" customWidth="1"/>
    <col min="10756" max="10757" width="7.625" style="14" customWidth="1"/>
    <col min="10758" max="10758" width="11.625" style="14" customWidth="1"/>
    <col min="10759" max="10759" width="9" style="14"/>
    <col min="10760" max="10760" width="6.625" style="14" customWidth="1"/>
    <col min="10761" max="10766" width="10.125" style="14" customWidth="1"/>
    <col min="10767" max="10771" width="9" style="14"/>
    <col min="10772" max="10772" width="14.25" style="14" customWidth="1"/>
    <col min="10773" max="10774" width="11.25" style="14" customWidth="1"/>
    <col min="10775" max="11008" width="9" style="14"/>
    <col min="11009" max="11009" width="8" style="14" customWidth="1"/>
    <col min="11010" max="11011" width="10.625" style="14" customWidth="1"/>
    <col min="11012" max="11013" width="7.625" style="14" customWidth="1"/>
    <col min="11014" max="11014" width="11.625" style="14" customWidth="1"/>
    <col min="11015" max="11015" width="9" style="14"/>
    <col min="11016" max="11016" width="6.625" style="14" customWidth="1"/>
    <col min="11017" max="11022" width="10.125" style="14" customWidth="1"/>
    <col min="11023" max="11027" width="9" style="14"/>
    <col min="11028" max="11028" width="14.25" style="14" customWidth="1"/>
    <col min="11029" max="11030" width="11.25" style="14" customWidth="1"/>
    <col min="11031" max="11264" width="9" style="14"/>
    <col min="11265" max="11265" width="8" style="14" customWidth="1"/>
    <col min="11266" max="11267" width="10.625" style="14" customWidth="1"/>
    <col min="11268" max="11269" width="7.625" style="14" customWidth="1"/>
    <col min="11270" max="11270" width="11.625" style="14" customWidth="1"/>
    <col min="11271" max="11271" width="9" style="14"/>
    <col min="11272" max="11272" width="6.625" style="14" customWidth="1"/>
    <col min="11273" max="11278" width="10.125" style="14" customWidth="1"/>
    <col min="11279" max="11283" width="9" style="14"/>
    <col min="11284" max="11284" width="14.25" style="14" customWidth="1"/>
    <col min="11285" max="11286" width="11.25" style="14" customWidth="1"/>
    <col min="11287" max="11520" width="9" style="14"/>
    <col min="11521" max="11521" width="8" style="14" customWidth="1"/>
    <col min="11522" max="11523" width="10.625" style="14" customWidth="1"/>
    <col min="11524" max="11525" width="7.625" style="14" customWidth="1"/>
    <col min="11526" max="11526" width="11.625" style="14" customWidth="1"/>
    <col min="11527" max="11527" width="9" style="14"/>
    <col min="11528" max="11528" width="6.625" style="14" customWidth="1"/>
    <col min="11529" max="11534" width="10.125" style="14" customWidth="1"/>
    <col min="11535" max="11539" width="9" style="14"/>
    <col min="11540" max="11540" width="14.25" style="14" customWidth="1"/>
    <col min="11541" max="11542" width="11.25" style="14" customWidth="1"/>
    <col min="11543" max="11776" width="9" style="14"/>
    <col min="11777" max="11777" width="8" style="14" customWidth="1"/>
    <col min="11778" max="11779" width="10.625" style="14" customWidth="1"/>
    <col min="11780" max="11781" width="7.625" style="14" customWidth="1"/>
    <col min="11782" max="11782" width="11.625" style="14" customWidth="1"/>
    <col min="11783" max="11783" width="9" style="14"/>
    <col min="11784" max="11784" width="6.625" style="14" customWidth="1"/>
    <col min="11785" max="11790" width="10.125" style="14" customWidth="1"/>
    <col min="11791" max="11795" width="9" style="14"/>
    <col min="11796" max="11796" width="14.25" style="14" customWidth="1"/>
    <col min="11797" max="11798" width="11.25" style="14" customWidth="1"/>
    <col min="11799" max="12032" width="9" style="14"/>
    <col min="12033" max="12033" width="8" style="14" customWidth="1"/>
    <col min="12034" max="12035" width="10.625" style="14" customWidth="1"/>
    <col min="12036" max="12037" width="7.625" style="14" customWidth="1"/>
    <col min="12038" max="12038" width="11.625" style="14" customWidth="1"/>
    <col min="12039" max="12039" width="9" style="14"/>
    <col min="12040" max="12040" width="6.625" style="14" customWidth="1"/>
    <col min="12041" max="12046" width="10.125" style="14" customWidth="1"/>
    <col min="12047" max="12051" width="9" style="14"/>
    <col min="12052" max="12052" width="14.25" style="14" customWidth="1"/>
    <col min="12053" max="12054" width="11.25" style="14" customWidth="1"/>
    <col min="12055" max="12288" width="9" style="14"/>
    <col min="12289" max="12289" width="8" style="14" customWidth="1"/>
    <col min="12290" max="12291" width="10.625" style="14" customWidth="1"/>
    <col min="12292" max="12293" width="7.625" style="14" customWidth="1"/>
    <col min="12294" max="12294" width="11.625" style="14" customWidth="1"/>
    <col min="12295" max="12295" width="9" style="14"/>
    <col min="12296" max="12296" width="6.625" style="14" customWidth="1"/>
    <col min="12297" max="12302" width="10.125" style="14" customWidth="1"/>
    <col min="12303" max="12307" width="9" style="14"/>
    <col min="12308" max="12308" width="14.25" style="14" customWidth="1"/>
    <col min="12309" max="12310" width="11.25" style="14" customWidth="1"/>
    <col min="12311" max="12544" width="9" style="14"/>
    <col min="12545" max="12545" width="8" style="14" customWidth="1"/>
    <col min="12546" max="12547" width="10.625" style="14" customWidth="1"/>
    <col min="12548" max="12549" width="7.625" style="14" customWidth="1"/>
    <col min="12550" max="12550" width="11.625" style="14" customWidth="1"/>
    <col min="12551" max="12551" width="9" style="14"/>
    <col min="12552" max="12552" width="6.625" style="14" customWidth="1"/>
    <col min="12553" max="12558" width="10.125" style="14" customWidth="1"/>
    <col min="12559" max="12563" width="9" style="14"/>
    <col min="12564" max="12564" width="14.25" style="14" customWidth="1"/>
    <col min="12565" max="12566" width="11.25" style="14" customWidth="1"/>
    <col min="12567" max="12800" width="9" style="14"/>
    <col min="12801" max="12801" width="8" style="14" customWidth="1"/>
    <col min="12802" max="12803" width="10.625" style="14" customWidth="1"/>
    <col min="12804" max="12805" width="7.625" style="14" customWidth="1"/>
    <col min="12806" max="12806" width="11.625" style="14" customWidth="1"/>
    <col min="12807" max="12807" width="9" style="14"/>
    <col min="12808" max="12808" width="6.625" style="14" customWidth="1"/>
    <col min="12809" max="12814" width="10.125" style="14" customWidth="1"/>
    <col min="12815" max="12819" width="9" style="14"/>
    <col min="12820" max="12820" width="14.25" style="14" customWidth="1"/>
    <col min="12821" max="12822" width="11.25" style="14" customWidth="1"/>
    <col min="12823" max="13056" width="9" style="14"/>
    <col min="13057" max="13057" width="8" style="14" customWidth="1"/>
    <col min="13058" max="13059" width="10.625" style="14" customWidth="1"/>
    <col min="13060" max="13061" width="7.625" style="14" customWidth="1"/>
    <col min="13062" max="13062" width="11.625" style="14" customWidth="1"/>
    <col min="13063" max="13063" width="9" style="14"/>
    <col min="13064" max="13064" width="6.625" style="14" customWidth="1"/>
    <col min="13065" max="13070" width="10.125" style="14" customWidth="1"/>
    <col min="13071" max="13075" width="9" style="14"/>
    <col min="13076" max="13076" width="14.25" style="14" customWidth="1"/>
    <col min="13077" max="13078" width="11.25" style="14" customWidth="1"/>
    <col min="13079" max="13312" width="9" style="14"/>
    <col min="13313" max="13313" width="8" style="14" customWidth="1"/>
    <col min="13314" max="13315" width="10.625" style="14" customWidth="1"/>
    <col min="13316" max="13317" width="7.625" style="14" customWidth="1"/>
    <col min="13318" max="13318" width="11.625" style="14" customWidth="1"/>
    <col min="13319" max="13319" width="9" style="14"/>
    <col min="13320" max="13320" width="6.625" style="14" customWidth="1"/>
    <col min="13321" max="13326" width="10.125" style="14" customWidth="1"/>
    <col min="13327" max="13331" width="9" style="14"/>
    <col min="13332" max="13332" width="14.25" style="14" customWidth="1"/>
    <col min="13333" max="13334" width="11.25" style="14" customWidth="1"/>
    <col min="13335" max="13568" width="9" style="14"/>
    <col min="13569" max="13569" width="8" style="14" customWidth="1"/>
    <col min="13570" max="13571" width="10.625" style="14" customWidth="1"/>
    <col min="13572" max="13573" width="7.625" style="14" customWidth="1"/>
    <col min="13574" max="13574" width="11.625" style="14" customWidth="1"/>
    <col min="13575" max="13575" width="9" style="14"/>
    <col min="13576" max="13576" width="6.625" style="14" customWidth="1"/>
    <col min="13577" max="13582" width="10.125" style="14" customWidth="1"/>
    <col min="13583" max="13587" width="9" style="14"/>
    <col min="13588" max="13588" width="14.25" style="14" customWidth="1"/>
    <col min="13589" max="13590" width="11.25" style="14" customWidth="1"/>
    <col min="13591" max="13824" width="9" style="14"/>
    <col min="13825" max="13825" width="8" style="14" customWidth="1"/>
    <col min="13826" max="13827" width="10.625" style="14" customWidth="1"/>
    <col min="13828" max="13829" width="7.625" style="14" customWidth="1"/>
    <col min="13830" max="13830" width="11.625" style="14" customWidth="1"/>
    <col min="13831" max="13831" width="9" style="14"/>
    <col min="13832" max="13832" width="6.625" style="14" customWidth="1"/>
    <col min="13833" max="13838" width="10.125" style="14" customWidth="1"/>
    <col min="13839" max="13843" width="9" style="14"/>
    <col min="13844" max="13844" width="14.25" style="14" customWidth="1"/>
    <col min="13845" max="13846" width="11.25" style="14" customWidth="1"/>
    <col min="13847" max="14080" width="9" style="14"/>
    <col min="14081" max="14081" width="8" style="14" customWidth="1"/>
    <col min="14082" max="14083" width="10.625" style="14" customWidth="1"/>
    <col min="14084" max="14085" width="7.625" style="14" customWidth="1"/>
    <col min="14086" max="14086" width="11.625" style="14" customWidth="1"/>
    <col min="14087" max="14087" width="9" style="14"/>
    <col min="14088" max="14088" width="6.625" style="14" customWidth="1"/>
    <col min="14089" max="14094" width="10.125" style="14" customWidth="1"/>
    <col min="14095" max="14099" width="9" style="14"/>
    <col min="14100" max="14100" width="14.25" style="14" customWidth="1"/>
    <col min="14101" max="14102" width="11.25" style="14" customWidth="1"/>
    <col min="14103" max="14336" width="9" style="14"/>
    <col min="14337" max="14337" width="8" style="14" customWidth="1"/>
    <col min="14338" max="14339" width="10.625" style="14" customWidth="1"/>
    <col min="14340" max="14341" width="7.625" style="14" customWidth="1"/>
    <col min="14342" max="14342" width="11.625" style="14" customWidth="1"/>
    <col min="14343" max="14343" width="9" style="14"/>
    <col min="14344" max="14344" width="6.625" style="14" customWidth="1"/>
    <col min="14345" max="14350" width="10.125" style="14" customWidth="1"/>
    <col min="14351" max="14355" width="9" style="14"/>
    <col min="14356" max="14356" width="14.25" style="14" customWidth="1"/>
    <col min="14357" max="14358" width="11.25" style="14" customWidth="1"/>
    <col min="14359" max="14592" width="9" style="14"/>
    <col min="14593" max="14593" width="8" style="14" customWidth="1"/>
    <col min="14594" max="14595" width="10.625" style="14" customWidth="1"/>
    <col min="14596" max="14597" width="7.625" style="14" customWidth="1"/>
    <col min="14598" max="14598" width="11.625" style="14" customWidth="1"/>
    <col min="14599" max="14599" width="9" style="14"/>
    <col min="14600" max="14600" width="6.625" style="14" customWidth="1"/>
    <col min="14601" max="14606" width="10.125" style="14" customWidth="1"/>
    <col min="14607" max="14611" width="9" style="14"/>
    <col min="14612" max="14612" width="14.25" style="14" customWidth="1"/>
    <col min="14613" max="14614" width="11.25" style="14" customWidth="1"/>
    <col min="14615" max="14848" width="9" style="14"/>
    <col min="14849" max="14849" width="8" style="14" customWidth="1"/>
    <col min="14850" max="14851" width="10.625" style="14" customWidth="1"/>
    <col min="14852" max="14853" width="7.625" style="14" customWidth="1"/>
    <col min="14854" max="14854" width="11.625" style="14" customWidth="1"/>
    <col min="14855" max="14855" width="9" style="14"/>
    <col min="14856" max="14856" width="6.625" style="14" customWidth="1"/>
    <col min="14857" max="14862" width="10.125" style="14" customWidth="1"/>
    <col min="14863" max="14867" width="9" style="14"/>
    <col min="14868" max="14868" width="14.25" style="14" customWidth="1"/>
    <col min="14869" max="14870" width="11.25" style="14" customWidth="1"/>
    <col min="14871" max="15104" width="9" style="14"/>
    <col min="15105" max="15105" width="8" style="14" customWidth="1"/>
    <col min="15106" max="15107" width="10.625" style="14" customWidth="1"/>
    <col min="15108" max="15109" width="7.625" style="14" customWidth="1"/>
    <col min="15110" max="15110" width="11.625" style="14" customWidth="1"/>
    <col min="15111" max="15111" width="9" style="14"/>
    <col min="15112" max="15112" width="6.625" style="14" customWidth="1"/>
    <col min="15113" max="15118" width="10.125" style="14" customWidth="1"/>
    <col min="15119" max="15123" width="9" style="14"/>
    <col min="15124" max="15124" width="14.25" style="14" customWidth="1"/>
    <col min="15125" max="15126" width="11.25" style="14" customWidth="1"/>
    <col min="15127" max="15360" width="9" style="14"/>
    <col min="15361" max="15361" width="8" style="14" customWidth="1"/>
    <col min="15362" max="15363" width="10.625" style="14" customWidth="1"/>
    <col min="15364" max="15365" width="7.625" style="14" customWidth="1"/>
    <col min="15366" max="15366" width="11.625" style="14" customWidth="1"/>
    <col min="15367" max="15367" width="9" style="14"/>
    <col min="15368" max="15368" width="6.625" style="14" customWidth="1"/>
    <col min="15369" max="15374" width="10.125" style="14" customWidth="1"/>
    <col min="15375" max="15379" width="9" style="14"/>
    <col min="15380" max="15380" width="14.25" style="14" customWidth="1"/>
    <col min="15381" max="15382" width="11.25" style="14" customWidth="1"/>
    <col min="15383" max="15616" width="9" style="14"/>
    <col min="15617" max="15617" width="8" style="14" customWidth="1"/>
    <col min="15618" max="15619" width="10.625" style="14" customWidth="1"/>
    <col min="15620" max="15621" width="7.625" style="14" customWidth="1"/>
    <col min="15622" max="15622" width="11.625" style="14" customWidth="1"/>
    <col min="15623" max="15623" width="9" style="14"/>
    <col min="15624" max="15624" width="6.625" style="14" customWidth="1"/>
    <col min="15625" max="15630" width="10.125" style="14" customWidth="1"/>
    <col min="15631" max="15635" width="9" style="14"/>
    <col min="15636" max="15636" width="14.25" style="14" customWidth="1"/>
    <col min="15637" max="15638" width="11.25" style="14" customWidth="1"/>
    <col min="15639" max="15872" width="9" style="14"/>
    <col min="15873" max="15873" width="8" style="14" customWidth="1"/>
    <col min="15874" max="15875" width="10.625" style="14" customWidth="1"/>
    <col min="15876" max="15877" width="7.625" style="14" customWidth="1"/>
    <col min="15878" max="15878" width="11.625" style="14" customWidth="1"/>
    <col min="15879" max="15879" width="9" style="14"/>
    <col min="15880" max="15880" width="6.625" style="14" customWidth="1"/>
    <col min="15881" max="15886" width="10.125" style="14" customWidth="1"/>
    <col min="15887" max="15891" width="9" style="14"/>
    <col min="15892" max="15892" width="14.25" style="14" customWidth="1"/>
    <col min="15893" max="15894" width="11.25" style="14" customWidth="1"/>
    <col min="15895" max="16128" width="9" style="14"/>
    <col min="16129" max="16129" width="8" style="14" customWidth="1"/>
    <col min="16130" max="16131" width="10.625" style="14" customWidth="1"/>
    <col min="16132" max="16133" width="7.625" style="14" customWidth="1"/>
    <col min="16134" max="16134" width="11.625" style="14" customWidth="1"/>
    <col min="16135" max="16135" width="9" style="14"/>
    <col min="16136" max="16136" width="6.625" style="14" customWidth="1"/>
    <col min="16137" max="16142" width="10.125" style="14" customWidth="1"/>
    <col min="16143" max="16147" width="9" style="14"/>
    <col min="16148" max="16148" width="14.25" style="14" customWidth="1"/>
    <col min="16149" max="16150" width="11.25" style="14" customWidth="1"/>
    <col min="16151" max="16384" width="9" style="14"/>
  </cols>
  <sheetData>
    <row r="1" spans="1:66" ht="31.5" thickBot="1" x14ac:dyDescent="0.5">
      <c r="A1" s="10" t="s">
        <v>19</v>
      </c>
      <c r="I1" s="13"/>
      <c r="J1" s="13"/>
      <c r="K1" s="13"/>
      <c r="L1" s="13"/>
      <c r="M1" s="13"/>
      <c r="N1" s="13"/>
      <c r="O1" s="13"/>
      <c r="Q1" s="13"/>
      <c r="AH1" s="16"/>
      <c r="AI1" s="16"/>
      <c r="AJ1" s="16"/>
      <c r="AK1" s="16"/>
      <c r="AL1" s="58" t="s">
        <v>53</v>
      </c>
      <c r="AM1" s="58" t="s">
        <v>54</v>
      </c>
      <c r="AN1" s="16"/>
      <c r="BC1" s="13"/>
      <c r="BD1" s="13"/>
      <c r="BE1" s="13"/>
      <c r="BF1" s="13"/>
      <c r="BG1" s="13"/>
      <c r="BH1" s="13"/>
      <c r="BI1" s="13"/>
      <c r="BJ1" s="13"/>
      <c r="BK1" s="13"/>
      <c r="BL1" s="13"/>
      <c r="BM1" s="13"/>
      <c r="BN1" s="13"/>
    </row>
    <row r="2" spans="1:66" s="20" customFormat="1" ht="39.75" customHeight="1" thickBot="1" x14ac:dyDescent="0.35">
      <c r="A2" s="17" t="s">
        <v>20</v>
      </c>
      <c r="B2" s="56" t="s">
        <v>53</v>
      </c>
      <c r="C2" s="57" t="s">
        <v>54</v>
      </c>
      <c r="D2" s="13"/>
      <c r="E2" s="19"/>
      <c r="F2" s="59" t="s">
        <v>21</v>
      </c>
      <c r="G2" s="60"/>
      <c r="I2" s="21"/>
      <c r="J2" s="21"/>
      <c r="K2" s="21"/>
      <c r="L2" s="21"/>
      <c r="M2" s="21"/>
      <c r="N2" s="21"/>
      <c r="O2" s="21"/>
      <c r="Q2" s="21"/>
      <c r="R2" s="13"/>
      <c r="S2" s="13"/>
      <c r="T2" s="13"/>
      <c r="U2" s="13"/>
      <c r="V2" s="13"/>
      <c r="W2" s="21"/>
      <c r="X2" s="21"/>
      <c r="Y2" s="13"/>
      <c r="Z2" s="13"/>
      <c r="AA2" s="13"/>
      <c r="AB2" s="13"/>
      <c r="AC2" s="13"/>
      <c r="AD2" s="13"/>
      <c r="AE2" s="13"/>
      <c r="AF2" s="13"/>
      <c r="AG2" s="13"/>
      <c r="AH2" s="16">
        <v>300</v>
      </c>
      <c r="AI2" s="16"/>
      <c r="AJ2" s="16"/>
      <c r="AK2" s="16">
        <v>300</v>
      </c>
      <c r="AL2" s="16">
        <v>0</v>
      </c>
      <c r="AM2" s="16">
        <v>0</v>
      </c>
      <c r="AN2" s="16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21"/>
      <c r="BD2" s="21"/>
      <c r="BE2" s="21"/>
      <c r="BF2" s="21"/>
      <c r="BG2" s="21"/>
      <c r="BH2" s="21"/>
      <c r="BI2" s="21"/>
      <c r="BJ2" s="21"/>
      <c r="BK2" s="21"/>
      <c r="BL2" s="21"/>
      <c r="BM2" s="21"/>
      <c r="BN2" s="21"/>
    </row>
    <row r="3" spans="1:66" ht="16.5" thickBot="1" x14ac:dyDescent="0.3">
      <c r="A3" s="22">
        <v>1</v>
      </c>
      <c r="B3" s="23">
        <v>748.85517793457132</v>
      </c>
      <c r="C3" s="24">
        <v>1793.8799484183201</v>
      </c>
      <c r="E3" s="25"/>
      <c r="F3" s="26">
        <v>10000</v>
      </c>
      <c r="G3" s="27" t="s">
        <v>22</v>
      </c>
      <c r="AH3" s="16">
        <v>350</v>
      </c>
      <c r="AI3" s="16"/>
      <c r="AJ3" s="16"/>
      <c r="AK3" s="16">
        <v>300</v>
      </c>
      <c r="AL3" s="16">
        <v>1</v>
      </c>
      <c r="AM3" s="16">
        <v>0</v>
      </c>
      <c r="AN3" s="16"/>
      <c r="BC3" s="13"/>
      <c r="BD3" s="13"/>
      <c r="BE3" s="13"/>
      <c r="BF3" s="13"/>
      <c r="BG3" s="13"/>
      <c r="BH3" s="13"/>
      <c r="BI3" s="13"/>
      <c r="BJ3" s="13"/>
      <c r="BK3" s="13"/>
      <c r="BL3" s="13"/>
      <c r="BM3" s="13"/>
      <c r="BN3" s="13"/>
    </row>
    <row r="4" spans="1:66" ht="16.5" thickBot="1" x14ac:dyDescent="0.3">
      <c r="A4" s="22">
        <v>2</v>
      </c>
      <c r="B4" s="23">
        <v>686.9814413439999</v>
      </c>
      <c r="C4" s="24">
        <v>1796.3068722506864</v>
      </c>
      <c r="E4" s="25"/>
      <c r="F4" s="28">
        <v>73.000000091269612</v>
      </c>
      <c r="G4" s="29" t="s">
        <v>23</v>
      </c>
      <c r="I4" s="61" t="s">
        <v>55</v>
      </c>
      <c r="J4" s="62"/>
      <c r="K4" s="63" t="s">
        <v>37</v>
      </c>
      <c r="L4" s="64"/>
      <c r="M4" s="65" t="s">
        <v>24</v>
      </c>
      <c r="N4" s="66"/>
      <c r="P4" s="30"/>
      <c r="AH4" s="16">
        <v>400</v>
      </c>
      <c r="AI4" s="16"/>
      <c r="AJ4" s="16"/>
      <c r="AK4" s="16">
        <v>350</v>
      </c>
      <c r="AL4" s="16">
        <v>1</v>
      </c>
      <c r="AM4" s="16">
        <v>0</v>
      </c>
      <c r="AN4" s="16"/>
      <c r="BC4" s="13"/>
      <c r="BD4" s="13"/>
      <c r="BE4" s="13"/>
      <c r="BF4" s="13"/>
      <c r="BG4" s="13"/>
      <c r="BH4" s="13"/>
      <c r="BI4" s="13"/>
      <c r="BJ4" s="13"/>
      <c r="BK4" s="13"/>
      <c r="BL4" s="13"/>
      <c r="BM4" s="13"/>
      <c r="BN4" s="13"/>
    </row>
    <row r="5" spans="1:66" x14ac:dyDescent="0.25">
      <c r="A5" s="22">
        <v>3</v>
      </c>
      <c r="B5" s="23">
        <v>606.32132017637502</v>
      </c>
      <c r="C5" s="24">
        <v>1806.5497544448883</v>
      </c>
      <c r="E5" s="31"/>
      <c r="F5" s="32"/>
      <c r="G5" s="31"/>
      <c r="I5" s="33" t="s">
        <v>25</v>
      </c>
      <c r="J5" s="34">
        <v>718.1840037889848</v>
      </c>
      <c r="K5" s="35" t="s">
        <v>25</v>
      </c>
      <c r="L5" s="36">
        <v>1865.8089739604984</v>
      </c>
      <c r="M5" s="37"/>
      <c r="N5" s="38"/>
      <c r="P5" s="30"/>
      <c r="AH5" s="16">
        <v>450</v>
      </c>
      <c r="AI5" s="16"/>
      <c r="AJ5" s="16"/>
      <c r="AK5" s="16">
        <v>350</v>
      </c>
      <c r="AL5" s="16">
        <v>3</v>
      </c>
      <c r="AM5" s="16">
        <v>0</v>
      </c>
      <c r="AN5" s="16"/>
      <c r="BC5" s="13"/>
      <c r="BD5" s="13"/>
      <c r="BE5" s="13"/>
      <c r="BF5" s="13"/>
      <c r="BG5" s="13"/>
      <c r="BH5" s="13"/>
      <c r="BI5" s="13"/>
      <c r="BJ5" s="13"/>
      <c r="BK5" s="13"/>
      <c r="BL5" s="13"/>
      <c r="BM5" s="13"/>
      <c r="BN5" s="13"/>
    </row>
    <row r="6" spans="1:66" x14ac:dyDescent="0.25">
      <c r="A6" s="22">
        <v>4</v>
      </c>
      <c r="B6" s="23">
        <v>733.27854972040132</v>
      </c>
      <c r="C6" s="24">
        <v>1485.0605452941841</v>
      </c>
      <c r="I6" s="33" t="s">
        <v>26</v>
      </c>
      <c r="J6" s="39">
        <v>109.24398724033666</v>
      </c>
      <c r="K6" s="35" t="s">
        <v>26</v>
      </c>
      <c r="L6" s="40">
        <v>253.11368982748124</v>
      </c>
      <c r="M6" s="41"/>
      <c r="N6" s="42"/>
      <c r="AH6" s="16">
        <v>500</v>
      </c>
      <c r="AI6" s="16"/>
      <c r="AJ6" s="16"/>
      <c r="AK6" s="16">
        <v>400</v>
      </c>
      <c r="AL6" s="16">
        <v>3</v>
      </c>
      <c r="AM6" s="16">
        <v>0</v>
      </c>
      <c r="AN6" s="16"/>
      <c r="BC6" s="13"/>
      <c r="BD6" s="13"/>
      <c r="BE6" s="13"/>
      <c r="BF6" s="13"/>
      <c r="BG6" s="13"/>
      <c r="BH6" s="13"/>
      <c r="BI6" s="13"/>
      <c r="BJ6" s="13"/>
      <c r="BK6" s="13"/>
      <c r="BL6" s="13"/>
      <c r="BM6" s="13"/>
      <c r="BN6" s="13"/>
    </row>
    <row r="7" spans="1:66" x14ac:dyDescent="0.25">
      <c r="A7" s="22">
        <v>5</v>
      </c>
      <c r="B7" s="23">
        <v>830.70262652536132</v>
      </c>
      <c r="C7" s="24">
        <v>1540.7009106704081</v>
      </c>
      <c r="F7" s="43"/>
      <c r="I7" s="33" t="s">
        <v>27</v>
      </c>
      <c r="J7" s="34">
        <v>1231.5400684030344</v>
      </c>
      <c r="K7" s="35" t="s">
        <v>27</v>
      </c>
      <c r="L7" s="36">
        <v>3272.0807619984434</v>
      </c>
      <c r="M7" s="25"/>
      <c r="N7" s="44"/>
      <c r="AH7" s="16">
        <v>550</v>
      </c>
      <c r="AI7" s="16"/>
      <c r="AJ7" s="16"/>
      <c r="AK7" s="16">
        <v>400</v>
      </c>
      <c r="AL7" s="16">
        <v>22</v>
      </c>
      <c r="AM7" s="16">
        <v>0</v>
      </c>
      <c r="AN7" s="16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</row>
    <row r="8" spans="1:66" ht="16.5" thickBot="1" x14ac:dyDescent="0.3">
      <c r="A8" s="22">
        <v>6</v>
      </c>
      <c r="B8" s="23">
        <v>1012.2510190854719</v>
      </c>
      <c r="C8" s="24">
        <v>1667.962778525354</v>
      </c>
      <c r="F8" s="43"/>
      <c r="I8" s="45" t="s">
        <v>28</v>
      </c>
      <c r="J8" s="46">
        <v>338.56456926268788</v>
      </c>
      <c r="K8" s="47" t="s">
        <v>28</v>
      </c>
      <c r="L8" s="48">
        <v>1102.8890248276043</v>
      </c>
      <c r="M8" s="49"/>
      <c r="N8" s="50"/>
      <c r="AH8" s="16">
        <v>600</v>
      </c>
      <c r="AI8" s="16"/>
      <c r="AJ8" s="16"/>
      <c r="AK8" s="16">
        <v>450</v>
      </c>
      <c r="AL8" s="16">
        <v>22</v>
      </c>
      <c r="AM8" s="16">
        <v>0</v>
      </c>
      <c r="AN8" s="16"/>
      <c r="BC8" s="13"/>
      <c r="BD8" s="13"/>
      <c r="BE8" s="13"/>
      <c r="BF8" s="13"/>
      <c r="BG8" s="13"/>
      <c r="BH8" s="13"/>
      <c r="BI8" s="13"/>
      <c r="BJ8" s="13"/>
      <c r="BK8" s="13"/>
      <c r="BL8" s="13"/>
      <c r="BM8" s="13"/>
      <c r="BN8" s="13"/>
    </row>
    <row r="9" spans="1:66" x14ac:dyDescent="0.25">
      <c r="A9" s="22">
        <v>7</v>
      </c>
      <c r="B9" s="23">
        <v>884.68527111847868</v>
      </c>
      <c r="C9" s="24">
        <v>1866.1359738122965</v>
      </c>
      <c r="F9" s="43"/>
      <c r="I9" s="31"/>
      <c r="J9" s="51"/>
      <c r="K9" s="31"/>
      <c r="L9" s="31"/>
      <c r="M9" s="31"/>
      <c r="N9" s="31"/>
      <c r="AH9" s="16">
        <v>650</v>
      </c>
      <c r="AI9" s="16"/>
      <c r="AJ9" s="16"/>
      <c r="AK9" s="16">
        <v>450</v>
      </c>
      <c r="AL9" s="16">
        <v>91</v>
      </c>
      <c r="AM9" s="16">
        <v>0</v>
      </c>
      <c r="AN9" s="16"/>
      <c r="BC9" s="13"/>
      <c r="BD9" s="13"/>
      <c r="BE9" s="13"/>
      <c r="BF9" s="13"/>
      <c r="BG9" s="13"/>
      <c r="BH9" s="13"/>
      <c r="BI9" s="13"/>
      <c r="BJ9" s="13"/>
      <c r="BK9" s="13"/>
      <c r="BL9" s="13"/>
      <c r="BM9" s="13"/>
      <c r="BN9" s="13"/>
    </row>
    <row r="10" spans="1:66" x14ac:dyDescent="0.25">
      <c r="A10" s="22">
        <v>8</v>
      </c>
      <c r="B10" s="23">
        <v>767.30993916550506</v>
      </c>
      <c r="C10" s="24">
        <v>2113.5031864810599</v>
      </c>
      <c r="F10" s="43"/>
      <c r="I10" s="25"/>
      <c r="J10" s="51"/>
      <c r="K10" s="31"/>
      <c r="L10" s="31"/>
      <c r="M10" s="31"/>
      <c r="N10" s="31"/>
      <c r="P10" s="30"/>
      <c r="AH10" s="16">
        <v>700</v>
      </c>
      <c r="AI10" s="16"/>
      <c r="AJ10" s="16"/>
      <c r="AK10" s="16">
        <v>500</v>
      </c>
      <c r="AL10" s="16">
        <v>91</v>
      </c>
      <c r="AM10" s="16">
        <v>0</v>
      </c>
      <c r="AN10" s="16"/>
      <c r="BC10" s="13"/>
      <c r="BD10" s="13"/>
      <c r="BE10" s="13"/>
      <c r="BF10" s="13"/>
      <c r="BG10" s="13"/>
      <c r="BH10" s="13"/>
      <c r="BI10" s="13"/>
      <c r="BJ10" s="13"/>
      <c r="BK10" s="13"/>
      <c r="BL10" s="13"/>
      <c r="BM10" s="13"/>
      <c r="BN10" s="13"/>
    </row>
    <row r="11" spans="1:66" x14ac:dyDescent="0.25">
      <c r="A11" s="22">
        <v>9</v>
      </c>
      <c r="B11" s="23">
        <v>874.72580265042689</v>
      </c>
      <c r="C11" s="24">
        <v>1952.040240997072</v>
      </c>
      <c r="I11" s="31"/>
      <c r="J11" s="51"/>
      <c r="K11" s="31"/>
      <c r="L11" s="31"/>
      <c r="M11" s="31"/>
      <c r="N11" s="31"/>
      <c r="P11" s="30"/>
      <c r="AH11" s="16">
        <v>750</v>
      </c>
      <c r="AI11" s="16"/>
      <c r="AJ11" s="16"/>
      <c r="AK11" s="16">
        <v>500</v>
      </c>
      <c r="AL11" s="16">
        <v>342</v>
      </c>
      <c r="AM11" s="16">
        <v>0</v>
      </c>
      <c r="AN11" s="16"/>
      <c r="BC11" s="13"/>
      <c r="BD11" s="13"/>
      <c r="BE11" s="13"/>
      <c r="BF11" s="13"/>
      <c r="BG11" s="13"/>
      <c r="BH11" s="13"/>
      <c r="BI11" s="13"/>
      <c r="BJ11" s="13"/>
      <c r="BK11" s="13"/>
      <c r="BL11" s="13"/>
      <c r="BM11" s="13"/>
      <c r="BN11" s="13"/>
    </row>
    <row r="12" spans="1:66" x14ac:dyDescent="0.25">
      <c r="A12" s="22">
        <v>10</v>
      </c>
      <c r="B12" s="23">
        <v>643.77441346083651</v>
      </c>
      <c r="C12" s="24">
        <v>1977.2093079641472</v>
      </c>
      <c r="I12" s="31"/>
      <c r="J12" s="31"/>
      <c r="K12" s="31"/>
      <c r="L12" s="31"/>
      <c r="M12" s="31"/>
      <c r="N12" s="31"/>
      <c r="P12" s="30"/>
      <c r="AH12" s="16">
        <v>800</v>
      </c>
      <c r="AI12" s="16"/>
      <c r="AJ12" s="16"/>
      <c r="AK12" s="16">
        <v>550</v>
      </c>
      <c r="AL12" s="16">
        <v>342</v>
      </c>
      <c r="AM12" s="16">
        <v>0</v>
      </c>
      <c r="AN12" s="16"/>
      <c r="BC12" s="13"/>
      <c r="BD12" s="13"/>
      <c r="BE12" s="13"/>
      <c r="BF12" s="13"/>
      <c r="BG12" s="13"/>
      <c r="BH12" s="13"/>
      <c r="BI12" s="13"/>
      <c r="BJ12" s="13"/>
      <c r="BK12" s="13"/>
      <c r="BL12" s="13"/>
      <c r="BM12" s="13"/>
      <c r="BN12" s="13"/>
    </row>
    <row r="13" spans="1:66" x14ac:dyDescent="0.25">
      <c r="A13" s="22">
        <v>11</v>
      </c>
      <c r="B13" s="23">
        <v>693.73721517871172</v>
      </c>
      <c r="C13" s="24">
        <v>1818.3953674121669</v>
      </c>
      <c r="I13" s="31"/>
      <c r="J13" s="31"/>
      <c r="K13" s="31"/>
      <c r="L13" s="31"/>
      <c r="M13" s="31"/>
      <c r="N13" s="31"/>
      <c r="AH13" s="16">
        <v>850</v>
      </c>
      <c r="AI13" s="16"/>
      <c r="AJ13" s="16"/>
      <c r="AK13" s="16">
        <v>550</v>
      </c>
      <c r="AL13" s="16">
        <v>903</v>
      </c>
      <c r="AM13" s="16">
        <v>0</v>
      </c>
      <c r="AN13" s="16"/>
      <c r="BC13" s="13"/>
      <c r="BD13" s="13"/>
      <c r="BE13" s="13"/>
      <c r="BF13" s="13"/>
      <c r="BG13" s="13"/>
      <c r="BH13" s="13"/>
      <c r="BI13" s="13"/>
      <c r="BJ13" s="13"/>
      <c r="BK13" s="13"/>
      <c r="BL13" s="13"/>
      <c r="BM13" s="13"/>
      <c r="BN13" s="13"/>
    </row>
    <row r="14" spans="1:66" x14ac:dyDescent="0.25">
      <c r="A14" s="22">
        <v>12</v>
      </c>
      <c r="B14" s="23">
        <v>631.23396351163058</v>
      </c>
      <c r="C14" s="24">
        <v>1590.6435422853751</v>
      </c>
      <c r="E14" s="52"/>
      <c r="I14" s="31"/>
      <c r="J14" s="31"/>
      <c r="K14" s="31"/>
      <c r="L14" s="31"/>
      <c r="M14" s="31"/>
      <c r="N14" s="31"/>
      <c r="AH14" s="16">
        <v>900</v>
      </c>
      <c r="AI14" s="16"/>
      <c r="AJ14" s="16"/>
      <c r="AK14" s="16">
        <v>600</v>
      </c>
      <c r="AL14" s="16">
        <v>903</v>
      </c>
      <c r="AM14" s="16">
        <v>0</v>
      </c>
      <c r="AN14" s="16"/>
      <c r="BC14" s="13"/>
      <c r="BD14" s="13"/>
      <c r="BE14" s="13"/>
      <c r="BF14" s="13"/>
      <c r="BG14" s="13"/>
      <c r="BH14" s="13"/>
      <c r="BI14" s="13"/>
      <c r="BJ14" s="13"/>
      <c r="BK14" s="13"/>
      <c r="BL14" s="13"/>
      <c r="BM14" s="13"/>
      <c r="BN14" s="13"/>
    </row>
    <row r="15" spans="1:66" x14ac:dyDescent="0.25">
      <c r="A15" s="22">
        <v>13</v>
      </c>
      <c r="B15" s="23">
        <v>608.42642046384879</v>
      </c>
      <c r="C15" s="24">
        <v>1698.1649578553177</v>
      </c>
      <c r="E15" s="52"/>
      <c r="I15" s="31"/>
      <c r="J15" s="31"/>
      <c r="K15" s="31"/>
      <c r="L15" s="31"/>
      <c r="M15" s="31"/>
      <c r="N15" s="31"/>
      <c r="AH15" s="16">
        <v>950</v>
      </c>
      <c r="AI15" s="16"/>
      <c r="AJ15" s="16"/>
      <c r="AK15" s="16">
        <v>600</v>
      </c>
      <c r="AL15" s="16">
        <v>1410</v>
      </c>
      <c r="AM15" s="16">
        <v>0</v>
      </c>
      <c r="AN15" s="16"/>
      <c r="BC15" s="13"/>
      <c r="BD15" s="13"/>
      <c r="BE15" s="13"/>
      <c r="BF15" s="13"/>
      <c r="BG15" s="13"/>
      <c r="BH15" s="13"/>
      <c r="BI15" s="13"/>
      <c r="BJ15" s="13"/>
      <c r="BK15" s="13"/>
      <c r="BL15" s="13"/>
      <c r="BM15" s="13"/>
      <c r="BN15" s="13"/>
    </row>
    <row r="16" spans="1:66" x14ac:dyDescent="0.25">
      <c r="A16" s="22">
        <v>14</v>
      </c>
      <c r="B16" s="23">
        <v>636.09126169775004</v>
      </c>
      <c r="C16" s="24">
        <v>2126.5824792675189</v>
      </c>
      <c r="E16" s="52"/>
      <c r="I16" s="31"/>
      <c r="J16" s="31"/>
      <c r="K16" s="31"/>
      <c r="L16" s="31"/>
      <c r="M16" s="31"/>
      <c r="N16" s="31"/>
      <c r="AH16" s="16">
        <v>1000</v>
      </c>
      <c r="AI16" s="16"/>
      <c r="AJ16" s="16"/>
      <c r="AK16" s="16">
        <v>650</v>
      </c>
      <c r="AL16" s="16">
        <v>1410</v>
      </c>
      <c r="AM16" s="16">
        <v>0</v>
      </c>
      <c r="AN16" s="16"/>
      <c r="BC16" s="13"/>
      <c r="BD16" s="13"/>
      <c r="BE16" s="13"/>
      <c r="BF16" s="13"/>
      <c r="BG16" s="13"/>
      <c r="BH16" s="13"/>
      <c r="BI16" s="13"/>
      <c r="BJ16" s="13"/>
      <c r="BK16" s="13"/>
      <c r="BL16" s="13"/>
      <c r="BM16" s="13"/>
      <c r="BN16" s="13"/>
    </row>
    <row r="17" spans="1:66" x14ac:dyDescent="0.25">
      <c r="A17" s="22">
        <v>15</v>
      </c>
      <c r="B17" s="23">
        <v>668.31600957431249</v>
      </c>
      <c r="C17" s="24">
        <v>1619.3204811722346</v>
      </c>
      <c r="I17" s="31"/>
      <c r="J17" s="31"/>
      <c r="K17" s="31"/>
      <c r="L17" s="31"/>
      <c r="M17" s="31"/>
      <c r="N17" s="31"/>
      <c r="AH17" s="16">
        <v>1050</v>
      </c>
      <c r="AI17" s="16"/>
      <c r="AJ17" s="16"/>
      <c r="AK17" s="16">
        <v>650</v>
      </c>
      <c r="AL17" s="16">
        <v>1833</v>
      </c>
      <c r="AM17" s="16">
        <v>0</v>
      </c>
      <c r="AN17" s="16"/>
      <c r="BC17" s="13"/>
      <c r="BD17" s="13"/>
      <c r="BE17" s="13"/>
      <c r="BF17" s="13"/>
      <c r="BG17" s="13"/>
      <c r="BH17" s="13"/>
      <c r="BI17" s="13"/>
      <c r="BJ17" s="13"/>
      <c r="BK17" s="13"/>
      <c r="BL17" s="13"/>
      <c r="BM17" s="13"/>
      <c r="BN17" s="13"/>
    </row>
    <row r="18" spans="1:66" x14ac:dyDescent="0.25">
      <c r="A18" s="22">
        <v>16</v>
      </c>
      <c r="B18" s="23">
        <v>934.35085759551521</v>
      </c>
      <c r="C18" s="24">
        <v>2051.915264548406</v>
      </c>
      <c r="I18" s="31"/>
      <c r="J18" s="31"/>
      <c r="K18" s="31"/>
      <c r="L18" s="31"/>
      <c r="M18" s="31"/>
      <c r="N18" s="31"/>
      <c r="AH18" s="16">
        <v>1100</v>
      </c>
      <c r="AI18" s="16"/>
      <c r="AJ18" s="16"/>
      <c r="AK18" s="16">
        <v>700</v>
      </c>
      <c r="AL18" s="16">
        <v>1833</v>
      </c>
      <c r="AM18" s="16">
        <v>0</v>
      </c>
      <c r="AN18" s="16"/>
      <c r="BC18" s="13"/>
      <c r="BD18" s="13"/>
      <c r="BE18" s="13"/>
      <c r="BF18" s="13"/>
      <c r="BG18" s="13"/>
      <c r="BH18" s="13"/>
      <c r="BI18" s="13"/>
      <c r="BJ18" s="13"/>
      <c r="BK18" s="13"/>
      <c r="BL18" s="13"/>
      <c r="BM18" s="13"/>
      <c r="BN18" s="13"/>
    </row>
    <row r="19" spans="1:66" x14ac:dyDescent="0.25">
      <c r="A19" s="22">
        <v>17</v>
      </c>
      <c r="B19" s="23">
        <v>674.83431428128245</v>
      </c>
      <c r="C19" s="24">
        <v>2192.2100106616554</v>
      </c>
      <c r="F19" s="53">
        <v>1</v>
      </c>
      <c r="I19" s="31"/>
      <c r="J19" s="31"/>
      <c r="K19" s="31"/>
      <c r="L19" s="31"/>
      <c r="M19" s="31"/>
      <c r="N19" s="31"/>
      <c r="AH19" s="16">
        <v>1150</v>
      </c>
      <c r="AI19" s="16"/>
      <c r="AJ19" s="16"/>
      <c r="AK19" s="16">
        <v>700</v>
      </c>
      <c r="AL19" s="16">
        <v>1751</v>
      </c>
      <c r="AM19" s="16">
        <v>0</v>
      </c>
      <c r="AN19" s="16"/>
      <c r="BC19" s="13"/>
      <c r="BD19" s="13"/>
      <c r="BE19" s="13"/>
      <c r="BF19" s="13"/>
      <c r="BG19" s="13"/>
      <c r="BH19" s="13"/>
      <c r="BI19" s="13"/>
      <c r="BJ19" s="13"/>
      <c r="BK19" s="13"/>
      <c r="BL19" s="13"/>
      <c r="BM19" s="13"/>
      <c r="BN19" s="13"/>
    </row>
    <row r="20" spans="1:66" x14ac:dyDescent="0.25">
      <c r="A20" s="22">
        <v>18</v>
      </c>
      <c r="B20" s="23">
        <v>600.96908555420316</v>
      </c>
      <c r="C20" s="24">
        <v>1628.3552571210364</v>
      </c>
      <c r="I20" s="31"/>
      <c r="J20" s="31"/>
      <c r="K20" s="31"/>
      <c r="L20" s="31"/>
      <c r="M20" s="31"/>
      <c r="N20" s="31"/>
      <c r="AH20" s="16">
        <v>1200</v>
      </c>
      <c r="AI20" s="16"/>
      <c r="AJ20" s="16"/>
      <c r="AK20" s="16">
        <v>750</v>
      </c>
      <c r="AL20" s="16">
        <v>1751</v>
      </c>
      <c r="AM20" s="16">
        <v>0</v>
      </c>
      <c r="AN20" s="16"/>
      <c r="BC20" s="13"/>
      <c r="BD20" s="13"/>
      <c r="BE20" s="13"/>
      <c r="BF20" s="13"/>
      <c r="BG20" s="13"/>
      <c r="BH20" s="13"/>
      <c r="BI20" s="13"/>
      <c r="BJ20" s="13"/>
      <c r="BK20" s="13"/>
      <c r="BL20" s="13"/>
      <c r="BM20" s="13"/>
      <c r="BN20" s="13"/>
    </row>
    <row r="21" spans="1:66" x14ac:dyDescent="0.25">
      <c r="A21" s="22">
        <v>19</v>
      </c>
      <c r="B21" s="23">
        <v>719.29795140329315</v>
      </c>
      <c r="C21" s="24">
        <v>1716.2207211726047</v>
      </c>
      <c r="I21" s="31"/>
      <c r="J21" s="31"/>
      <c r="K21" s="31"/>
      <c r="L21" s="31"/>
      <c r="M21" s="31"/>
      <c r="N21" s="31"/>
      <c r="AH21" s="16">
        <v>1250</v>
      </c>
      <c r="AI21" s="16"/>
      <c r="AJ21" s="16"/>
      <c r="AK21" s="16">
        <v>750</v>
      </c>
      <c r="AL21" s="16">
        <v>1454</v>
      </c>
      <c r="AM21" s="16">
        <v>0</v>
      </c>
      <c r="AN21" s="16"/>
      <c r="BC21" s="13"/>
      <c r="BD21" s="13"/>
      <c r="BE21" s="13"/>
      <c r="BF21" s="13"/>
      <c r="BG21" s="13"/>
      <c r="BH21" s="13"/>
      <c r="BI21" s="13"/>
      <c r="BJ21" s="13"/>
      <c r="BK21" s="13"/>
      <c r="BL21" s="13"/>
      <c r="BM21" s="13"/>
      <c r="BN21" s="13"/>
    </row>
    <row r="22" spans="1:66" x14ac:dyDescent="0.25">
      <c r="A22" s="22">
        <v>20</v>
      </c>
      <c r="B22" s="23">
        <v>803.94905274106111</v>
      </c>
      <c r="C22" s="24">
        <v>1521.4963931921134</v>
      </c>
      <c r="I22" s="31"/>
      <c r="J22" s="31"/>
      <c r="K22" s="31"/>
      <c r="L22" s="31"/>
      <c r="M22" s="31"/>
      <c r="N22" s="31"/>
      <c r="AH22" s="16"/>
      <c r="AI22" s="16"/>
      <c r="AJ22" s="16"/>
      <c r="AK22" s="16">
        <v>800</v>
      </c>
      <c r="AL22" s="16">
        <v>1454</v>
      </c>
      <c r="AM22" s="16">
        <v>0</v>
      </c>
      <c r="AN22" s="16"/>
      <c r="BC22" s="13"/>
      <c r="BD22" s="13"/>
      <c r="BE22" s="13"/>
      <c r="BF22" s="13"/>
      <c r="BG22" s="13"/>
      <c r="BH22" s="13"/>
      <c r="BI22" s="13"/>
      <c r="BJ22" s="13"/>
      <c r="BK22" s="13"/>
      <c r="BL22" s="13"/>
      <c r="BM22" s="13"/>
      <c r="BN22" s="13"/>
    </row>
    <row r="23" spans="1:66" x14ac:dyDescent="0.25">
      <c r="A23" s="22">
        <v>21</v>
      </c>
      <c r="B23" s="23">
        <v>704.16726257439166</v>
      </c>
      <c r="C23" s="24">
        <v>2080.3867794697439</v>
      </c>
      <c r="AH23" s="16"/>
      <c r="AI23" s="16"/>
      <c r="AJ23" s="16"/>
      <c r="AK23" s="16">
        <v>800</v>
      </c>
      <c r="AL23" s="16">
        <v>1019</v>
      </c>
      <c r="AM23" s="16">
        <v>0</v>
      </c>
      <c r="AN23" s="16"/>
      <c r="BC23" s="13"/>
      <c r="BD23" s="13"/>
      <c r="BE23" s="13"/>
      <c r="BF23" s="13"/>
      <c r="BG23" s="13"/>
      <c r="BH23" s="13"/>
      <c r="BI23" s="13"/>
      <c r="BJ23" s="13"/>
      <c r="BK23" s="13"/>
      <c r="BL23" s="13"/>
      <c r="BM23" s="13"/>
      <c r="BN23" s="13"/>
    </row>
    <row r="24" spans="1:66" x14ac:dyDescent="0.25">
      <c r="A24" s="22">
        <v>22</v>
      </c>
      <c r="B24" s="23">
        <v>647.64016492426879</v>
      </c>
      <c r="C24" s="24">
        <v>2330.3394111280304</v>
      </c>
      <c r="I24" s="54"/>
      <c r="AH24" s="16"/>
      <c r="AI24" s="16"/>
      <c r="AJ24" s="16"/>
      <c r="AK24" s="16">
        <v>850</v>
      </c>
      <c r="AL24" s="16">
        <v>1019</v>
      </c>
      <c r="AM24" s="16">
        <v>0</v>
      </c>
      <c r="AN24" s="16"/>
      <c r="BC24" s="13"/>
      <c r="BD24" s="13"/>
      <c r="BE24" s="13"/>
      <c r="BF24" s="13"/>
      <c r="BG24" s="13"/>
      <c r="BH24" s="13"/>
      <c r="BI24" s="13"/>
      <c r="BJ24" s="13"/>
      <c r="BK24" s="13"/>
      <c r="BL24" s="13"/>
      <c r="BM24" s="13"/>
      <c r="BN24" s="13"/>
    </row>
    <row r="25" spans="1:66" x14ac:dyDescent="0.25">
      <c r="A25" s="22">
        <v>23</v>
      </c>
      <c r="B25" s="23">
        <v>703.39246342809361</v>
      </c>
      <c r="C25" s="24">
        <v>1902.7437732887327</v>
      </c>
      <c r="AH25" s="16"/>
      <c r="AI25" s="16"/>
      <c r="AJ25" s="16"/>
      <c r="AK25" s="16">
        <v>850</v>
      </c>
      <c r="AL25" s="16">
        <v>592</v>
      </c>
      <c r="AM25" s="16">
        <v>0</v>
      </c>
      <c r="AN25" s="16"/>
      <c r="BC25" s="13"/>
      <c r="BD25" s="13"/>
      <c r="BE25" s="13"/>
      <c r="BF25" s="13"/>
      <c r="BG25" s="13"/>
      <c r="BH25" s="13"/>
      <c r="BI25" s="13"/>
      <c r="BJ25" s="13"/>
      <c r="BK25" s="13"/>
      <c r="BL25" s="13"/>
      <c r="BM25" s="13"/>
      <c r="BN25" s="13"/>
    </row>
    <row r="26" spans="1:66" x14ac:dyDescent="0.25">
      <c r="A26" s="22">
        <v>24</v>
      </c>
      <c r="B26" s="23">
        <v>745.20441609484226</v>
      </c>
      <c r="C26" s="24">
        <v>1629.4211444323603</v>
      </c>
      <c r="AH26" s="16"/>
      <c r="AI26" s="16"/>
      <c r="AJ26" s="16"/>
      <c r="AK26" s="16">
        <v>900</v>
      </c>
      <c r="AL26" s="16">
        <v>592</v>
      </c>
      <c r="AM26" s="16">
        <v>0</v>
      </c>
      <c r="AN26" s="16"/>
      <c r="BC26" s="13"/>
      <c r="BD26" s="13"/>
      <c r="BE26" s="13"/>
      <c r="BF26" s="13"/>
      <c r="BG26" s="13"/>
      <c r="BH26" s="13"/>
      <c r="BI26" s="13"/>
      <c r="BJ26" s="13"/>
      <c r="BK26" s="13"/>
      <c r="BL26" s="13"/>
      <c r="BM26" s="13"/>
      <c r="BN26" s="13"/>
    </row>
    <row r="27" spans="1:66" x14ac:dyDescent="0.25">
      <c r="A27" s="22">
        <v>25</v>
      </c>
      <c r="B27" s="23">
        <v>787.26403554775379</v>
      </c>
      <c r="C27" s="24">
        <v>1918.0347081693449</v>
      </c>
      <c r="AH27" s="16"/>
      <c r="AI27" s="16"/>
      <c r="AJ27" s="16"/>
      <c r="AK27" s="16">
        <v>900</v>
      </c>
      <c r="AL27" s="16">
        <v>324</v>
      </c>
      <c r="AM27" s="16">
        <v>0</v>
      </c>
      <c r="AN27" s="16"/>
      <c r="BC27" s="13"/>
      <c r="BD27" s="13"/>
      <c r="BE27" s="13"/>
      <c r="BF27" s="13"/>
      <c r="BG27" s="13"/>
      <c r="BH27" s="13"/>
      <c r="BI27" s="13"/>
      <c r="BJ27" s="13"/>
      <c r="BK27" s="13"/>
      <c r="BL27" s="13"/>
      <c r="BM27" s="13"/>
      <c r="BN27" s="13"/>
    </row>
    <row r="28" spans="1:66" x14ac:dyDescent="0.25">
      <c r="A28" s="22">
        <v>26</v>
      </c>
      <c r="B28" s="23">
        <v>804.22323691101985</v>
      </c>
      <c r="C28" s="24">
        <v>1721.109323703728</v>
      </c>
      <c r="AH28" s="16"/>
      <c r="AI28" s="16"/>
      <c r="AJ28" s="16"/>
      <c r="AK28" s="16">
        <v>950</v>
      </c>
      <c r="AL28" s="16">
        <v>324</v>
      </c>
      <c r="AM28" s="16">
        <v>0</v>
      </c>
      <c r="AN28" s="16"/>
      <c r="BC28" s="13"/>
      <c r="BD28" s="13"/>
      <c r="BE28" s="13"/>
      <c r="BF28" s="13"/>
      <c r="BG28" s="13"/>
      <c r="BH28" s="13"/>
      <c r="BI28" s="13"/>
      <c r="BJ28" s="13"/>
      <c r="BK28" s="13"/>
      <c r="BL28" s="13"/>
      <c r="BM28" s="13"/>
      <c r="BN28" s="13"/>
    </row>
    <row r="29" spans="1:66" x14ac:dyDescent="0.25">
      <c r="A29" s="22">
        <v>27</v>
      </c>
      <c r="B29" s="23">
        <v>810.54438641579327</v>
      </c>
      <c r="C29" s="24">
        <v>2401.4133732544701</v>
      </c>
      <c r="AH29" s="16"/>
      <c r="AI29" s="16"/>
      <c r="AJ29" s="16"/>
      <c r="AK29" s="16">
        <v>950</v>
      </c>
      <c r="AL29" s="16">
        <v>151</v>
      </c>
      <c r="AM29" s="16">
        <v>0</v>
      </c>
      <c r="AN29" s="16"/>
      <c r="BC29" s="13"/>
      <c r="BD29" s="13"/>
      <c r="BE29" s="13"/>
      <c r="BF29" s="13"/>
      <c r="BG29" s="13"/>
      <c r="BH29" s="13"/>
      <c r="BI29" s="13"/>
      <c r="BJ29" s="13"/>
      <c r="BK29" s="13"/>
      <c r="BL29" s="13"/>
      <c r="BM29" s="13"/>
      <c r="BN29" s="13"/>
    </row>
    <row r="30" spans="1:66" x14ac:dyDescent="0.25">
      <c r="A30" s="22">
        <v>28</v>
      </c>
      <c r="B30" s="23">
        <v>674.87431639380543</v>
      </c>
      <c r="C30" s="24">
        <v>1573.918136572041</v>
      </c>
      <c r="AH30" s="16"/>
      <c r="AI30" s="16"/>
      <c r="AJ30" s="16"/>
      <c r="AK30" s="16">
        <v>1000</v>
      </c>
      <c r="AL30" s="16">
        <v>151</v>
      </c>
      <c r="AM30" s="16">
        <v>0</v>
      </c>
      <c r="AN30" s="16"/>
      <c r="BC30" s="13"/>
      <c r="BD30" s="13"/>
      <c r="BE30" s="13"/>
      <c r="BF30" s="13"/>
      <c r="BG30" s="13"/>
      <c r="BH30" s="13"/>
      <c r="BI30" s="13"/>
      <c r="BJ30" s="13"/>
      <c r="BK30" s="13"/>
      <c r="BL30" s="13"/>
      <c r="BM30" s="13"/>
      <c r="BN30" s="13"/>
    </row>
    <row r="31" spans="1:66" x14ac:dyDescent="0.25">
      <c r="A31" s="22">
        <v>29</v>
      </c>
      <c r="B31" s="23">
        <v>656.21557562374426</v>
      </c>
      <c r="C31" s="24">
        <v>1807.0881987837638</v>
      </c>
      <c r="AH31" s="16"/>
      <c r="AI31" s="16"/>
      <c r="AJ31" s="16"/>
      <c r="AK31" s="16">
        <v>1000</v>
      </c>
      <c r="AL31" s="16">
        <v>63</v>
      </c>
      <c r="AM31" s="16">
        <v>0</v>
      </c>
      <c r="AN31" s="16"/>
      <c r="BC31" s="13"/>
      <c r="BD31" s="13"/>
      <c r="BE31" s="13"/>
      <c r="BF31" s="13"/>
      <c r="BG31" s="13"/>
      <c r="BH31" s="13"/>
      <c r="BI31" s="13"/>
      <c r="BJ31" s="13"/>
      <c r="BK31" s="13"/>
      <c r="BL31" s="13"/>
      <c r="BM31" s="13"/>
      <c r="BN31" s="13"/>
    </row>
    <row r="32" spans="1:66" x14ac:dyDescent="0.25">
      <c r="A32" s="22">
        <v>30</v>
      </c>
      <c r="B32" s="23">
        <v>626.99530110665887</v>
      </c>
      <c r="C32" s="24">
        <v>1865.4844250989911</v>
      </c>
      <c r="AH32" s="16"/>
      <c r="AI32" s="16"/>
      <c r="AJ32" s="16"/>
      <c r="AK32" s="16">
        <v>1050</v>
      </c>
      <c r="AL32" s="16">
        <v>63</v>
      </c>
      <c r="AM32" s="16">
        <v>0</v>
      </c>
      <c r="AN32" s="16"/>
      <c r="BC32" s="13"/>
      <c r="BD32" s="13"/>
      <c r="BE32" s="13"/>
      <c r="BF32" s="13"/>
      <c r="BG32" s="13"/>
      <c r="BH32" s="13"/>
      <c r="BI32" s="13"/>
      <c r="BJ32" s="13"/>
      <c r="BK32" s="13"/>
      <c r="BL32" s="13"/>
      <c r="BM32" s="13"/>
      <c r="BN32" s="13"/>
    </row>
    <row r="33" spans="1:66" x14ac:dyDescent="0.25">
      <c r="A33" s="22">
        <v>31</v>
      </c>
      <c r="B33" s="23">
        <v>964.59560556087513</v>
      </c>
      <c r="C33" s="24">
        <v>1869.1468518931208</v>
      </c>
      <c r="AH33" s="16"/>
      <c r="AI33" s="16"/>
      <c r="AJ33" s="16"/>
      <c r="AK33" s="16">
        <v>1050</v>
      </c>
      <c r="AL33" s="16">
        <v>19</v>
      </c>
      <c r="AM33" s="16">
        <v>0</v>
      </c>
      <c r="AN33" s="16"/>
      <c r="BC33" s="13"/>
      <c r="BD33" s="13"/>
      <c r="BE33" s="13"/>
      <c r="BF33" s="13"/>
      <c r="BG33" s="13"/>
      <c r="BH33" s="13"/>
      <c r="BI33" s="13"/>
      <c r="BJ33" s="13"/>
      <c r="BK33" s="13"/>
      <c r="BL33" s="13"/>
      <c r="BM33" s="13"/>
      <c r="BN33" s="13"/>
    </row>
    <row r="34" spans="1:66" x14ac:dyDescent="0.25">
      <c r="A34" s="22">
        <v>32</v>
      </c>
      <c r="B34" s="23">
        <v>730.82344677548906</v>
      </c>
      <c r="C34" s="24">
        <v>1906.972456550038</v>
      </c>
      <c r="AH34" s="16"/>
      <c r="AI34" s="16"/>
      <c r="AJ34" s="16"/>
      <c r="AK34" s="16">
        <v>1100</v>
      </c>
      <c r="AL34" s="16">
        <v>19</v>
      </c>
      <c r="AM34" s="16">
        <v>0</v>
      </c>
      <c r="AN34" s="16"/>
      <c r="BC34" s="13"/>
      <c r="BD34" s="13"/>
      <c r="BE34" s="13"/>
      <c r="BF34" s="13"/>
      <c r="BG34" s="13"/>
      <c r="BH34" s="13"/>
      <c r="BI34" s="13"/>
      <c r="BJ34" s="13"/>
      <c r="BK34" s="13"/>
      <c r="BL34" s="13"/>
      <c r="BM34" s="13"/>
      <c r="BN34" s="13"/>
    </row>
    <row r="35" spans="1:66" x14ac:dyDescent="0.25">
      <c r="A35" s="22">
        <v>33</v>
      </c>
      <c r="B35" s="23">
        <v>786.11611536809892</v>
      </c>
      <c r="C35" s="24">
        <v>2098.0192009739649</v>
      </c>
      <c r="AH35" s="16"/>
      <c r="AI35" s="16"/>
      <c r="AJ35" s="16"/>
      <c r="AK35" s="16">
        <v>1100</v>
      </c>
      <c r="AL35" s="16">
        <v>16</v>
      </c>
      <c r="AM35" s="16">
        <v>2</v>
      </c>
      <c r="AN35" s="16"/>
      <c r="BC35" s="13"/>
      <c r="BD35" s="13"/>
      <c r="BE35" s="13"/>
      <c r="BF35" s="13"/>
      <c r="BG35" s="13"/>
      <c r="BH35" s="13"/>
      <c r="BI35" s="13"/>
      <c r="BJ35" s="13"/>
      <c r="BK35" s="13"/>
      <c r="BL35" s="13"/>
      <c r="BM35" s="13"/>
      <c r="BN35" s="13"/>
    </row>
    <row r="36" spans="1:66" x14ac:dyDescent="0.25">
      <c r="A36" s="22">
        <v>34</v>
      </c>
      <c r="B36" s="23">
        <v>723.59917117186092</v>
      </c>
      <c r="C36" s="24">
        <v>1610.6884531783496</v>
      </c>
      <c r="AH36" s="16"/>
      <c r="AI36" s="16"/>
      <c r="AJ36" s="16"/>
      <c r="AK36" s="16">
        <v>1150</v>
      </c>
      <c r="AL36" s="16">
        <v>16</v>
      </c>
      <c r="AM36" s="16">
        <v>2</v>
      </c>
      <c r="AN36" s="16"/>
      <c r="BC36" s="13"/>
      <c r="BD36" s="13"/>
      <c r="BE36" s="13"/>
      <c r="BF36" s="13"/>
      <c r="BG36" s="13"/>
      <c r="BH36" s="13"/>
      <c r="BI36" s="13"/>
      <c r="BJ36" s="13"/>
      <c r="BK36" s="13"/>
      <c r="BL36" s="13"/>
      <c r="BM36" s="13"/>
      <c r="BN36" s="13"/>
    </row>
    <row r="37" spans="1:66" x14ac:dyDescent="0.25">
      <c r="A37" s="22">
        <v>35</v>
      </c>
      <c r="B37" s="23">
        <v>782.07700110074541</v>
      </c>
      <c r="C37" s="24">
        <v>1908.1695134583188</v>
      </c>
      <c r="AH37" s="16"/>
      <c r="AI37" s="16"/>
      <c r="AJ37" s="16"/>
      <c r="AK37" s="16">
        <v>1150</v>
      </c>
      <c r="AL37" s="16">
        <v>4</v>
      </c>
      <c r="AM37" s="16">
        <v>4</v>
      </c>
      <c r="AN37" s="16"/>
      <c r="BC37" s="13"/>
      <c r="BD37" s="13"/>
      <c r="BE37" s="13"/>
      <c r="BF37" s="13"/>
      <c r="BG37" s="13"/>
      <c r="BH37" s="13"/>
      <c r="BI37" s="13"/>
      <c r="BJ37" s="13"/>
      <c r="BK37" s="13"/>
      <c r="BL37" s="13"/>
      <c r="BM37" s="13"/>
      <c r="BN37" s="13"/>
    </row>
    <row r="38" spans="1:66" x14ac:dyDescent="0.25">
      <c r="A38" s="22">
        <v>36</v>
      </c>
      <c r="B38" s="23">
        <v>744.55249672590196</v>
      </c>
      <c r="C38" s="24">
        <v>1904.8114857896619</v>
      </c>
      <c r="AH38" s="16"/>
      <c r="AI38" s="16"/>
      <c r="AJ38" s="16"/>
      <c r="AK38" s="16">
        <v>1200</v>
      </c>
      <c r="AL38" s="16">
        <v>4</v>
      </c>
      <c r="AM38" s="16">
        <v>4</v>
      </c>
      <c r="AN38" s="16"/>
      <c r="BC38" s="13"/>
      <c r="BD38" s="13"/>
      <c r="BE38" s="13"/>
      <c r="BF38" s="13"/>
      <c r="BG38" s="13"/>
      <c r="BH38" s="13"/>
      <c r="BI38" s="13"/>
      <c r="BJ38" s="13"/>
      <c r="BK38" s="13"/>
      <c r="BL38" s="13"/>
      <c r="BM38" s="13"/>
      <c r="BN38" s="13"/>
    </row>
    <row r="39" spans="1:66" x14ac:dyDescent="0.25">
      <c r="A39" s="22">
        <v>37</v>
      </c>
      <c r="B39" s="23">
        <v>587.78690999770322</v>
      </c>
      <c r="C39" s="24">
        <v>2002.3659197183254</v>
      </c>
      <c r="AH39" s="16"/>
      <c r="AI39" s="16"/>
      <c r="AJ39" s="16"/>
      <c r="AK39" s="16">
        <v>1200</v>
      </c>
      <c r="AL39" s="16">
        <v>2</v>
      </c>
      <c r="AM39" s="16">
        <v>8</v>
      </c>
      <c r="AN39" s="16"/>
      <c r="BC39" s="13"/>
      <c r="BD39" s="13"/>
      <c r="BE39" s="13"/>
      <c r="BF39" s="13"/>
      <c r="BG39" s="13"/>
      <c r="BH39" s="13"/>
      <c r="BI39" s="13"/>
      <c r="BJ39" s="13"/>
      <c r="BK39" s="13"/>
      <c r="BL39" s="13"/>
      <c r="BM39" s="13"/>
      <c r="BN39" s="13"/>
    </row>
    <row r="40" spans="1:66" x14ac:dyDescent="0.25">
      <c r="A40" s="22">
        <v>38</v>
      </c>
      <c r="B40" s="23">
        <v>812.57340462251841</v>
      </c>
      <c r="C40" s="24">
        <v>1799.9379685877191</v>
      </c>
      <c r="AH40" s="16"/>
      <c r="AI40" s="16"/>
      <c r="AJ40" s="16"/>
      <c r="AK40" s="16">
        <v>1250</v>
      </c>
      <c r="AL40" s="16">
        <v>2</v>
      </c>
      <c r="AM40" s="16">
        <v>8</v>
      </c>
      <c r="AN40" s="16"/>
      <c r="BC40" s="13"/>
      <c r="BD40" s="13"/>
      <c r="BE40" s="13"/>
      <c r="BF40" s="13"/>
      <c r="BG40" s="13"/>
      <c r="BH40" s="13"/>
      <c r="BI40" s="13"/>
      <c r="BJ40" s="13"/>
      <c r="BK40" s="13"/>
      <c r="BL40" s="13"/>
      <c r="BM40" s="13"/>
      <c r="BN40" s="13"/>
    </row>
    <row r="41" spans="1:66" x14ac:dyDescent="0.25">
      <c r="A41" s="22">
        <v>39</v>
      </c>
      <c r="B41" s="23">
        <v>693.2349812469314</v>
      </c>
      <c r="C41" s="24">
        <v>1686.7184754103621</v>
      </c>
      <c r="AH41" s="16"/>
      <c r="AI41" s="16"/>
      <c r="AJ41" s="16"/>
      <c r="AK41" s="16">
        <v>1250</v>
      </c>
      <c r="AL41" s="16">
        <v>0</v>
      </c>
      <c r="AM41" s="16">
        <v>23</v>
      </c>
      <c r="AN41" s="16"/>
      <c r="BC41" s="13"/>
      <c r="BD41" s="13"/>
      <c r="BE41" s="13"/>
      <c r="BF41" s="13"/>
      <c r="BG41" s="13"/>
      <c r="BH41" s="13"/>
      <c r="BI41" s="13"/>
      <c r="BJ41" s="13"/>
      <c r="BK41" s="13"/>
      <c r="BL41" s="13"/>
      <c r="BM41" s="13"/>
      <c r="BN41" s="13"/>
    </row>
    <row r="42" spans="1:66" x14ac:dyDescent="0.25">
      <c r="A42" s="22">
        <v>40</v>
      </c>
      <c r="B42" s="23">
        <v>939.43386284426288</v>
      </c>
      <c r="C42" s="24">
        <v>2248.0486212079477</v>
      </c>
      <c r="AH42" s="16"/>
      <c r="AI42" s="16"/>
      <c r="AJ42" s="16"/>
      <c r="AK42" s="16">
        <v>1300</v>
      </c>
      <c r="AL42" s="16"/>
      <c r="AM42" s="16">
        <v>23</v>
      </c>
      <c r="AN42" s="16"/>
      <c r="BC42" s="13"/>
      <c r="BD42" s="13"/>
      <c r="BE42" s="13"/>
      <c r="BF42" s="13"/>
      <c r="BG42" s="13"/>
      <c r="BH42" s="13"/>
      <c r="BI42" s="13"/>
      <c r="BJ42" s="13"/>
      <c r="BK42" s="13"/>
      <c r="BL42" s="13"/>
      <c r="BM42" s="13"/>
      <c r="BN42" s="13"/>
    </row>
    <row r="43" spans="1:66" x14ac:dyDescent="0.25">
      <c r="A43" s="22">
        <v>41</v>
      </c>
      <c r="B43" s="23">
        <v>616.23995052585701</v>
      </c>
      <c r="C43" s="24">
        <v>1708.376985199443</v>
      </c>
      <c r="AH43" s="16"/>
      <c r="AI43" s="16"/>
      <c r="AJ43" s="16"/>
      <c r="AK43" s="16">
        <v>1300</v>
      </c>
      <c r="AL43" s="16"/>
      <c r="AM43" s="16">
        <v>51</v>
      </c>
      <c r="AN43" s="16"/>
      <c r="BC43" s="13"/>
      <c r="BD43" s="13"/>
      <c r="BE43" s="13"/>
      <c r="BF43" s="13"/>
      <c r="BG43" s="13"/>
      <c r="BH43" s="13"/>
      <c r="BI43" s="13"/>
      <c r="BJ43" s="13"/>
      <c r="BK43" s="13"/>
      <c r="BL43" s="13"/>
      <c r="BM43" s="13"/>
      <c r="BN43" s="13"/>
    </row>
    <row r="44" spans="1:66" x14ac:dyDescent="0.25">
      <c r="A44" s="22">
        <v>42</v>
      </c>
      <c r="B44" s="23">
        <v>726.28317328092942</v>
      </c>
      <c r="C44" s="24">
        <v>1340.2157992289883</v>
      </c>
      <c r="AH44" s="16"/>
      <c r="AI44" s="16"/>
      <c r="AJ44" s="16"/>
      <c r="AK44" s="16">
        <v>1350</v>
      </c>
      <c r="AL44" s="16"/>
      <c r="AM44" s="16">
        <v>51</v>
      </c>
      <c r="AN44" s="16"/>
      <c r="BC44" s="13"/>
      <c r="BD44" s="13"/>
      <c r="BE44" s="13"/>
      <c r="BF44" s="13"/>
      <c r="BG44" s="13"/>
      <c r="BH44" s="13"/>
      <c r="BI44" s="13"/>
      <c r="BJ44" s="13"/>
      <c r="BK44" s="13"/>
      <c r="BL44" s="13"/>
      <c r="BM44" s="13"/>
      <c r="BN44" s="13"/>
    </row>
    <row r="45" spans="1:66" x14ac:dyDescent="0.25">
      <c r="A45" s="22">
        <v>43</v>
      </c>
      <c r="B45" s="23">
        <v>770.15280372549341</v>
      </c>
      <c r="C45" s="24">
        <v>1847.8160358477683</v>
      </c>
      <c r="AH45" s="16"/>
      <c r="AI45" s="16"/>
      <c r="AJ45" s="16"/>
      <c r="AK45" s="16">
        <v>1350</v>
      </c>
      <c r="AL45" s="16"/>
      <c r="AM45" s="16">
        <v>91</v>
      </c>
      <c r="AN45" s="16"/>
      <c r="BC45" s="13"/>
      <c r="BD45" s="13"/>
      <c r="BE45" s="13"/>
      <c r="BF45" s="13"/>
      <c r="BG45" s="13"/>
      <c r="BH45" s="13"/>
      <c r="BI45" s="13"/>
      <c r="BJ45" s="13"/>
      <c r="BK45" s="13"/>
      <c r="BL45" s="13"/>
      <c r="BM45" s="13"/>
      <c r="BN45" s="13"/>
    </row>
    <row r="46" spans="1:66" x14ac:dyDescent="0.25">
      <c r="A46" s="22">
        <v>44</v>
      </c>
      <c r="B46" s="23">
        <v>819.9052732654161</v>
      </c>
      <c r="C46" s="24">
        <v>2177.8430564524742</v>
      </c>
      <c r="I46" s="54"/>
      <c r="AH46" s="16"/>
      <c r="AI46" s="16"/>
      <c r="AJ46" s="16"/>
      <c r="AK46" s="16">
        <v>1400</v>
      </c>
      <c r="AL46" s="16"/>
      <c r="AM46" s="16">
        <v>91</v>
      </c>
      <c r="AN46" s="16"/>
      <c r="BC46" s="13"/>
      <c r="BD46" s="13"/>
      <c r="BE46" s="13"/>
      <c r="BF46" s="13"/>
      <c r="BG46" s="13"/>
      <c r="BH46" s="13"/>
      <c r="BI46" s="13"/>
      <c r="BJ46" s="13"/>
      <c r="BK46" s="13"/>
      <c r="BL46" s="13"/>
      <c r="BM46" s="13"/>
      <c r="BN46" s="13"/>
    </row>
    <row r="47" spans="1:66" x14ac:dyDescent="0.25">
      <c r="A47" s="22">
        <v>45</v>
      </c>
      <c r="B47" s="23">
        <v>661.47988536262801</v>
      </c>
      <c r="C47" s="24">
        <v>1744.7524239735187</v>
      </c>
      <c r="AH47" s="16"/>
      <c r="AI47" s="16"/>
      <c r="AJ47" s="16"/>
      <c r="AK47" s="16">
        <v>1400</v>
      </c>
      <c r="AL47" s="16"/>
      <c r="AM47" s="16">
        <v>167</v>
      </c>
      <c r="AN47" s="16"/>
      <c r="BC47" s="13"/>
      <c r="BD47" s="13"/>
      <c r="BE47" s="13"/>
      <c r="BF47" s="13"/>
      <c r="BG47" s="13"/>
      <c r="BH47" s="13"/>
      <c r="BI47" s="13"/>
      <c r="BJ47" s="13"/>
      <c r="BK47" s="13"/>
      <c r="BL47" s="13"/>
      <c r="BM47" s="13"/>
      <c r="BN47" s="13"/>
    </row>
    <row r="48" spans="1:66" x14ac:dyDescent="0.25">
      <c r="A48" s="22">
        <v>46</v>
      </c>
      <c r="B48" s="23">
        <v>756.89980381057296</v>
      </c>
      <c r="C48" s="24">
        <v>1742.956310353552</v>
      </c>
      <c r="AH48" s="16"/>
      <c r="AI48" s="16"/>
      <c r="AJ48" s="16"/>
      <c r="AK48" s="16">
        <v>1450</v>
      </c>
      <c r="AL48" s="16"/>
      <c r="AM48" s="16">
        <v>167</v>
      </c>
      <c r="AN48" s="16"/>
      <c r="BC48" s="13"/>
      <c r="BD48" s="13"/>
      <c r="BE48" s="13"/>
      <c r="BF48" s="13"/>
      <c r="BG48" s="13"/>
      <c r="BH48" s="13"/>
      <c r="BI48" s="13"/>
      <c r="BJ48" s="13"/>
      <c r="BK48" s="13"/>
      <c r="BL48" s="13"/>
      <c r="BM48" s="13"/>
      <c r="BN48" s="13"/>
    </row>
    <row r="49" spans="1:66" x14ac:dyDescent="0.25">
      <c r="A49" s="22">
        <v>47</v>
      </c>
      <c r="B49" s="23">
        <v>713.48162638312169</v>
      </c>
      <c r="C49" s="24">
        <v>2000.9783300883676</v>
      </c>
      <c r="AH49" s="16"/>
      <c r="AI49" s="16"/>
      <c r="AJ49" s="16"/>
      <c r="AK49" s="16">
        <v>1450</v>
      </c>
      <c r="AL49" s="16"/>
      <c r="AM49" s="16">
        <v>236</v>
      </c>
      <c r="AN49" s="16"/>
      <c r="BC49" s="13"/>
      <c r="BD49" s="13"/>
      <c r="BE49" s="13"/>
      <c r="BF49" s="13"/>
      <c r="BG49" s="13"/>
      <c r="BH49" s="13"/>
      <c r="BI49" s="13"/>
      <c r="BJ49" s="13"/>
      <c r="BK49" s="13"/>
      <c r="BL49" s="13"/>
      <c r="BM49" s="13"/>
      <c r="BN49" s="13"/>
    </row>
    <row r="50" spans="1:66" x14ac:dyDescent="0.25">
      <c r="A50" s="22">
        <v>48</v>
      </c>
      <c r="B50" s="23">
        <v>684.82107863356066</v>
      </c>
      <c r="C50" s="24">
        <v>2260.2546778048631</v>
      </c>
      <c r="AH50" s="16"/>
      <c r="AI50" s="16"/>
      <c r="AJ50" s="16"/>
      <c r="AK50" s="16">
        <v>1500</v>
      </c>
      <c r="AL50" s="16"/>
      <c r="AM50" s="16">
        <v>236</v>
      </c>
      <c r="AN50" s="16"/>
      <c r="BC50" s="13"/>
      <c r="BD50" s="13"/>
      <c r="BE50" s="13"/>
      <c r="BF50" s="13"/>
      <c r="BG50" s="13"/>
      <c r="BH50" s="13"/>
      <c r="BI50" s="13"/>
      <c r="BJ50" s="13"/>
      <c r="BK50" s="13"/>
      <c r="BL50" s="13"/>
      <c r="BM50" s="13"/>
      <c r="BN50" s="13"/>
    </row>
    <row r="51" spans="1:66" x14ac:dyDescent="0.25">
      <c r="A51" s="22">
        <v>49</v>
      </c>
      <c r="B51" s="23">
        <v>691.09468363811254</v>
      </c>
      <c r="C51" s="24">
        <v>1936.3441217825264</v>
      </c>
      <c r="AH51" s="16"/>
      <c r="AI51" s="16"/>
      <c r="AJ51" s="16"/>
      <c r="AK51" s="16">
        <v>1500</v>
      </c>
      <c r="AL51" s="16"/>
      <c r="AM51" s="16">
        <v>374</v>
      </c>
      <c r="AN51" s="16"/>
      <c r="BC51" s="13"/>
      <c r="BD51" s="13"/>
      <c r="BE51" s="13"/>
      <c r="BF51" s="13"/>
      <c r="BG51" s="13"/>
      <c r="BH51" s="13"/>
      <c r="BI51" s="13"/>
      <c r="BJ51" s="13"/>
      <c r="BK51" s="13"/>
      <c r="BL51" s="13"/>
      <c r="BM51" s="13"/>
      <c r="BN51" s="13"/>
    </row>
    <row r="52" spans="1:66" x14ac:dyDescent="0.25">
      <c r="A52" s="22">
        <v>50</v>
      </c>
      <c r="B52" s="23">
        <v>661.62642535221198</v>
      </c>
      <c r="C52" s="24">
        <v>1589.1324115469397</v>
      </c>
      <c r="AH52" s="16"/>
      <c r="AI52" s="16"/>
      <c r="AJ52" s="16"/>
      <c r="AK52" s="16">
        <v>1550</v>
      </c>
      <c r="AL52" s="16"/>
      <c r="AM52" s="16">
        <v>374</v>
      </c>
      <c r="AN52" s="16"/>
      <c r="BC52" s="13"/>
      <c r="BD52" s="13"/>
      <c r="BE52" s="13"/>
      <c r="BF52" s="13"/>
      <c r="BG52" s="13"/>
      <c r="BH52" s="13"/>
      <c r="BI52" s="13"/>
      <c r="BJ52" s="13"/>
      <c r="BK52" s="13"/>
      <c r="BL52" s="13"/>
      <c r="BM52" s="13"/>
      <c r="BN52" s="13"/>
    </row>
    <row r="53" spans="1:66" x14ac:dyDescent="0.25">
      <c r="A53" s="22">
        <v>51</v>
      </c>
      <c r="B53" s="23">
        <v>575.44959949909594</v>
      </c>
      <c r="C53" s="24">
        <v>2278.5116215855091</v>
      </c>
      <c r="AH53" s="16"/>
      <c r="AI53" s="16"/>
      <c r="AJ53" s="16"/>
      <c r="AK53" s="16">
        <v>1550</v>
      </c>
      <c r="AL53" s="16"/>
      <c r="AM53" s="16">
        <v>496</v>
      </c>
      <c r="AN53" s="16"/>
      <c r="BC53" s="13"/>
      <c r="BD53" s="13"/>
      <c r="BE53" s="13"/>
      <c r="BF53" s="13"/>
      <c r="BG53" s="13"/>
      <c r="BH53" s="13"/>
      <c r="BI53" s="13"/>
      <c r="BJ53" s="13"/>
      <c r="BK53" s="13"/>
      <c r="BL53" s="13"/>
      <c r="BM53" s="13"/>
      <c r="BN53" s="13"/>
    </row>
    <row r="54" spans="1:66" x14ac:dyDescent="0.25">
      <c r="A54" s="22">
        <v>52</v>
      </c>
      <c r="B54" s="23">
        <v>810.26052567967588</v>
      </c>
      <c r="C54" s="24">
        <v>1787.9053447166184</v>
      </c>
      <c r="AH54" s="16"/>
      <c r="AI54" s="16"/>
      <c r="AJ54" s="16"/>
      <c r="AK54" s="16">
        <v>1600</v>
      </c>
      <c r="AL54" s="16"/>
      <c r="AM54" s="16">
        <v>496</v>
      </c>
      <c r="AN54" s="16"/>
      <c r="BC54" s="13"/>
      <c r="BD54" s="13"/>
      <c r="BE54" s="13"/>
      <c r="BF54" s="13"/>
      <c r="BG54" s="13"/>
      <c r="BH54" s="13"/>
      <c r="BI54" s="13"/>
      <c r="BJ54" s="13"/>
      <c r="BK54" s="13"/>
      <c r="BL54" s="13"/>
      <c r="BM54" s="13"/>
      <c r="BN54" s="13"/>
    </row>
    <row r="55" spans="1:66" x14ac:dyDescent="0.25">
      <c r="A55" s="22">
        <v>53</v>
      </c>
      <c r="B55" s="23">
        <v>669.85432039957141</v>
      </c>
      <c r="C55" s="24">
        <v>1701.5109460428964</v>
      </c>
      <c r="AH55" s="16"/>
      <c r="AI55" s="16"/>
      <c r="AJ55" s="16"/>
      <c r="AK55" s="16">
        <v>1600</v>
      </c>
      <c r="AL55" s="16"/>
      <c r="AM55" s="16">
        <v>575</v>
      </c>
      <c r="AN55" s="16"/>
      <c r="BC55" s="13"/>
      <c r="BD55" s="13"/>
      <c r="BE55" s="13"/>
      <c r="BF55" s="13"/>
      <c r="BG55" s="13"/>
      <c r="BH55" s="13"/>
      <c r="BI55" s="13"/>
      <c r="BJ55" s="13"/>
      <c r="BK55" s="13"/>
      <c r="BL55" s="13"/>
      <c r="BM55" s="13"/>
      <c r="BN55" s="13"/>
    </row>
    <row r="56" spans="1:66" x14ac:dyDescent="0.25">
      <c r="A56" s="22">
        <v>54</v>
      </c>
      <c r="B56" s="23">
        <v>770.9843341447654</v>
      </c>
      <c r="C56" s="24">
        <v>1735.4400203608441</v>
      </c>
      <c r="AH56" s="16"/>
      <c r="AI56" s="16"/>
      <c r="AJ56" s="16"/>
      <c r="AK56" s="16">
        <v>1650</v>
      </c>
      <c r="AL56" s="16"/>
      <c r="AM56" s="16">
        <v>575</v>
      </c>
      <c r="AN56" s="16"/>
      <c r="BC56" s="13"/>
      <c r="BD56" s="13"/>
      <c r="BE56" s="13"/>
      <c r="BF56" s="13"/>
      <c r="BG56" s="13"/>
      <c r="BH56" s="13"/>
      <c r="BI56" s="13"/>
      <c r="BJ56" s="13"/>
      <c r="BK56" s="13"/>
      <c r="BL56" s="13"/>
      <c r="BM56" s="13"/>
      <c r="BN56" s="13"/>
    </row>
    <row r="57" spans="1:66" x14ac:dyDescent="0.25">
      <c r="A57" s="22">
        <v>55</v>
      </c>
      <c r="B57" s="23">
        <v>789.96757697907287</v>
      </c>
      <c r="C57" s="24">
        <v>2078.5430102109835</v>
      </c>
      <c r="AH57" s="16"/>
      <c r="AI57" s="16"/>
      <c r="AJ57" s="16"/>
      <c r="AK57" s="16">
        <v>1650</v>
      </c>
      <c r="AL57" s="16"/>
      <c r="AM57" s="16">
        <v>652</v>
      </c>
      <c r="AN57" s="16"/>
      <c r="BC57" s="13"/>
      <c r="BD57" s="13"/>
      <c r="BE57" s="13"/>
      <c r="BF57" s="13"/>
      <c r="BG57" s="13"/>
      <c r="BH57" s="13"/>
      <c r="BI57" s="13"/>
      <c r="BJ57" s="13"/>
      <c r="BK57" s="13"/>
      <c r="BL57" s="13"/>
      <c r="BM57" s="13"/>
      <c r="BN57" s="13"/>
    </row>
    <row r="58" spans="1:66" x14ac:dyDescent="0.25">
      <c r="A58" s="22">
        <v>56</v>
      </c>
      <c r="B58" s="23">
        <v>631.09883083557338</v>
      </c>
      <c r="C58" s="24">
        <v>1986.5444139571748</v>
      </c>
      <c r="AH58" s="16"/>
      <c r="AI58" s="16"/>
      <c r="AJ58" s="16"/>
      <c r="AK58" s="16">
        <v>1700</v>
      </c>
      <c r="AL58" s="16"/>
      <c r="AM58" s="16">
        <v>652</v>
      </c>
      <c r="AN58" s="16"/>
      <c r="BC58" s="13"/>
      <c r="BD58" s="13"/>
      <c r="BE58" s="13"/>
      <c r="BF58" s="13"/>
      <c r="BG58" s="13"/>
      <c r="BH58" s="13"/>
      <c r="BI58" s="13"/>
      <c r="BJ58" s="13"/>
      <c r="BK58" s="13"/>
      <c r="BL58" s="13"/>
      <c r="BM58" s="13"/>
      <c r="BN58" s="13"/>
    </row>
    <row r="59" spans="1:66" x14ac:dyDescent="0.25">
      <c r="A59" s="22">
        <v>57</v>
      </c>
      <c r="B59" s="23">
        <v>685.6197653919337</v>
      </c>
      <c r="C59" s="24">
        <v>2087.4956471636056</v>
      </c>
      <c r="AH59" s="16"/>
      <c r="AI59" s="16"/>
      <c r="AJ59" s="16"/>
      <c r="AK59" s="16">
        <v>1700</v>
      </c>
      <c r="AL59" s="16"/>
      <c r="AM59" s="16">
        <v>747</v>
      </c>
      <c r="AN59" s="16"/>
      <c r="BC59" s="13"/>
      <c r="BD59" s="13"/>
      <c r="BE59" s="13"/>
      <c r="BF59" s="13"/>
      <c r="BG59" s="13"/>
      <c r="BH59" s="13"/>
      <c r="BI59" s="13"/>
      <c r="BJ59" s="13"/>
      <c r="BK59" s="13"/>
      <c r="BL59" s="13"/>
      <c r="BM59" s="13"/>
      <c r="BN59" s="13"/>
    </row>
    <row r="60" spans="1:66" x14ac:dyDescent="0.25">
      <c r="A60" s="22">
        <v>58</v>
      </c>
      <c r="B60" s="23">
        <v>860.05174883767722</v>
      </c>
      <c r="C60" s="24">
        <v>1704.9644787657869</v>
      </c>
      <c r="AH60" s="16"/>
      <c r="AI60" s="16"/>
      <c r="AJ60" s="16"/>
      <c r="AK60" s="16">
        <v>1750</v>
      </c>
      <c r="AL60" s="16"/>
      <c r="AM60" s="16">
        <v>747</v>
      </c>
      <c r="AN60" s="16"/>
      <c r="BC60" s="13"/>
      <c r="BD60" s="13"/>
      <c r="BE60" s="13"/>
      <c r="BF60" s="13"/>
      <c r="BG60" s="13"/>
      <c r="BH60" s="13"/>
      <c r="BI60" s="13"/>
      <c r="BJ60" s="13"/>
      <c r="BK60" s="13"/>
      <c r="BL60" s="13"/>
      <c r="BM60" s="13"/>
      <c r="BN60" s="13"/>
    </row>
    <row r="61" spans="1:66" x14ac:dyDescent="0.25">
      <c r="A61" s="22">
        <v>59</v>
      </c>
      <c r="B61" s="23">
        <v>739.62723990133873</v>
      </c>
      <c r="C61" s="24">
        <v>1881.7470779209752</v>
      </c>
      <c r="AH61" s="16"/>
      <c r="AI61" s="16"/>
      <c r="AJ61" s="16"/>
      <c r="AK61" s="16">
        <v>1750</v>
      </c>
      <c r="AL61" s="16"/>
      <c r="AM61" s="16">
        <v>790</v>
      </c>
      <c r="AN61" s="16"/>
      <c r="BC61" s="13"/>
      <c r="BD61" s="13"/>
      <c r="BE61" s="13"/>
      <c r="BF61" s="13"/>
      <c r="BG61" s="13"/>
      <c r="BH61" s="13"/>
      <c r="BI61" s="13"/>
      <c r="BJ61" s="13"/>
      <c r="BK61" s="13"/>
      <c r="BL61" s="13"/>
      <c r="BM61" s="13"/>
      <c r="BN61" s="13"/>
    </row>
    <row r="62" spans="1:66" x14ac:dyDescent="0.25">
      <c r="A62" s="22">
        <v>60</v>
      </c>
      <c r="B62" s="23">
        <v>941.45365424176657</v>
      </c>
      <c r="C62" s="24">
        <v>2067.9724725945348</v>
      </c>
      <c r="AH62" s="16"/>
      <c r="AI62" s="16"/>
      <c r="AJ62" s="16"/>
      <c r="AK62" s="16">
        <v>1800</v>
      </c>
      <c r="AL62" s="16"/>
      <c r="AM62" s="16">
        <v>790</v>
      </c>
      <c r="AN62" s="16"/>
      <c r="BC62" s="13"/>
      <c r="BD62" s="13"/>
      <c r="BE62" s="13"/>
      <c r="BF62" s="13"/>
      <c r="BG62" s="13"/>
      <c r="BH62" s="13"/>
      <c r="BI62" s="13"/>
      <c r="BJ62" s="13"/>
      <c r="BK62" s="13"/>
      <c r="BL62" s="13"/>
      <c r="BM62" s="13"/>
      <c r="BN62" s="13"/>
    </row>
    <row r="63" spans="1:66" x14ac:dyDescent="0.25">
      <c r="A63" s="22">
        <v>61</v>
      </c>
      <c r="B63" s="23">
        <v>801.81101057316641</v>
      </c>
      <c r="C63" s="24">
        <v>1815.8250121632911</v>
      </c>
      <c r="AH63" s="16"/>
      <c r="AI63" s="16"/>
      <c r="AJ63" s="16"/>
      <c r="AK63" s="16">
        <v>1800</v>
      </c>
      <c r="AL63" s="16"/>
      <c r="AM63" s="16">
        <v>822</v>
      </c>
      <c r="AN63" s="16"/>
      <c r="BC63" s="13"/>
      <c r="BD63" s="13"/>
      <c r="BE63" s="13"/>
      <c r="BF63" s="13"/>
      <c r="BG63" s="13"/>
      <c r="BH63" s="13"/>
      <c r="BI63" s="13"/>
      <c r="BJ63" s="13"/>
      <c r="BK63" s="13"/>
      <c r="BL63" s="13"/>
      <c r="BM63" s="13"/>
      <c r="BN63" s="13"/>
    </row>
    <row r="64" spans="1:66" x14ac:dyDescent="0.25">
      <c r="A64" s="22">
        <v>62</v>
      </c>
      <c r="B64" s="23">
        <v>765.90797477169372</v>
      </c>
      <c r="C64" s="24">
        <v>1716.8247296288832</v>
      </c>
      <c r="AH64" s="16"/>
      <c r="AI64" s="16"/>
      <c r="AJ64" s="16"/>
      <c r="AK64" s="16">
        <v>1850</v>
      </c>
      <c r="AL64" s="16"/>
      <c r="AM64" s="16">
        <v>822</v>
      </c>
      <c r="AN64" s="16"/>
      <c r="BC64" s="13"/>
      <c r="BD64" s="13"/>
      <c r="BE64" s="13"/>
      <c r="BF64" s="13"/>
      <c r="BG64" s="13"/>
      <c r="BH64" s="13"/>
      <c r="BI64" s="13"/>
      <c r="BJ64" s="13"/>
      <c r="BK64" s="13"/>
      <c r="BL64" s="13"/>
      <c r="BM64" s="13"/>
      <c r="BN64" s="13"/>
    </row>
    <row r="65" spans="1:66" x14ac:dyDescent="0.25">
      <c r="A65" s="22">
        <v>63</v>
      </c>
      <c r="B65" s="23">
        <v>656.51040677973083</v>
      </c>
      <c r="C65" s="24">
        <v>1598.1910590118832</v>
      </c>
      <c r="AH65" s="16"/>
      <c r="AI65" s="16"/>
      <c r="AJ65" s="16"/>
      <c r="AK65" s="16">
        <v>1850</v>
      </c>
      <c r="AL65" s="16"/>
      <c r="AM65" s="16">
        <v>778</v>
      </c>
      <c r="AN65" s="16"/>
      <c r="BC65" s="13"/>
      <c r="BD65" s="13"/>
      <c r="BE65" s="13"/>
      <c r="BF65" s="13"/>
      <c r="BG65" s="13"/>
      <c r="BH65" s="13"/>
      <c r="BI65" s="13"/>
      <c r="BJ65" s="13"/>
      <c r="BK65" s="13"/>
      <c r="BL65" s="13"/>
      <c r="BM65" s="13"/>
      <c r="BN65" s="13"/>
    </row>
    <row r="66" spans="1:66" x14ac:dyDescent="0.25">
      <c r="A66" s="22">
        <v>64</v>
      </c>
      <c r="B66" s="23">
        <v>805.82734550938449</v>
      </c>
      <c r="C66" s="24">
        <v>1795.256689960715</v>
      </c>
      <c r="AH66" s="16"/>
      <c r="AI66" s="16"/>
      <c r="AJ66" s="16"/>
      <c r="AK66" s="16">
        <v>1900</v>
      </c>
      <c r="AL66" s="16"/>
      <c r="AM66" s="16">
        <v>778</v>
      </c>
      <c r="AN66" s="16"/>
      <c r="BC66" s="13"/>
      <c r="BD66" s="13"/>
      <c r="BE66" s="13"/>
      <c r="BF66" s="13"/>
      <c r="BG66" s="13"/>
      <c r="BH66" s="13"/>
      <c r="BI66" s="13"/>
      <c r="BJ66" s="13"/>
      <c r="BK66" s="13"/>
      <c r="BL66" s="13"/>
      <c r="BM66" s="13"/>
      <c r="BN66" s="13"/>
    </row>
    <row r="67" spans="1:66" x14ac:dyDescent="0.25">
      <c r="A67" s="22">
        <v>65</v>
      </c>
      <c r="B67" s="23">
        <v>838.68089361878992</v>
      </c>
      <c r="C67" s="24">
        <v>1713.4683550219493</v>
      </c>
      <c r="AH67" s="16"/>
      <c r="AI67" s="16"/>
      <c r="AJ67" s="16"/>
      <c r="AK67" s="16">
        <v>1900</v>
      </c>
      <c r="AL67" s="16"/>
      <c r="AM67" s="16">
        <v>727</v>
      </c>
      <c r="AN67" s="16"/>
      <c r="BC67" s="13"/>
      <c r="BD67" s="13"/>
      <c r="BE67" s="13"/>
      <c r="BF67" s="13"/>
      <c r="BG67" s="13"/>
      <c r="BH67" s="13"/>
      <c r="BI67" s="13"/>
      <c r="BJ67" s="13"/>
      <c r="BK67" s="13"/>
      <c r="BL67" s="13"/>
      <c r="BM67" s="13"/>
      <c r="BN67" s="13"/>
    </row>
    <row r="68" spans="1:66" x14ac:dyDescent="0.25">
      <c r="A68" s="22">
        <v>66</v>
      </c>
      <c r="B68" s="23">
        <v>900.16539955994017</v>
      </c>
      <c r="C68" s="24">
        <v>1662.874353207621</v>
      </c>
      <c r="AK68" s="13">
        <v>1950</v>
      </c>
      <c r="AM68" s="13">
        <v>727</v>
      </c>
      <c r="BC68" s="13"/>
      <c r="BD68" s="13"/>
      <c r="BE68" s="13"/>
      <c r="BF68" s="13"/>
      <c r="BG68" s="13"/>
      <c r="BH68" s="13"/>
      <c r="BI68" s="13"/>
      <c r="BJ68" s="13"/>
      <c r="BK68" s="13"/>
      <c r="BL68" s="13"/>
      <c r="BM68" s="13"/>
      <c r="BN68" s="13"/>
    </row>
    <row r="69" spans="1:66" x14ac:dyDescent="0.25">
      <c r="A69" s="22">
        <v>67</v>
      </c>
      <c r="B69" s="23">
        <v>781.59253781930818</v>
      </c>
      <c r="C69" s="24">
        <v>1677.9701532588092</v>
      </c>
      <c r="AK69" s="13">
        <v>1950</v>
      </c>
      <c r="AM69" s="13">
        <v>673</v>
      </c>
      <c r="BC69" s="13"/>
      <c r="BD69" s="13"/>
      <c r="BE69" s="13"/>
      <c r="BF69" s="13"/>
      <c r="BG69" s="13"/>
      <c r="BH69" s="13"/>
      <c r="BI69" s="13"/>
      <c r="BJ69" s="13"/>
      <c r="BK69" s="13"/>
      <c r="BL69" s="13"/>
      <c r="BM69" s="13"/>
      <c r="BN69" s="13"/>
    </row>
    <row r="70" spans="1:66" x14ac:dyDescent="0.25">
      <c r="A70" s="22">
        <v>68</v>
      </c>
      <c r="B70" s="23">
        <v>889.19604447464428</v>
      </c>
      <c r="C70" s="24">
        <v>1781.4564194902332</v>
      </c>
      <c r="AK70" s="13">
        <v>2000</v>
      </c>
      <c r="AM70" s="13">
        <v>673</v>
      </c>
      <c r="BC70" s="13"/>
      <c r="BD70" s="13"/>
      <c r="BE70" s="13"/>
      <c r="BF70" s="13"/>
      <c r="BG70" s="13"/>
      <c r="BH70" s="13"/>
      <c r="BI70" s="13"/>
      <c r="BJ70" s="13"/>
      <c r="BK70" s="13"/>
      <c r="BL70" s="13"/>
      <c r="BM70" s="13"/>
      <c r="BN70" s="13"/>
    </row>
    <row r="71" spans="1:66" x14ac:dyDescent="0.25">
      <c r="A71" s="22">
        <v>69</v>
      </c>
      <c r="B71" s="23">
        <v>670.35862877662305</v>
      </c>
      <c r="C71" s="24">
        <v>1682.2115772187317</v>
      </c>
      <c r="AK71" s="13">
        <v>2000</v>
      </c>
      <c r="AM71" s="13">
        <v>572</v>
      </c>
      <c r="BC71" s="13"/>
      <c r="BD71" s="13"/>
      <c r="BE71" s="13"/>
      <c r="BF71" s="13"/>
      <c r="BG71" s="13"/>
      <c r="BH71" s="13"/>
      <c r="BI71" s="13"/>
      <c r="BJ71" s="13"/>
      <c r="BK71" s="13"/>
      <c r="BL71" s="13"/>
      <c r="BM71" s="13"/>
      <c r="BN71" s="13"/>
    </row>
    <row r="72" spans="1:66" x14ac:dyDescent="0.25">
      <c r="A72" s="22">
        <v>70</v>
      </c>
      <c r="B72" s="23">
        <v>686.50050335460526</v>
      </c>
      <c r="C72" s="24">
        <v>1368.1464024575096</v>
      </c>
      <c r="AK72" s="13">
        <v>2050</v>
      </c>
      <c r="AM72" s="13">
        <v>572</v>
      </c>
      <c r="BC72" s="13"/>
      <c r="BD72" s="13"/>
      <c r="BE72" s="13"/>
      <c r="BF72" s="13"/>
      <c r="BG72" s="13"/>
      <c r="BH72" s="13"/>
      <c r="BI72" s="13"/>
      <c r="BJ72" s="13"/>
      <c r="BK72" s="13"/>
      <c r="BL72" s="13"/>
      <c r="BM72" s="13"/>
      <c r="BN72" s="13"/>
    </row>
    <row r="73" spans="1:66" x14ac:dyDescent="0.25">
      <c r="A73" s="22">
        <v>71</v>
      </c>
      <c r="B73" s="23">
        <v>921.75571072523246</v>
      </c>
      <c r="C73" s="24">
        <v>1950.0407461353525</v>
      </c>
      <c r="AK73" s="13">
        <v>2050</v>
      </c>
      <c r="AM73" s="13">
        <v>508</v>
      </c>
      <c r="BC73" s="13"/>
      <c r="BD73" s="13"/>
      <c r="BE73" s="13"/>
      <c r="BF73" s="13"/>
      <c r="BG73" s="13"/>
      <c r="BH73" s="13"/>
      <c r="BI73" s="13"/>
      <c r="BJ73" s="13"/>
      <c r="BK73" s="13"/>
      <c r="BL73" s="13"/>
      <c r="BM73" s="13"/>
      <c r="BN73" s="13"/>
    </row>
    <row r="74" spans="1:66" x14ac:dyDescent="0.25">
      <c r="A74" s="22">
        <v>72</v>
      </c>
      <c r="B74" s="23">
        <v>634.75701789896868</v>
      </c>
      <c r="C74" s="24">
        <v>1779.7809584284191</v>
      </c>
      <c r="AK74" s="13">
        <v>2100</v>
      </c>
      <c r="AM74" s="13">
        <v>508</v>
      </c>
      <c r="BC74" s="13"/>
      <c r="BD74" s="13"/>
      <c r="BE74" s="13"/>
      <c r="BF74" s="13"/>
      <c r="BG74" s="13"/>
      <c r="BH74" s="13"/>
      <c r="BI74" s="13"/>
      <c r="BJ74" s="13"/>
      <c r="BK74" s="13"/>
      <c r="BL74" s="13"/>
      <c r="BM74" s="13"/>
      <c r="BN74" s="13"/>
    </row>
    <row r="75" spans="1:66" x14ac:dyDescent="0.25">
      <c r="A75" s="22">
        <v>73</v>
      </c>
      <c r="B75" s="23">
        <v>862.91854442695967</v>
      </c>
      <c r="C75" s="24">
        <v>1617.3658038901203</v>
      </c>
      <c r="AK75" s="13">
        <v>2100</v>
      </c>
      <c r="AM75" s="13">
        <v>374</v>
      </c>
      <c r="BC75" s="13"/>
      <c r="BD75" s="13"/>
      <c r="BE75" s="13"/>
      <c r="BF75" s="13"/>
      <c r="BG75" s="13"/>
      <c r="BH75" s="13"/>
      <c r="BI75" s="13"/>
      <c r="BJ75" s="13"/>
      <c r="BK75" s="13"/>
      <c r="BL75" s="13"/>
      <c r="BM75" s="13"/>
      <c r="BN75" s="13"/>
    </row>
    <row r="76" spans="1:66" x14ac:dyDescent="0.25">
      <c r="A76" s="22">
        <v>74</v>
      </c>
      <c r="B76" s="23">
        <v>743.90596550032978</v>
      </c>
      <c r="C76" s="24">
        <v>1665.2756252799102</v>
      </c>
      <c r="AK76" s="13">
        <v>2150</v>
      </c>
      <c r="AM76" s="13">
        <v>374</v>
      </c>
      <c r="BC76" s="13"/>
      <c r="BD76" s="13"/>
      <c r="BE76" s="13"/>
      <c r="BF76" s="13"/>
      <c r="BG76" s="13"/>
      <c r="BH76" s="13"/>
      <c r="BI76" s="13"/>
      <c r="BJ76" s="13"/>
      <c r="BK76" s="13"/>
      <c r="BL76" s="13"/>
      <c r="BM76" s="13"/>
      <c r="BN76" s="13"/>
    </row>
    <row r="77" spans="1:66" x14ac:dyDescent="0.25">
      <c r="A77" s="22">
        <v>75</v>
      </c>
      <c r="B77" s="23">
        <v>627.86220535201983</v>
      </c>
      <c r="C77" s="24">
        <v>2277.0012542606369</v>
      </c>
      <c r="AK77" s="13">
        <v>2150</v>
      </c>
      <c r="AM77" s="13">
        <v>333</v>
      </c>
      <c r="BC77" s="13"/>
      <c r="BD77" s="13"/>
      <c r="BE77" s="13"/>
      <c r="BF77" s="13"/>
      <c r="BG77" s="13"/>
      <c r="BH77" s="13"/>
      <c r="BI77" s="13"/>
      <c r="BJ77" s="13"/>
      <c r="BK77" s="13"/>
      <c r="BL77" s="13"/>
      <c r="BM77" s="13"/>
      <c r="BN77" s="13"/>
    </row>
    <row r="78" spans="1:66" x14ac:dyDescent="0.25">
      <c r="A78" s="22">
        <v>76</v>
      </c>
      <c r="B78" s="23">
        <v>718.46746919122643</v>
      </c>
      <c r="C78" s="24">
        <v>1588.7703889692179</v>
      </c>
      <c r="AK78" s="13">
        <v>2200</v>
      </c>
      <c r="AM78" s="13">
        <v>333</v>
      </c>
      <c r="BC78" s="13"/>
      <c r="BD78" s="13"/>
      <c r="BE78" s="13"/>
      <c r="BF78" s="13"/>
      <c r="BG78" s="13"/>
      <c r="BH78" s="13"/>
      <c r="BI78" s="13"/>
      <c r="BJ78" s="13"/>
      <c r="BK78" s="13"/>
      <c r="BL78" s="13"/>
      <c r="BM78" s="13"/>
      <c r="BN78" s="13"/>
    </row>
    <row r="79" spans="1:66" x14ac:dyDescent="0.25">
      <c r="A79" s="22">
        <v>77</v>
      </c>
      <c r="B79" s="23">
        <v>532.00226151780646</v>
      </c>
      <c r="C79" s="24">
        <v>2217.6791003880062</v>
      </c>
      <c r="AK79" s="13">
        <v>2200</v>
      </c>
      <c r="AM79" s="13">
        <v>265</v>
      </c>
      <c r="BC79" s="13"/>
      <c r="BD79" s="13"/>
      <c r="BE79" s="13"/>
      <c r="BF79" s="13"/>
      <c r="BG79" s="13"/>
      <c r="BH79" s="13"/>
      <c r="BI79" s="13"/>
      <c r="BJ79" s="13"/>
      <c r="BK79" s="13"/>
      <c r="BL79" s="13"/>
      <c r="BM79" s="13"/>
      <c r="BN79" s="13"/>
    </row>
    <row r="80" spans="1:66" x14ac:dyDescent="0.25">
      <c r="A80" s="22">
        <v>78</v>
      </c>
      <c r="B80" s="23">
        <v>618.51442550732486</v>
      </c>
      <c r="C80" s="24">
        <v>1987.25260451546</v>
      </c>
      <c r="AK80" s="13">
        <v>2250</v>
      </c>
      <c r="AM80" s="13">
        <v>265</v>
      </c>
      <c r="BC80" s="13"/>
      <c r="BD80" s="13"/>
      <c r="BE80" s="13"/>
      <c r="BF80" s="13"/>
      <c r="BG80" s="13"/>
      <c r="BH80" s="13"/>
      <c r="BI80" s="13"/>
      <c r="BJ80" s="13"/>
      <c r="BK80" s="13"/>
      <c r="BL80" s="13"/>
      <c r="BM80" s="13"/>
      <c r="BN80" s="13"/>
    </row>
    <row r="81" spans="1:66" x14ac:dyDescent="0.25">
      <c r="A81" s="22">
        <v>79</v>
      </c>
      <c r="B81" s="23">
        <v>703.20443685303087</v>
      </c>
      <c r="C81" s="24">
        <v>2201.2678104253268</v>
      </c>
      <c r="AK81" s="13">
        <v>2250</v>
      </c>
      <c r="AM81" s="13">
        <v>196</v>
      </c>
      <c r="BC81" s="13"/>
      <c r="BD81" s="13"/>
      <c r="BE81" s="13"/>
      <c r="BF81" s="13"/>
      <c r="BG81" s="13"/>
      <c r="BH81" s="13"/>
      <c r="BI81" s="13"/>
      <c r="BJ81" s="13"/>
      <c r="BK81" s="13"/>
      <c r="BL81" s="13"/>
      <c r="BM81" s="13"/>
      <c r="BN81" s="13"/>
    </row>
    <row r="82" spans="1:66" x14ac:dyDescent="0.25">
      <c r="A82" s="22">
        <v>80</v>
      </c>
      <c r="B82" s="23">
        <v>644.57353213851377</v>
      </c>
      <c r="C82" s="24">
        <v>1789.8653394299083</v>
      </c>
      <c r="AK82" s="13">
        <v>2300</v>
      </c>
      <c r="AM82" s="13">
        <v>196</v>
      </c>
      <c r="BC82" s="13"/>
      <c r="BD82" s="13"/>
      <c r="BE82" s="13"/>
      <c r="BF82" s="13"/>
      <c r="BG82" s="13"/>
      <c r="BH82" s="13"/>
      <c r="BI82" s="13"/>
      <c r="BJ82" s="13"/>
      <c r="BK82" s="13"/>
      <c r="BL82" s="13"/>
      <c r="BM82" s="13"/>
      <c r="BN82" s="13"/>
    </row>
    <row r="83" spans="1:66" x14ac:dyDescent="0.25">
      <c r="A83" s="22">
        <v>81</v>
      </c>
      <c r="B83" s="23">
        <v>658.57883676373785</v>
      </c>
      <c r="C83" s="24">
        <v>1754.6770606259693</v>
      </c>
      <c r="AK83" s="13">
        <v>2300</v>
      </c>
      <c r="AM83" s="13">
        <v>154</v>
      </c>
      <c r="BC83" s="13"/>
      <c r="BD83" s="13"/>
      <c r="BE83" s="13"/>
      <c r="BF83" s="13"/>
      <c r="BG83" s="13"/>
      <c r="BH83" s="13"/>
      <c r="BI83" s="13"/>
      <c r="BJ83" s="13"/>
      <c r="BK83" s="13"/>
      <c r="BL83" s="13"/>
      <c r="BM83" s="13"/>
      <c r="BN83" s="13"/>
    </row>
    <row r="84" spans="1:66" x14ac:dyDescent="0.25">
      <c r="A84" s="22">
        <v>82</v>
      </c>
      <c r="B84" s="23">
        <v>802.18475565542701</v>
      </c>
      <c r="C84" s="24">
        <v>1782.8853622245585</v>
      </c>
      <c r="AK84" s="13">
        <v>2350</v>
      </c>
      <c r="AM84" s="13">
        <v>154</v>
      </c>
      <c r="BC84" s="13"/>
      <c r="BD84" s="13"/>
      <c r="BE84" s="13"/>
      <c r="BF84" s="13"/>
      <c r="BG84" s="13"/>
      <c r="BH84" s="13"/>
      <c r="BI84" s="13"/>
      <c r="BJ84" s="13"/>
      <c r="BK84" s="13"/>
      <c r="BL84" s="13"/>
      <c r="BM84" s="13"/>
      <c r="BN84" s="13"/>
    </row>
    <row r="85" spans="1:66" x14ac:dyDescent="0.25">
      <c r="A85" s="22">
        <v>83</v>
      </c>
      <c r="B85" s="23">
        <v>598.31954406872728</v>
      </c>
      <c r="C85" s="24">
        <v>1615.0843728434866</v>
      </c>
      <c r="AK85" s="13">
        <v>2350</v>
      </c>
      <c r="AM85" s="13">
        <v>113</v>
      </c>
      <c r="BC85" s="13"/>
      <c r="BD85" s="13"/>
      <c r="BE85" s="13"/>
      <c r="BF85" s="13"/>
      <c r="BG85" s="13"/>
      <c r="BH85" s="13"/>
      <c r="BI85" s="13"/>
      <c r="BJ85" s="13"/>
      <c r="BK85" s="13"/>
      <c r="BL85" s="13"/>
      <c r="BM85" s="13"/>
      <c r="BN85" s="13"/>
    </row>
    <row r="86" spans="1:66" x14ac:dyDescent="0.25">
      <c r="A86" s="22">
        <v>84</v>
      </c>
      <c r="B86" s="23">
        <v>599.1979230881326</v>
      </c>
      <c r="C86" s="24">
        <v>2090.9759184988593</v>
      </c>
      <c r="AK86" s="13">
        <v>2400</v>
      </c>
      <c r="AM86" s="13">
        <v>113</v>
      </c>
      <c r="BC86" s="13"/>
      <c r="BD86" s="13"/>
      <c r="BE86" s="13"/>
      <c r="BF86" s="13"/>
      <c r="BG86" s="13"/>
      <c r="BH86" s="13"/>
      <c r="BI86" s="13"/>
      <c r="BJ86" s="13"/>
      <c r="BK86" s="13"/>
      <c r="BL86" s="13"/>
      <c r="BM86" s="13"/>
      <c r="BN86" s="13"/>
    </row>
    <row r="87" spans="1:66" x14ac:dyDescent="0.25">
      <c r="A87" s="22">
        <v>85</v>
      </c>
      <c r="B87" s="23">
        <v>603.08322506388299</v>
      </c>
      <c r="C87" s="24">
        <v>1704.3287215834107</v>
      </c>
      <c r="AK87" s="13">
        <v>2400</v>
      </c>
      <c r="AM87" s="13">
        <v>86</v>
      </c>
      <c r="BC87" s="13"/>
      <c r="BD87" s="13"/>
      <c r="BE87" s="13"/>
      <c r="BF87" s="13"/>
      <c r="BG87" s="13"/>
      <c r="BH87" s="13"/>
      <c r="BI87" s="13"/>
      <c r="BJ87" s="13"/>
      <c r="BK87" s="13"/>
      <c r="BL87" s="13"/>
      <c r="BM87" s="13"/>
      <c r="BN87" s="13"/>
    </row>
    <row r="88" spans="1:66" x14ac:dyDescent="0.25">
      <c r="A88" s="22">
        <v>86</v>
      </c>
      <c r="B88" s="23">
        <v>958.01629304431094</v>
      </c>
      <c r="C88" s="24">
        <v>1862.2028269054781</v>
      </c>
      <c r="AK88" s="13">
        <v>2450</v>
      </c>
      <c r="AM88" s="13">
        <v>86</v>
      </c>
      <c r="BC88" s="13"/>
      <c r="BD88" s="13"/>
      <c r="BE88" s="13"/>
      <c r="BF88" s="13"/>
      <c r="BG88" s="13"/>
      <c r="BH88" s="13"/>
      <c r="BI88" s="13"/>
      <c r="BJ88" s="13"/>
      <c r="BK88" s="13"/>
      <c r="BL88" s="13"/>
      <c r="BM88" s="13"/>
      <c r="BN88" s="13"/>
    </row>
    <row r="89" spans="1:66" x14ac:dyDescent="0.25">
      <c r="A89" s="22">
        <v>87</v>
      </c>
      <c r="B89" s="23">
        <v>581.17884710798421</v>
      </c>
      <c r="C89" s="24">
        <v>1645.2009120563225</v>
      </c>
      <c r="AK89" s="13">
        <v>2450</v>
      </c>
      <c r="AM89" s="13">
        <v>45</v>
      </c>
      <c r="BC89" s="13"/>
      <c r="BD89" s="13"/>
      <c r="BE89" s="13"/>
      <c r="BF89" s="13"/>
      <c r="BG89" s="13"/>
      <c r="BH89" s="13"/>
      <c r="BI89" s="13"/>
      <c r="BJ89" s="13"/>
      <c r="BK89" s="13"/>
      <c r="BL89" s="13"/>
      <c r="BM89" s="13"/>
      <c r="BN89" s="13"/>
    </row>
    <row r="90" spans="1:66" x14ac:dyDescent="0.25">
      <c r="A90" s="22">
        <v>88</v>
      </c>
      <c r="B90" s="23">
        <v>832.05849269236955</v>
      </c>
      <c r="C90" s="24">
        <v>1668.2020133148851</v>
      </c>
      <c r="AK90" s="13">
        <v>2500</v>
      </c>
      <c r="AM90" s="13">
        <v>45</v>
      </c>
      <c r="BC90" s="13"/>
      <c r="BD90" s="13"/>
      <c r="BE90" s="13"/>
      <c r="BF90" s="13"/>
      <c r="BG90" s="13"/>
      <c r="BH90" s="13"/>
      <c r="BI90" s="13"/>
      <c r="BJ90" s="13"/>
      <c r="BK90" s="13"/>
      <c r="BL90" s="13"/>
      <c r="BM90" s="13"/>
      <c r="BN90" s="13"/>
    </row>
    <row r="91" spans="1:66" x14ac:dyDescent="0.25">
      <c r="A91" s="22">
        <v>89</v>
      </c>
      <c r="B91" s="23">
        <v>640.83435832894736</v>
      </c>
      <c r="C91" s="24">
        <v>1750.6598547898129</v>
      </c>
      <c r="AK91" s="13">
        <v>2500</v>
      </c>
      <c r="AM91" s="13">
        <v>45</v>
      </c>
      <c r="BC91" s="13"/>
      <c r="BD91" s="13"/>
      <c r="BE91" s="13"/>
      <c r="BF91" s="13"/>
      <c r="BG91" s="13"/>
      <c r="BH91" s="13"/>
      <c r="BI91" s="13"/>
      <c r="BJ91" s="13"/>
      <c r="BK91" s="13"/>
      <c r="BL91" s="13"/>
      <c r="BM91" s="13"/>
      <c r="BN91" s="13"/>
    </row>
    <row r="92" spans="1:66" x14ac:dyDescent="0.25">
      <c r="A92" s="22">
        <v>90</v>
      </c>
      <c r="B92" s="23">
        <v>632.13558672743682</v>
      </c>
      <c r="C92" s="24">
        <v>2089.8157453043036</v>
      </c>
      <c r="AK92" s="13">
        <v>2550</v>
      </c>
      <c r="AM92" s="13">
        <v>45</v>
      </c>
      <c r="BC92" s="13"/>
      <c r="BD92" s="13"/>
      <c r="BE92" s="13"/>
      <c r="BF92" s="13"/>
      <c r="BG92" s="13"/>
      <c r="BH92" s="13"/>
      <c r="BI92" s="13"/>
      <c r="BJ92" s="13"/>
      <c r="BK92" s="13"/>
      <c r="BL92" s="13"/>
      <c r="BM92" s="13"/>
      <c r="BN92" s="13"/>
    </row>
    <row r="93" spans="1:66" x14ac:dyDescent="0.25">
      <c r="A93" s="22">
        <v>91</v>
      </c>
      <c r="B93" s="23">
        <v>834.65564969735829</v>
      </c>
      <c r="C93" s="24">
        <v>1670.4718842381858</v>
      </c>
      <c r="AK93" s="13">
        <v>2550</v>
      </c>
      <c r="AM93" s="13">
        <v>31</v>
      </c>
      <c r="BC93" s="13"/>
      <c r="BD93" s="13"/>
      <c r="BE93" s="13"/>
      <c r="BF93" s="13"/>
      <c r="BG93" s="13"/>
      <c r="BH93" s="13"/>
      <c r="BI93" s="13"/>
      <c r="BJ93" s="13"/>
      <c r="BK93" s="13"/>
      <c r="BL93" s="13"/>
      <c r="BM93" s="13"/>
      <c r="BN93" s="13"/>
    </row>
    <row r="94" spans="1:66" x14ac:dyDescent="0.25">
      <c r="A94" s="22">
        <v>92</v>
      </c>
      <c r="B94" s="23">
        <v>649.11947299666906</v>
      </c>
      <c r="C94" s="24">
        <v>2272.106098769329</v>
      </c>
      <c r="AK94" s="13">
        <v>2600</v>
      </c>
      <c r="AM94" s="13">
        <v>31</v>
      </c>
      <c r="BC94" s="13"/>
      <c r="BD94" s="13"/>
      <c r="BE94" s="13"/>
      <c r="BF94" s="13"/>
      <c r="BG94" s="13"/>
      <c r="BH94" s="13"/>
      <c r="BI94" s="13"/>
      <c r="BJ94" s="13"/>
      <c r="BK94" s="13"/>
      <c r="BL94" s="13"/>
      <c r="BM94" s="13"/>
      <c r="BN94" s="13"/>
    </row>
    <row r="95" spans="1:66" x14ac:dyDescent="0.25">
      <c r="A95" s="22">
        <v>93</v>
      </c>
      <c r="B95" s="23">
        <v>643.74479905052283</v>
      </c>
      <c r="C95" s="24">
        <v>1399.1785669282795</v>
      </c>
      <c r="AK95" s="13">
        <v>2600</v>
      </c>
      <c r="AM95" s="13">
        <v>26</v>
      </c>
      <c r="BC95" s="13"/>
      <c r="BD95" s="13"/>
      <c r="BE95" s="13"/>
      <c r="BF95" s="13"/>
      <c r="BG95" s="13"/>
      <c r="BH95" s="13"/>
      <c r="BI95" s="13"/>
      <c r="BJ95" s="13"/>
      <c r="BK95" s="13"/>
      <c r="BL95" s="13"/>
      <c r="BM95" s="13"/>
      <c r="BN95" s="13"/>
    </row>
    <row r="96" spans="1:66" x14ac:dyDescent="0.25">
      <c r="A96" s="22">
        <v>94</v>
      </c>
      <c r="B96" s="23">
        <v>846.15997979536985</v>
      </c>
      <c r="C96" s="24">
        <v>1826.4258886669961</v>
      </c>
      <c r="AK96" s="13">
        <v>2650</v>
      </c>
      <c r="AM96" s="13">
        <v>26</v>
      </c>
      <c r="BC96" s="13"/>
      <c r="BD96" s="13"/>
      <c r="BE96" s="13"/>
      <c r="BF96" s="13"/>
      <c r="BG96" s="13"/>
      <c r="BH96" s="13"/>
      <c r="BI96" s="13"/>
      <c r="BJ96" s="13"/>
      <c r="BK96" s="13"/>
      <c r="BL96" s="13"/>
      <c r="BM96" s="13"/>
      <c r="BN96" s="13"/>
    </row>
    <row r="97" spans="1:66" x14ac:dyDescent="0.25">
      <c r="A97" s="22">
        <v>95</v>
      </c>
      <c r="B97" s="23">
        <v>750.78914650779325</v>
      </c>
      <c r="C97" s="24">
        <v>1748.6729297440193</v>
      </c>
      <c r="AK97" s="13">
        <v>2650</v>
      </c>
      <c r="AM97" s="13">
        <v>11</v>
      </c>
      <c r="BC97" s="13"/>
      <c r="BD97" s="13"/>
      <c r="BE97" s="13"/>
      <c r="BF97" s="13"/>
      <c r="BG97" s="13"/>
      <c r="BH97" s="13"/>
      <c r="BI97" s="13"/>
      <c r="BJ97" s="13"/>
      <c r="BK97" s="13"/>
      <c r="BL97" s="13"/>
      <c r="BM97" s="13"/>
      <c r="BN97" s="13"/>
    </row>
    <row r="98" spans="1:66" x14ac:dyDescent="0.25">
      <c r="A98" s="22">
        <v>96</v>
      </c>
      <c r="B98" s="23">
        <v>618.80956873294576</v>
      </c>
      <c r="C98" s="24">
        <v>1708.4868835501268</v>
      </c>
      <c r="AK98" s="13">
        <v>2700</v>
      </c>
      <c r="AM98" s="13">
        <v>11</v>
      </c>
      <c r="BC98" s="13"/>
      <c r="BD98" s="13"/>
      <c r="BE98" s="13"/>
      <c r="BF98" s="13"/>
      <c r="BG98" s="13"/>
      <c r="BH98" s="13"/>
      <c r="BI98" s="13"/>
      <c r="BJ98" s="13"/>
      <c r="BK98" s="13"/>
      <c r="BL98" s="13"/>
      <c r="BM98" s="13"/>
      <c r="BN98" s="13"/>
    </row>
    <row r="99" spans="1:66" x14ac:dyDescent="0.25">
      <c r="A99" s="22">
        <v>97</v>
      </c>
      <c r="B99" s="23">
        <v>769.04946780129171</v>
      </c>
      <c r="C99" s="24">
        <v>1884.6138976510758</v>
      </c>
      <c r="AK99" s="13">
        <v>2700</v>
      </c>
      <c r="AM99" s="13">
        <v>10</v>
      </c>
      <c r="BC99" s="13"/>
      <c r="BD99" s="13"/>
      <c r="BE99" s="13"/>
      <c r="BF99" s="13"/>
      <c r="BG99" s="13"/>
      <c r="BH99" s="13"/>
      <c r="BI99" s="13"/>
      <c r="BJ99" s="13"/>
      <c r="BK99" s="13"/>
      <c r="BL99" s="13"/>
      <c r="BM99" s="13"/>
      <c r="BN99" s="13"/>
    </row>
    <row r="100" spans="1:66" x14ac:dyDescent="0.25">
      <c r="A100" s="22">
        <v>98</v>
      </c>
      <c r="B100" s="23">
        <v>770.95327883785978</v>
      </c>
      <c r="C100" s="24">
        <v>2098.872424903167</v>
      </c>
      <c r="AK100" s="13">
        <v>2750</v>
      </c>
      <c r="AM100" s="13">
        <v>10</v>
      </c>
      <c r="BC100" s="13"/>
      <c r="BD100" s="13"/>
      <c r="BE100" s="13"/>
      <c r="BF100" s="13"/>
      <c r="BG100" s="13"/>
      <c r="BH100" s="13"/>
      <c r="BI100" s="13"/>
      <c r="BJ100" s="13"/>
      <c r="BK100" s="13"/>
      <c r="BL100" s="13"/>
      <c r="BM100" s="13"/>
      <c r="BN100" s="13"/>
    </row>
    <row r="101" spans="1:66" x14ac:dyDescent="0.25">
      <c r="A101" s="22">
        <v>99</v>
      </c>
      <c r="B101" s="23">
        <v>620.58418318296276</v>
      </c>
      <c r="C101" s="24">
        <v>1668.7967205093853</v>
      </c>
      <c r="AK101" s="13">
        <v>2750</v>
      </c>
      <c r="AM101" s="13">
        <v>5</v>
      </c>
      <c r="BC101" s="13"/>
      <c r="BD101" s="13"/>
      <c r="BE101" s="13"/>
      <c r="BF101" s="13"/>
      <c r="BG101" s="13"/>
      <c r="BH101" s="13"/>
      <c r="BI101" s="13"/>
      <c r="BJ101" s="13"/>
      <c r="BK101" s="13"/>
      <c r="BL101" s="13"/>
      <c r="BM101" s="13"/>
      <c r="BN101" s="13"/>
    </row>
    <row r="102" spans="1:66" x14ac:dyDescent="0.25">
      <c r="A102" s="22">
        <v>100</v>
      </c>
      <c r="B102" s="23">
        <v>783.46664982143068</v>
      </c>
      <c r="C102" s="24">
        <v>1989.0073228652059</v>
      </c>
      <c r="AK102" s="13">
        <v>2800</v>
      </c>
      <c r="AM102" s="13">
        <v>5</v>
      </c>
      <c r="BC102" s="13"/>
      <c r="BD102" s="13"/>
      <c r="BE102" s="13"/>
      <c r="BF102" s="13"/>
      <c r="BG102" s="13"/>
      <c r="BH102" s="13"/>
      <c r="BI102" s="13"/>
      <c r="BJ102" s="13"/>
      <c r="BK102" s="13"/>
      <c r="BL102" s="13"/>
      <c r="BM102" s="13"/>
      <c r="BN102" s="13"/>
    </row>
    <row r="103" spans="1:66" x14ac:dyDescent="0.25">
      <c r="A103" s="55" t="s">
        <v>29</v>
      </c>
      <c r="AK103" s="13">
        <v>2800</v>
      </c>
      <c r="AM103" s="13">
        <v>3</v>
      </c>
    </row>
    <row r="104" spans="1:66" x14ac:dyDescent="0.25">
      <c r="AK104" s="13">
        <v>2850</v>
      </c>
      <c r="AM104" s="13">
        <v>3</v>
      </c>
    </row>
    <row r="105" spans="1:66" x14ac:dyDescent="0.25">
      <c r="AK105" s="13">
        <v>2850</v>
      </c>
      <c r="AM105" s="13">
        <v>4</v>
      </c>
    </row>
    <row r="106" spans="1:66" x14ac:dyDescent="0.25">
      <c r="AK106" s="13">
        <v>2900</v>
      </c>
      <c r="AM106" s="13">
        <v>4</v>
      </c>
    </row>
    <row r="107" spans="1:66" x14ac:dyDescent="0.25">
      <c r="AK107" s="13">
        <v>2900</v>
      </c>
      <c r="AM107" s="13">
        <v>0</v>
      </c>
    </row>
    <row r="108" spans="1:66" x14ac:dyDescent="0.25">
      <c r="AK108" s="13">
        <v>2950</v>
      </c>
      <c r="AM108" s="13">
        <v>0</v>
      </c>
    </row>
    <row r="109" spans="1:66" x14ac:dyDescent="0.25">
      <c r="AK109" s="13">
        <v>2950</v>
      </c>
      <c r="AM109" s="13">
        <v>1</v>
      </c>
    </row>
    <row r="110" spans="1:66" x14ac:dyDescent="0.25">
      <c r="AK110" s="13">
        <v>3000</v>
      </c>
      <c r="AM110" s="13">
        <v>1</v>
      </c>
    </row>
    <row r="111" spans="1:66" x14ac:dyDescent="0.25">
      <c r="AK111" s="13">
        <v>3000</v>
      </c>
      <c r="AM111" s="13">
        <v>0</v>
      </c>
    </row>
    <row r="112" spans="1:66" x14ac:dyDescent="0.25">
      <c r="AK112" s="13">
        <v>3050</v>
      </c>
      <c r="AM112" s="13">
        <v>0</v>
      </c>
    </row>
    <row r="113" spans="37:39" x14ac:dyDescent="0.25">
      <c r="AK113" s="13">
        <v>3050</v>
      </c>
      <c r="AM113" s="13">
        <v>0</v>
      </c>
    </row>
    <row r="114" spans="37:39" x14ac:dyDescent="0.25">
      <c r="AK114" s="13">
        <v>3100</v>
      </c>
      <c r="AM114" s="13">
        <v>0</v>
      </c>
    </row>
    <row r="115" spans="37:39" x14ac:dyDescent="0.25">
      <c r="AK115" s="13">
        <v>3100</v>
      </c>
      <c r="AM115" s="13">
        <v>0</v>
      </c>
    </row>
    <row r="116" spans="37:39" x14ac:dyDescent="0.25">
      <c r="AK116" s="13">
        <v>3150</v>
      </c>
      <c r="AM116" s="13">
        <v>0</v>
      </c>
    </row>
    <row r="117" spans="37:39" x14ac:dyDescent="0.25">
      <c r="AK117" s="13">
        <v>3150</v>
      </c>
      <c r="AM117" s="13">
        <v>0</v>
      </c>
    </row>
    <row r="118" spans="37:39" x14ac:dyDescent="0.25">
      <c r="AK118" s="13">
        <v>3200</v>
      </c>
      <c r="AM118" s="13">
        <v>0</v>
      </c>
    </row>
    <row r="119" spans="37:39" x14ac:dyDescent="0.25">
      <c r="AK119" s="13">
        <v>3200</v>
      </c>
      <c r="AM119" s="13">
        <v>1</v>
      </c>
    </row>
    <row r="120" spans="37:39" x14ac:dyDescent="0.25">
      <c r="AK120" s="13">
        <v>3250</v>
      </c>
      <c r="AM120" s="13">
        <v>1</v>
      </c>
    </row>
    <row r="121" spans="37:39" x14ac:dyDescent="0.25">
      <c r="AK121" s="13">
        <v>3250</v>
      </c>
      <c r="AM121" s="13">
        <v>1</v>
      </c>
    </row>
    <row r="122" spans="37:39" x14ac:dyDescent="0.25">
      <c r="AK122" s="13">
        <v>3300</v>
      </c>
      <c r="AM122" s="13">
        <v>1</v>
      </c>
    </row>
    <row r="123" spans="37:39" x14ac:dyDescent="0.25">
      <c r="AK123" s="13">
        <v>3300</v>
      </c>
      <c r="AM123" s="13">
        <v>0</v>
      </c>
    </row>
  </sheetData>
  <dataConsolidate/>
  <mergeCells count="4">
    <mergeCell ref="F2:G2"/>
    <mergeCell ref="I4:J4"/>
    <mergeCell ref="K4:L4"/>
    <mergeCell ref="M4:N4"/>
  </mergeCells>
  <pageMargins left="0.75" right="0.75" top="1" bottom="1" header="0.5" footer="0.5"/>
  <pageSetup orientation="portrait" horizontalDpi="200" verticalDpi="200"/>
  <headerFooter alignWithMargins="0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N129"/>
  <sheetViews>
    <sheetView showGridLines="0" workbookViewId="0">
      <selection activeCell="F18" sqref="F18"/>
    </sheetView>
  </sheetViews>
  <sheetFormatPr defaultRowHeight="15.75" x14ac:dyDescent="0.25"/>
  <cols>
    <col min="1" max="1" width="8" style="22" customWidth="1"/>
    <col min="2" max="2" width="10.625" style="11" customWidth="1"/>
    <col min="3" max="3" width="10.625" style="12" customWidth="1"/>
    <col min="4" max="4" width="7.625" style="13" customWidth="1"/>
    <col min="5" max="5" width="7.625" style="14" customWidth="1"/>
    <col min="6" max="6" width="11.625" style="15" customWidth="1"/>
    <col min="7" max="7" width="9" style="14"/>
    <col min="8" max="8" width="6.625" style="14" customWidth="1"/>
    <col min="9" max="14" width="10.125" style="14" customWidth="1"/>
    <col min="15" max="17" width="9" style="14"/>
    <col min="18" max="19" width="9" style="13"/>
    <col min="20" max="20" width="14.25" style="13" customWidth="1"/>
    <col min="21" max="22" width="11.25" style="13" customWidth="1"/>
    <col min="23" max="54" width="9" style="13"/>
    <col min="55" max="256" width="9" style="14"/>
    <col min="257" max="257" width="8" style="14" customWidth="1"/>
    <col min="258" max="259" width="10.625" style="14" customWidth="1"/>
    <col min="260" max="261" width="7.625" style="14" customWidth="1"/>
    <col min="262" max="262" width="11.625" style="14" customWidth="1"/>
    <col min="263" max="263" width="9" style="14"/>
    <col min="264" max="264" width="6.625" style="14" customWidth="1"/>
    <col min="265" max="270" width="10.125" style="14" customWidth="1"/>
    <col min="271" max="275" width="9" style="14"/>
    <col min="276" max="276" width="14.25" style="14" customWidth="1"/>
    <col min="277" max="278" width="11.25" style="14" customWidth="1"/>
    <col min="279" max="512" width="9" style="14"/>
    <col min="513" max="513" width="8" style="14" customWidth="1"/>
    <col min="514" max="515" width="10.625" style="14" customWidth="1"/>
    <col min="516" max="517" width="7.625" style="14" customWidth="1"/>
    <col min="518" max="518" width="11.625" style="14" customWidth="1"/>
    <col min="519" max="519" width="9" style="14"/>
    <col min="520" max="520" width="6.625" style="14" customWidth="1"/>
    <col min="521" max="526" width="10.125" style="14" customWidth="1"/>
    <col min="527" max="531" width="9" style="14"/>
    <col min="532" max="532" width="14.25" style="14" customWidth="1"/>
    <col min="533" max="534" width="11.25" style="14" customWidth="1"/>
    <col min="535" max="768" width="9" style="14"/>
    <col min="769" max="769" width="8" style="14" customWidth="1"/>
    <col min="770" max="771" width="10.625" style="14" customWidth="1"/>
    <col min="772" max="773" width="7.625" style="14" customWidth="1"/>
    <col min="774" max="774" width="11.625" style="14" customWidth="1"/>
    <col min="775" max="775" width="9" style="14"/>
    <col min="776" max="776" width="6.625" style="14" customWidth="1"/>
    <col min="777" max="782" width="10.125" style="14" customWidth="1"/>
    <col min="783" max="787" width="9" style="14"/>
    <col min="788" max="788" width="14.25" style="14" customWidth="1"/>
    <col min="789" max="790" width="11.25" style="14" customWidth="1"/>
    <col min="791" max="1024" width="9" style="14"/>
    <col min="1025" max="1025" width="8" style="14" customWidth="1"/>
    <col min="1026" max="1027" width="10.625" style="14" customWidth="1"/>
    <col min="1028" max="1029" width="7.625" style="14" customWidth="1"/>
    <col min="1030" max="1030" width="11.625" style="14" customWidth="1"/>
    <col min="1031" max="1031" width="9" style="14"/>
    <col min="1032" max="1032" width="6.625" style="14" customWidth="1"/>
    <col min="1033" max="1038" width="10.125" style="14" customWidth="1"/>
    <col min="1039" max="1043" width="9" style="14"/>
    <col min="1044" max="1044" width="14.25" style="14" customWidth="1"/>
    <col min="1045" max="1046" width="11.25" style="14" customWidth="1"/>
    <col min="1047" max="1280" width="9" style="14"/>
    <col min="1281" max="1281" width="8" style="14" customWidth="1"/>
    <col min="1282" max="1283" width="10.625" style="14" customWidth="1"/>
    <col min="1284" max="1285" width="7.625" style="14" customWidth="1"/>
    <col min="1286" max="1286" width="11.625" style="14" customWidth="1"/>
    <col min="1287" max="1287" width="9" style="14"/>
    <col min="1288" max="1288" width="6.625" style="14" customWidth="1"/>
    <col min="1289" max="1294" width="10.125" style="14" customWidth="1"/>
    <col min="1295" max="1299" width="9" style="14"/>
    <col min="1300" max="1300" width="14.25" style="14" customWidth="1"/>
    <col min="1301" max="1302" width="11.25" style="14" customWidth="1"/>
    <col min="1303" max="1536" width="9" style="14"/>
    <col min="1537" max="1537" width="8" style="14" customWidth="1"/>
    <col min="1538" max="1539" width="10.625" style="14" customWidth="1"/>
    <col min="1540" max="1541" width="7.625" style="14" customWidth="1"/>
    <col min="1542" max="1542" width="11.625" style="14" customWidth="1"/>
    <col min="1543" max="1543" width="9" style="14"/>
    <col min="1544" max="1544" width="6.625" style="14" customWidth="1"/>
    <col min="1545" max="1550" width="10.125" style="14" customWidth="1"/>
    <col min="1551" max="1555" width="9" style="14"/>
    <col min="1556" max="1556" width="14.25" style="14" customWidth="1"/>
    <col min="1557" max="1558" width="11.25" style="14" customWidth="1"/>
    <col min="1559" max="1792" width="9" style="14"/>
    <col min="1793" max="1793" width="8" style="14" customWidth="1"/>
    <col min="1794" max="1795" width="10.625" style="14" customWidth="1"/>
    <col min="1796" max="1797" width="7.625" style="14" customWidth="1"/>
    <col min="1798" max="1798" width="11.625" style="14" customWidth="1"/>
    <col min="1799" max="1799" width="9" style="14"/>
    <col min="1800" max="1800" width="6.625" style="14" customWidth="1"/>
    <col min="1801" max="1806" width="10.125" style="14" customWidth="1"/>
    <col min="1807" max="1811" width="9" style="14"/>
    <col min="1812" max="1812" width="14.25" style="14" customWidth="1"/>
    <col min="1813" max="1814" width="11.25" style="14" customWidth="1"/>
    <col min="1815" max="2048" width="9" style="14"/>
    <col min="2049" max="2049" width="8" style="14" customWidth="1"/>
    <col min="2050" max="2051" width="10.625" style="14" customWidth="1"/>
    <col min="2052" max="2053" width="7.625" style="14" customWidth="1"/>
    <col min="2054" max="2054" width="11.625" style="14" customWidth="1"/>
    <col min="2055" max="2055" width="9" style="14"/>
    <col min="2056" max="2056" width="6.625" style="14" customWidth="1"/>
    <col min="2057" max="2062" width="10.125" style="14" customWidth="1"/>
    <col min="2063" max="2067" width="9" style="14"/>
    <col min="2068" max="2068" width="14.25" style="14" customWidth="1"/>
    <col min="2069" max="2070" width="11.25" style="14" customWidth="1"/>
    <col min="2071" max="2304" width="9" style="14"/>
    <col min="2305" max="2305" width="8" style="14" customWidth="1"/>
    <col min="2306" max="2307" width="10.625" style="14" customWidth="1"/>
    <col min="2308" max="2309" width="7.625" style="14" customWidth="1"/>
    <col min="2310" max="2310" width="11.625" style="14" customWidth="1"/>
    <col min="2311" max="2311" width="9" style="14"/>
    <col min="2312" max="2312" width="6.625" style="14" customWidth="1"/>
    <col min="2313" max="2318" width="10.125" style="14" customWidth="1"/>
    <col min="2319" max="2323" width="9" style="14"/>
    <col min="2324" max="2324" width="14.25" style="14" customWidth="1"/>
    <col min="2325" max="2326" width="11.25" style="14" customWidth="1"/>
    <col min="2327" max="2560" width="9" style="14"/>
    <col min="2561" max="2561" width="8" style="14" customWidth="1"/>
    <col min="2562" max="2563" width="10.625" style="14" customWidth="1"/>
    <col min="2564" max="2565" width="7.625" style="14" customWidth="1"/>
    <col min="2566" max="2566" width="11.625" style="14" customWidth="1"/>
    <col min="2567" max="2567" width="9" style="14"/>
    <col min="2568" max="2568" width="6.625" style="14" customWidth="1"/>
    <col min="2569" max="2574" width="10.125" style="14" customWidth="1"/>
    <col min="2575" max="2579" width="9" style="14"/>
    <col min="2580" max="2580" width="14.25" style="14" customWidth="1"/>
    <col min="2581" max="2582" width="11.25" style="14" customWidth="1"/>
    <col min="2583" max="2816" width="9" style="14"/>
    <col min="2817" max="2817" width="8" style="14" customWidth="1"/>
    <col min="2818" max="2819" width="10.625" style="14" customWidth="1"/>
    <col min="2820" max="2821" width="7.625" style="14" customWidth="1"/>
    <col min="2822" max="2822" width="11.625" style="14" customWidth="1"/>
    <col min="2823" max="2823" width="9" style="14"/>
    <col min="2824" max="2824" width="6.625" style="14" customWidth="1"/>
    <col min="2825" max="2830" width="10.125" style="14" customWidth="1"/>
    <col min="2831" max="2835" width="9" style="14"/>
    <col min="2836" max="2836" width="14.25" style="14" customWidth="1"/>
    <col min="2837" max="2838" width="11.25" style="14" customWidth="1"/>
    <col min="2839" max="3072" width="9" style="14"/>
    <col min="3073" max="3073" width="8" style="14" customWidth="1"/>
    <col min="3074" max="3075" width="10.625" style="14" customWidth="1"/>
    <col min="3076" max="3077" width="7.625" style="14" customWidth="1"/>
    <col min="3078" max="3078" width="11.625" style="14" customWidth="1"/>
    <col min="3079" max="3079" width="9" style="14"/>
    <col min="3080" max="3080" width="6.625" style="14" customWidth="1"/>
    <col min="3081" max="3086" width="10.125" style="14" customWidth="1"/>
    <col min="3087" max="3091" width="9" style="14"/>
    <col min="3092" max="3092" width="14.25" style="14" customWidth="1"/>
    <col min="3093" max="3094" width="11.25" style="14" customWidth="1"/>
    <col min="3095" max="3328" width="9" style="14"/>
    <col min="3329" max="3329" width="8" style="14" customWidth="1"/>
    <col min="3330" max="3331" width="10.625" style="14" customWidth="1"/>
    <col min="3332" max="3333" width="7.625" style="14" customWidth="1"/>
    <col min="3334" max="3334" width="11.625" style="14" customWidth="1"/>
    <col min="3335" max="3335" width="9" style="14"/>
    <col min="3336" max="3336" width="6.625" style="14" customWidth="1"/>
    <col min="3337" max="3342" width="10.125" style="14" customWidth="1"/>
    <col min="3343" max="3347" width="9" style="14"/>
    <col min="3348" max="3348" width="14.25" style="14" customWidth="1"/>
    <col min="3349" max="3350" width="11.25" style="14" customWidth="1"/>
    <col min="3351" max="3584" width="9" style="14"/>
    <col min="3585" max="3585" width="8" style="14" customWidth="1"/>
    <col min="3586" max="3587" width="10.625" style="14" customWidth="1"/>
    <col min="3588" max="3589" width="7.625" style="14" customWidth="1"/>
    <col min="3590" max="3590" width="11.625" style="14" customWidth="1"/>
    <col min="3591" max="3591" width="9" style="14"/>
    <col min="3592" max="3592" width="6.625" style="14" customWidth="1"/>
    <col min="3593" max="3598" width="10.125" style="14" customWidth="1"/>
    <col min="3599" max="3603" width="9" style="14"/>
    <col min="3604" max="3604" width="14.25" style="14" customWidth="1"/>
    <col min="3605" max="3606" width="11.25" style="14" customWidth="1"/>
    <col min="3607" max="3840" width="9" style="14"/>
    <col min="3841" max="3841" width="8" style="14" customWidth="1"/>
    <col min="3842" max="3843" width="10.625" style="14" customWidth="1"/>
    <col min="3844" max="3845" width="7.625" style="14" customWidth="1"/>
    <col min="3846" max="3846" width="11.625" style="14" customWidth="1"/>
    <col min="3847" max="3847" width="9" style="14"/>
    <col min="3848" max="3848" width="6.625" style="14" customWidth="1"/>
    <col min="3849" max="3854" width="10.125" style="14" customWidth="1"/>
    <col min="3855" max="3859" width="9" style="14"/>
    <col min="3860" max="3860" width="14.25" style="14" customWidth="1"/>
    <col min="3861" max="3862" width="11.25" style="14" customWidth="1"/>
    <col min="3863" max="4096" width="9" style="14"/>
    <col min="4097" max="4097" width="8" style="14" customWidth="1"/>
    <col min="4098" max="4099" width="10.625" style="14" customWidth="1"/>
    <col min="4100" max="4101" width="7.625" style="14" customWidth="1"/>
    <col min="4102" max="4102" width="11.625" style="14" customWidth="1"/>
    <col min="4103" max="4103" width="9" style="14"/>
    <col min="4104" max="4104" width="6.625" style="14" customWidth="1"/>
    <col min="4105" max="4110" width="10.125" style="14" customWidth="1"/>
    <col min="4111" max="4115" width="9" style="14"/>
    <col min="4116" max="4116" width="14.25" style="14" customWidth="1"/>
    <col min="4117" max="4118" width="11.25" style="14" customWidth="1"/>
    <col min="4119" max="4352" width="9" style="14"/>
    <col min="4353" max="4353" width="8" style="14" customWidth="1"/>
    <col min="4354" max="4355" width="10.625" style="14" customWidth="1"/>
    <col min="4356" max="4357" width="7.625" style="14" customWidth="1"/>
    <col min="4358" max="4358" width="11.625" style="14" customWidth="1"/>
    <col min="4359" max="4359" width="9" style="14"/>
    <col min="4360" max="4360" width="6.625" style="14" customWidth="1"/>
    <col min="4361" max="4366" width="10.125" style="14" customWidth="1"/>
    <col min="4367" max="4371" width="9" style="14"/>
    <col min="4372" max="4372" width="14.25" style="14" customWidth="1"/>
    <col min="4373" max="4374" width="11.25" style="14" customWidth="1"/>
    <col min="4375" max="4608" width="9" style="14"/>
    <col min="4609" max="4609" width="8" style="14" customWidth="1"/>
    <col min="4610" max="4611" width="10.625" style="14" customWidth="1"/>
    <col min="4612" max="4613" width="7.625" style="14" customWidth="1"/>
    <col min="4614" max="4614" width="11.625" style="14" customWidth="1"/>
    <col min="4615" max="4615" width="9" style="14"/>
    <col min="4616" max="4616" width="6.625" style="14" customWidth="1"/>
    <col min="4617" max="4622" width="10.125" style="14" customWidth="1"/>
    <col min="4623" max="4627" width="9" style="14"/>
    <col min="4628" max="4628" width="14.25" style="14" customWidth="1"/>
    <col min="4629" max="4630" width="11.25" style="14" customWidth="1"/>
    <col min="4631" max="4864" width="9" style="14"/>
    <col min="4865" max="4865" width="8" style="14" customWidth="1"/>
    <col min="4866" max="4867" width="10.625" style="14" customWidth="1"/>
    <col min="4868" max="4869" width="7.625" style="14" customWidth="1"/>
    <col min="4870" max="4870" width="11.625" style="14" customWidth="1"/>
    <col min="4871" max="4871" width="9" style="14"/>
    <col min="4872" max="4872" width="6.625" style="14" customWidth="1"/>
    <col min="4873" max="4878" width="10.125" style="14" customWidth="1"/>
    <col min="4879" max="4883" width="9" style="14"/>
    <col min="4884" max="4884" width="14.25" style="14" customWidth="1"/>
    <col min="4885" max="4886" width="11.25" style="14" customWidth="1"/>
    <col min="4887" max="5120" width="9" style="14"/>
    <col min="5121" max="5121" width="8" style="14" customWidth="1"/>
    <col min="5122" max="5123" width="10.625" style="14" customWidth="1"/>
    <col min="5124" max="5125" width="7.625" style="14" customWidth="1"/>
    <col min="5126" max="5126" width="11.625" style="14" customWidth="1"/>
    <col min="5127" max="5127" width="9" style="14"/>
    <col min="5128" max="5128" width="6.625" style="14" customWidth="1"/>
    <col min="5129" max="5134" width="10.125" style="14" customWidth="1"/>
    <col min="5135" max="5139" width="9" style="14"/>
    <col min="5140" max="5140" width="14.25" style="14" customWidth="1"/>
    <col min="5141" max="5142" width="11.25" style="14" customWidth="1"/>
    <col min="5143" max="5376" width="9" style="14"/>
    <col min="5377" max="5377" width="8" style="14" customWidth="1"/>
    <col min="5378" max="5379" width="10.625" style="14" customWidth="1"/>
    <col min="5380" max="5381" width="7.625" style="14" customWidth="1"/>
    <col min="5382" max="5382" width="11.625" style="14" customWidth="1"/>
    <col min="5383" max="5383" width="9" style="14"/>
    <col min="5384" max="5384" width="6.625" style="14" customWidth="1"/>
    <col min="5385" max="5390" width="10.125" style="14" customWidth="1"/>
    <col min="5391" max="5395" width="9" style="14"/>
    <col min="5396" max="5396" width="14.25" style="14" customWidth="1"/>
    <col min="5397" max="5398" width="11.25" style="14" customWidth="1"/>
    <col min="5399" max="5632" width="9" style="14"/>
    <col min="5633" max="5633" width="8" style="14" customWidth="1"/>
    <col min="5634" max="5635" width="10.625" style="14" customWidth="1"/>
    <col min="5636" max="5637" width="7.625" style="14" customWidth="1"/>
    <col min="5638" max="5638" width="11.625" style="14" customWidth="1"/>
    <col min="5639" max="5639" width="9" style="14"/>
    <col min="5640" max="5640" width="6.625" style="14" customWidth="1"/>
    <col min="5641" max="5646" width="10.125" style="14" customWidth="1"/>
    <col min="5647" max="5651" width="9" style="14"/>
    <col min="5652" max="5652" width="14.25" style="14" customWidth="1"/>
    <col min="5653" max="5654" width="11.25" style="14" customWidth="1"/>
    <col min="5655" max="5888" width="9" style="14"/>
    <col min="5889" max="5889" width="8" style="14" customWidth="1"/>
    <col min="5890" max="5891" width="10.625" style="14" customWidth="1"/>
    <col min="5892" max="5893" width="7.625" style="14" customWidth="1"/>
    <col min="5894" max="5894" width="11.625" style="14" customWidth="1"/>
    <col min="5895" max="5895" width="9" style="14"/>
    <col min="5896" max="5896" width="6.625" style="14" customWidth="1"/>
    <col min="5897" max="5902" width="10.125" style="14" customWidth="1"/>
    <col min="5903" max="5907" width="9" style="14"/>
    <col min="5908" max="5908" width="14.25" style="14" customWidth="1"/>
    <col min="5909" max="5910" width="11.25" style="14" customWidth="1"/>
    <col min="5911" max="6144" width="9" style="14"/>
    <col min="6145" max="6145" width="8" style="14" customWidth="1"/>
    <col min="6146" max="6147" width="10.625" style="14" customWidth="1"/>
    <col min="6148" max="6149" width="7.625" style="14" customWidth="1"/>
    <col min="6150" max="6150" width="11.625" style="14" customWidth="1"/>
    <col min="6151" max="6151" width="9" style="14"/>
    <col min="6152" max="6152" width="6.625" style="14" customWidth="1"/>
    <col min="6153" max="6158" width="10.125" style="14" customWidth="1"/>
    <col min="6159" max="6163" width="9" style="14"/>
    <col min="6164" max="6164" width="14.25" style="14" customWidth="1"/>
    <col min="6165" max="6166" width="11.25" style="14" customWidth="1"/>
    <col min="6167" max="6400" width="9" style="14"/>
    <col min="6401" max="6401" width="8" style="14" customWidth="1"/>
    <col min="6402" max="6403" width="10.625" style="14" customWidth="1"/>
    <col min="6404" max="6405" width="7.625" style="14" customWidth="1"/>
    <col min="6406" max="6406" width="11.625" style="14" customWidth="1"/>
    <col min="6407" max="6407" width="9" style="14"/>
    <col min="6408" max="6408" width="6.625" style="14" customWidth="1"/>
    <col min="6409" max="6414" width="10.125" style="14" customWidth="1"/>
    <col min="6415" max="6419" width="9" style="14"/>
    <col min="6420" max="6420" width="14.25" style="14" customWidth="1"/>
    <col min="6421" max="6422" width="11.25" style="14" customWidth="1"/>
    <col min="6423" max="6656" width="9" style="14"/>
    <col min="6657" max="6657" width="8" style="14" customWidth="1"/>
    <col min="6658" max="6659" width="10.625" style="14" customWidth="1"/>
    <col min="6660" max="6661" width="7.625" style="14" customWidth="1"/>
    <col min="6662" max="6662" width="11.625" style="14" customWidth="1"/>
    <col min="6663" max="6663" width="9" style="14"/>
    <col min="6664" max="6664" width="6.625" style="14" customWidth="1"/>
    <col min="6665" max="6670" width="10.125" style="14" customWidth="1"/>
    <col min="6671" max="6675" width="9" style="14"/>
    <col min="6676" max="6676" width="14.25" style="14" customWidth="1"/>
    <col min="6677" max="6678" width="11.25" style="14" customWidth="1"/>
    <col min="6679" max="6912" width="9" style="14"/>
    <col min="6913" max="6913" width="8" style="14" customWidth="1"/>
    <col min="6914" max="6915" width="10.625" style="14" customWidth="1"/>
    <col min="6916" max="6917" width="7.625" style="14" customWidth="1"/>
    <col min="6918" max="6918" width="11.625" style="14" customWidth="1"/>
    <col min="6919" max="6919" width="9" style="14"/>
    <col min="6920" max="6920" width="6.625" style="14" customWidth="1"/>
    <col min="6921" max="6926" width="10.125" style="14" customWidth="1"/>
    <col min="6927" max="6931" width="9" style="14"/>
    <col min="6932" max="6932" width="14.25" style="14" customWidth="1"/>
    <col min="6933" max="6934" width="11.25" style="14" customWidth="1"/>
    <col min="6935" max="7168" width="9" style="14"/>
    <col min="7169" max="7169" width="8" style="14" customWidth="1"/>
    <col min="7170" max="7171" width="10.625" style="14" customWidth="1"/>
    <col min="7172" max="7173" width="7.625" style="14" customWidth="1"/>
    <col min="7174" max="7174" width="11.625" style="14" customWidth="1"/>
    <col min="7175" max="7175" width="9" style="14"/>
    <col min="7176" max="7176" width="6.625" style="14" customWidth="1"/>
    <col min="7177" max="7182" width="10.125" style="14" customWidth="1"/>
    <col min="7183" max="7187" width="9" style="14"/>
    <col min="7188" max="7188" width="14.25" style="14" customWidth="1"/>
    <col min="7189" max="7190" width="11.25" style="14" customWidth="1"/>
    <col min="7191" max="7424" width="9" style="14"/>
    <col min="7425" max="7425" width="8" style="14" customWidth="1"/>
    <col min="7426" max="7427" width="10.625" style="14" customWidth="1"/>
    <col min="7428" max="7429" width="7.625" style="14" customWidth="1"/>
    <col min="7430" max="7430" width="11.625" style="14" customWidth="1"/>
    <col min="7431" max="7431" width="9" style="14"/>
    <col min="7432" max="7432" width="6.625" style="14" customWidth="1"/>
    <col min="7433" max="7438" width="10.125" style="14" customWidth="1"/>
    <col min="7439" max="7443" width="9" style="14"/>
    <col min="7444" max="7444" width="14.25" style="14" customWidth="1"/>
    <col min="7445" max="7446" width="11.25" style="14" customWidth="1"/>
    <col min="7447" max="7680" width="9" style="14"/>
    <col min="7681" max="7681" width="8" style="14" customWidth="1"/>
    <col min="7682" max="7683" width="10.625" style="14" customWidth="1"/>
    <col min="7684" max="7685" width="7.625" style="14" customWidth="1"/>
    <col min="7686" max="7686" width="11.625" style="14" customWidth="1"/>
    <col min="7687" max="7687" width="9" style="14"/>
    <col min="7688" max="7688" width="6.625" style="14" customWidth="1"/>
    <col min="7689" max="7694" width="10.125" style="14" customWidth="1"/>
    <col min="7695" max="7699" width="9" style="14"/>
    <col min="7700" max="7700" width="14.25" style="14" customWidth="1"/>
    <col min="7701" max="7702" width="11.25" style="14" customWidth="1"/>
    <col min="7703" max="7936" width="9" style="14"/>
    <col min="7937" max="7937" width="8" style="14" customWidth="1"/>
    <col min="7938" max="7939" width="10.625" style="14" customWidth="1"/>
    <col min="7940" max="7941" width="7.625" style="14" customWidth="1"/>
    <col min="7942" max="7942" width="11.625" style="14" customWidth="1"/>
    <col min="7943" max="7943" width="9" style="14"/>
    <col min="7944" max="7944" width="6.625" style="14" customWidth="1"/>
    <col min="7945" max="7950" width="10.125" style="14" customWidth="1"/>
    <col min="7951" max="7955" width="9" style="14"/>
    <col min="7956" max="7956" width="14.25" style="14" customWidth="1"/>
    <col min="7957" max="7958" width="11.25" style="14" customWidth="1"/>
    <col min="7959" max="8192" width="9" style="14"/>
    <col min="8193" max="8193" width="8" style="14" customWidth="1"/>
    <col min="8194" max="8195" width="10.625" style="14" customWidth="1"/>
    <col min="8196" max="8197" width="7.625" style="14" customWidth="1"/>
    <col min="8198" max="8198" width="11.625" style="14" customWidth="1"/>
    <col min="8199" max="8199" width="9" style="14"/>
    <col min="8200" max="8200" width="6.625" style="14" customWidth="1"/>
    <col min="8201" max="8206" width="10.125" style="14" customWidth="1"/>
    <col min="8207" max="8211" width="9" style="14"/>
    <col min="8212" max="8212" width="14.25" style="14" customWidth="1"/>
    <col min="8213" max="8214" width="11.25" style="14" customWidth="1"/>
    <col min="8215" max="8448" width="9" style="14"/>
    <col min="8449" max="8449" width="8" style="14" customWidth="1"/>
    <col min="8450" max="8451" width="10.625" style="14" customWidth="1"/>
    <col min="8452" max="8453" width="7.625" style="14" customWidth="1"/>
    <col min="8454" max="8454" width="11.625" style="14" customWidth="1"/>
    <col min="8455" max="8455" width="9" style="14"/>
    <col min="8456" max="8456" width="6.625" style="14" customWidth="1"/>
    <col min="8457" max="8462" width="10.125" style="14" customWidth="1"/>
    <col min="8463" max="8467" width="9" style="14"/>
    <col min="8468" max="8468" width="14.25" style="14" customWidth="1"/>
    <col min="8469" max="8470" width="11.25" style="14" customWidth="1"/>
    <col min="8471" max="8704" width="9" style="14"/>
    <col min="8705" max="8705" width="8" style="14" customWidth="1"/>
    <col min="8706" max="8707" width="10.625" style="14" customWidth="1"/>
    <col min="8708" max="8709" width="7.625" style="14" customWidth="1"/>
    <col min="8710" max="8710" width="11.625" style="14" customWidth="1"/>
    <col min="8711" max="8711" width="9" style="14"/>
    <col min="8712" max="8712" width="6.625" style="14" customWidth="1"/>
    <col min="8713" max="8718" width="10.125" style="14" customWidth="1"/>
    <col min="8719" max="8723" width="9" style="14"/>
    <col min="8724" max="8724" width="14.25" style="14" customWidth="1"/>
    <col min="8725" max="8726" width="11.25" style="14" customWidth="1"/>
    <col min="8727" max="8960" width="9" style="14"/>
    <col min="8961" max="8961" width="8" style="14" customWidth="1"/>
    <col min="8962" max="8963" width="10.625" style="14" customWidth="1"/>
    <col min="8964" max="8965" width="7.625" style="14" customWidth="1"/>
    <col min="8966" max="8966" width="11.625" style="14" customWidth="1"/>
    <col min="8967" max="8967" width="9" style="14"/>
    <col min="8968" max="8968" width="6.625" style="14" customWidth="1"/>
    <col min="8969" max="8974" width="10.125" style="14" customWidth="1"/>
    <col min="8975" max="8979" width="9" style="14"/>
    <col min="8980" max="8980" width="14.25" style="14" customWidth="1"/>
    <col min="8981" max="8982" width="11.25" style="14" customWidth="1"/>
    <col min="8983" max="9216" width="9" style="14"/>
    <col min="9217" max="9217" width="8" style="14" customWidth="1"/>
    <col min="9218" max="9219" width="10.625" style="14" customWidth="1"/>
    <col min="9220" max="9221" width="7.625" style="14" customWidth="1"/>
    <col min="9222" max="9222" width="11.625" style="14" customWidth="1"/>
    <col min="9223" max="9223" width="9" style="14"/>
    <col min="9224" max="9224" width="6.625" style="14" customWidth="1"/>
    <col min="9225" max="9230" width="10.125" style="14" customWidth="1"/>
    <col min="9231" max="9235" width="9" style="14"/>
    <col min="9236" max="9236" width="14.25" style="14" customWidth="1"/>
    <col min="9237" max="9238" width="11.25" style="14" customWidth="1"/>
    <col min="9239" max="9472" width="9" style="14"/>
    <col min="9473" max="9473" width="8" style="14" customWidth="1"/>
    <col min="9474" max="9475" width="10.625" style="14" customWidth="1"/>
    <col min="9476" max="9477" width="7.625" style="14" customWidth="1"/>
    <col min="9478" max="9478" width="11.625" style="14" customWidth="1"/>
    <col min="9479" max="9479" width="9" style="14"/>
    <col min="9480" max="9480" width="6.625" style="14" customWidth="1"/>
    <col min="9481" max="9486" width="10.125" style="14" customWidth="1"/>
    <col min="9487" max="9491" width="9" style="14"/>
    <col min="9492" max="9492" width="14.25" style="14" customWidth="1"/>
    <col min="9493" max="9494" width="11.25" style="14" customWidth="1"/>
    <col min="9495" max="9728" width="9" style="14"/>
    <col min="9729" max="9729" width="8" style="14" customWidth="1"/>
    <col min="9730" max="9731" width="10.625" style="14" customWidth="1"/>
    <col min="9732" max="9733" width="7.625" style="14" customWidth="1"/>
    <col min="9734" max="9734" width="11.625" style="14" customWidth="1"/>
    <col min="9735" max="9735" width="9" style="14"/>
    <col min="9736" max="9736" width="6.625" style="14" customWidth="1"/>
    <col min="9737" max="9742" width="10.125" style="14" customWidth="1"/>
    <col min="9743" max="9747" width="9" style="14"/>
    <col min="9748" max="9748" width="14.25" style="14" customWidth="1"/>
    <col min="9749" max="9750" width="11.25" style="14" customWidth="1"/>
    <col min="9751" max="9984" width="9" style="14"/>
    <col min="9985" max="9985" width="8" style="14" customWidth="1"/>
    <col min="9986" max="9987" width="10.625" style="14" customWidth="1"/>
    <col min="9988" max="9989" width="7.625" style="14" customWidth="1"/>
    <col min="9990" max="9990" width="11.625" style="14" customWidth="1"/>
    <col min="9991" max="9991" width="9" style="14"/>
    <col min="9992" max="9992" width="6.625" style="14" customWidth="1"/>
    <col min="9993" max="9998" width="10.125" style="14" customWidth="1"/>
    <col min="9999" max="10003" width="9" style="14"/>
    <col min="10004" max="10004" width="14.25" style="14" customWidth="1"/>
    <col min="10005" max="10006" width="11.25" style="14" customWidth="1"/>
    <col min="10007" max="10240" width="9" style="14"/>
    <col min="10241" max="10241" width="8" style="14" customWidth="1"/>
    <col min="10242" max="10243" width="10.625" style="14" customWidth="1"/>
    <col min="10244" max="10245" width="7.625" style="14" customWidth="1"/>
    <col min="10246" max="10246" width="11.625" style="14" customWidth="1"/>
    <col min="10247" max="10247" width="9" style="14"/>
    <col min="10248" max="10248" width="6.625" style="14" customWidth="1"/>
    <col min="10249" max="10254" width="10.125" style="14" customWidth="1"/>
    <col min="10255" max="10259" width="9" style="14"/>
    <col min="10260" max="10260" width="14.25" style="14" customWidth="1"/>
    <col min="10261" max="10262" width="11.25" style="14" customWidth="1"/>
    <col min="10263" max="10496" width="9" style="14"/>
    <col min="10497" max="10497" width="8" style="14" customWidth="1"/>
    <col min="10498" max="10499" width="10.625" style="14" customWidth="1"/>
    <col min="10500" max="10501" width="7.625" style="14" customWidth="1"/>
    <col min="10502" max="10502" width="11.625" style="14" customWidth="1"/>
    <col min="10503" max="10503" width="9" style="14"/>
    <col min="10504" max="10504" width="6.625" style="14" customWidth="1"/>
    <col min="10505" max="10510" width="10.125" style="14" customWidth="1"/>
    <col min="10511" max="10515" width="9" style="14"/>
    <col min="10516" max="10516" width="14.25" style="14" customWidth="1"/>
    <col min="10517" max="10518" width="11.25" style="14" customWidth="1"/>
    <col min="10519" max="10752" width="9" style="14"/>
    <col min="10753" max="10753" width="8" style="14" customWidth="1"/>
    <col min="10754" max="10755" width="10.625" style="14" customWidth="1"/>
    <col min="10756" max="10757" width="7.625" style="14" customWidth="1"/>
    <col min="10758" max="10758" width="11.625" style="14" customWidth="1"/>
    <col min="10759" max="10759" width="9" style="14"/>
    <col min="10760" max="10760" width="6.625" style="14" customWidth="1"/>
    <col min="10761" max="10766" width="10.125" style="14" customWidth="1"/>
    <col min="10767" max="10771" width="9" style="14"/>
    <col min="10772" max="10772" width="14.25" style="14" customWidth="1"/>
    <col min="10773" max="10774" width="11.25" style="14" customWidth="1"/>
    <col min="10775" max="11008" width="9" style="14"/>
    <col min="11009" max="11009" width="8" style="14" customWidth="1"/>
    <col min="11010" max="11011" width="10.625" style="14" customWidth="1"/>
    <col min="11012" max="11013" width="7.625" style="14" customWidth="1"/>
    <col min="11014" max="11014" width="11.625" style="14" customWidth="1"/>
    <col min="11015" max="11015" width="9" style="14"/>
    <col min="11016" max="11016" width="6.625" style="14" customWidth="1"/>
    <col min="11017" max="11022" width="10.125" style="14" customWidth="1"/>
    <col min="11023" max="11027" width="9" style="14"/>
    <col min="11028" max="11028" width="14.25" style="14" customWidth="1"/>
    <col min="11029" max="11030" width="11.25" style="14" customWidth="1"/>
    <col min="11031" max="11264" width="9" style="14"/>
    <col min="11265" max="11265" width="8" style="14" customWidth="1"/>
    <col min="11266" max="11267" width="10.625" style="14" customWidth="1"/>
    <col min="11268" max="11269" width="7.625" style="14" customWidth="1"/>
    <col min="11270" max="11270" width="11.625" style="14" customWidth="1"/>
    <col min="11271" max="11271" width="9" style="14"/>
    <col min="11272" max="11272" width="6.625" style="14" customWidth="1"/>
    <col min="11273" max="11278" width="10.125" style="14" customWidth="1"/>
    <col min="11279" max="11283" width="9" style="14"/>
    <col min="11284" max="11284" width="14.25" style="14" customWidth="1"/>
    <col min="11285" max="11286" width="11.25" style="14" customWidth="1"/>
    <col min="11287" max="11520" width="9" style="14"/>
    <col min="11521" max="11521" width="8" style="14" customWidth="1"/>
    <col min="11522" max="11523" width="10.625" style="14" customWidth="1"/>
    <col min="11524" max="11525" width="7.625" style="14" customWidth="1"/>
    <col min="11526" max="11526" width="11.625" style="14" customWidth="1"/>
    <col min="11527" max="11527" width="9" style="14"/>
    <col min="11528" max="11528" width="6.625" style="14" customWidth="1"/>
    <col min="11529" max="11534" width="10.125" style="14" customWidth="1"/>
    <col min="11535" max="11539" width="9" style="14"/>
    <col min="11540" max="11540" width="14.25" style="14" customWidth="1"/>
    <col min="11541" max="11542" width="11.25" style="14" customWidth="1"/>
    <col min="11543" max="11776" width="9" style="14"/>
    <col min="11777" max="11777" width="8" style="14" customWidth="1"/>
    <col min="11778" max="11779" width="10.625" style="14" customWidth="1"/>
    <col min="11780" max="11781" width="7.625" style="14" customWidth="1"/>
    <col min="11782" max="11782" width="11.625" style="14" customWidth="1"/>
    <col min="11783" max="11783" width="9" style="14"/>
    <col min="11784" max="11784" width="6.625" style="14" customWidth="1"/>
    <col min="11785" max="11790" width="10.125" style="14" customWidth="1"/>
    <col min="11791" max="11795" width="9" style="14"/>
    <col min="11796" max="11796" width="14.25" style="14" customWidth="1"/>
    <col min="11797" max="11798" width="11.25" style="14" customWidth="1"/>
    <col min="11799" max="12032" width="9" style="14"/>
    <col min="12033" max="12033" width="8" style="14" customWidth="1"/>
    <col min="12034" max="12035" width="10.625" style="14" customWidth="1"/>
    <col min="12036" max="12037" width="7.625" style="14" customWidth="1"/>
    <col min="12038" max="12038" width="11.625" style="14" customWidth="1"/>
    <col min="12039" max="12039" width="9" style="14"/>
    <col min="12040" max="12040" width="6.625" style="14" customWidth="1"/>
    <col min="12041" max="12046" width="10.125" style="14" customWidth="1"/>
    <col min="12047" max="12051" width="9" style="14"/>
    <col min="12052" max="12052" width="14.25" style="14" customWidth="1"/>
    <col min="12053" max="12054" width="11.25" style="14" customWidth="1"/>
    <col min="12055" max="12288" width="9" style="14"/>
    <col min="12289" max="12289" width="8" style="14" customWidth="1"/>
    <col min="12290" max="12291" width="10.625" style="14" customWidth="1"/>
    <col min="12292" max="12293" width="7.625" style="14" customWidth="1"/>
    <col min="12294" max="12294" width="11.625" style="14" customWidth="1"/>
    <col min="12295" max="12295" width="9" style="14"/>
    <col min="12296" max="12296" width="6.625" style="14" customWidth="1"/>
    <col min="12297" max="12302" width="10.125" style="14" customWidth="1"/>
    <col min="12303" max="12307" width="9" style="14"/>
    <col min="12308" max="12308" width="14.25" style="14" customWidth="1"/>
    <col min="12309" max="12310" width="11.25" style="14" customWidth="1"/>
    <col min="12311" max="12544" width="9" style="14"/>
    <col min="12545" max="12545" width="8" style="14" customWidth="1"/>
    <col min="12546" max="12547" width="10.625" style="14" customWidth="1"/>
    <col min="12548" max="12549" width="7.625" style="14" customWidth="1"/>
    <col min="12550" max="12550" width="11.625" style="14" customWidth="1"/>
    <col min="12551" max="12551" width="9" style="14"/>
    <col min="12552" max="12552" width="6.625" style="14" customWidth="1"/>
    <col min="12553" max="12558" width="10.125" style="14" customWidth="1"/>
    <col min="12559" max="12563" width="9" style="14"/>
    <col min="12564" max="12564" width="14.25" style="14" customWidth="1"/>
    <col min="12565" max="12566" width="11.25" style="14" customWidth="1"/>
    <col min="12567" max="12800" width="9" style="14"/>
    <col min="12801" max="12801" width="8" style="14" customWidth="1"/>
    <col min="12802" max="12803" width="10.625" style="14" customWidth="1"/>
    <col min="12804" max="12805" width="7.625" style="14" customWidth="1"/>
    <col min="12806" max="12806" width="11.625" style="14" customWidth="1"/>
    <col min="12807" max="12807" width="9" style="14"/>
    <col min="12808" max="12808" width="6.625" style="14" customWidth="1"/>
    <col min="12809" max="12814" width="10.125" style="14" customWidth="1"/>
    <col min="12815" max="12819" width="9" style="14"/>
    <col min="12820" max="12820" width="14.25" style="14" customWidth="1"/>
    <col min="12821" max="12822" width="11.25" style="14" customWidth="1"/>
    <col min="12823" max="13056" width="9" style="14"/>
    <col min="13057" max="13057" width="8" style="14" customWidth="1"/>
    <col min="13058" max="13059" width="10.625" style="14" customWidth="1"/>
    <col min="13060" max="13061" width="7.625" style="14" customWidth="1"/>
    <col min="13062" max="13062" width="11.625" style="14" customWidth="1"/>
    <col min="13063" max="13063" width="9" style="14"/>
    <col min="13064" max="13064" width="6.625" style="14" customWidth="1"/>
    <col min="13065" max="13070" width="10.125" style="14" customWidth="1"/>
    <col min="13071" max="13075" width="9" style="14"/>
    <col min="13076" max="13076" width="14.25" style="14" customWidth="1"/>
    <col min="13077" max="13078" width="11.25" style="14" customWidth="1"/>
    <col min="13079" max="13312" width="9" style="14"/>
    <col min="13313" max="13313" width="8" style="14" customWidth="1"/>
    <col min="13314" max="13315" width="10.625" style="14" customWidth="1"/>
    <col min="13316" max="13317" width="7.625" style="14" customWidth="1"/>
    <col min="13318" max="13318" width="11.625" style="14" customWidth="1"/>
    <col min="13319" max="13319" width="9" style="14"/>
    <col min="13320" max="13320" width="6.625" style="14" customWidth="1"/>
    <col min="13321" max="13326" width="10.125" style="14" customWidth="1"/>
    <col min="13327" max="13331" width="9" style="14"/>
    <col min="13332" max="13332" width="14.25" style="14" customWidth="1"/>
    <col min="13333" max="13334" width="11.25" style="14" customWidth="1"/>
    <col min="13335" max="13568" width="9" style="14"/>
    <col min="13569" max="13569" width="8" style="14" customWidth="1"/>
    <col min="13570" max="13571" width="10.625" style="14" customWidth="1"/>
    <col min="13572" max="13573" width="7.625" style="14" customWidth="1"/>
    <col min="13574" max="13574" width="11.625" style="14" customWidth="1"/>
    <col min="13575" max="13575" width="9" style="14"/>
    <col min="13576" max="13576" width="6.625" style="14" customWidth="1"/>
    <col min="13577" max="13582" width="10.125" style="14" customWidth="1"/>
    <col min="13583" max="13587" width="9" style="14"/>
    <col min="13588" max="13588" width="14.25" style="14" customWidth="1"/>
    <col min="13589" max="13590" width="11.25" style="14" customWidth="1"/>
    <col min="13591" max="13824" width="9" style="14"/>
    <col min="13825" max="13825" width="8" style="14" customWidth="1"/>
    <col min="13826" max="13827" width="10.625" style="14" customWidth="1"/>
    <col min="13828" max="13829" width="7.625" style="14" customWidth="1"/>
    <col min="13830" max="13830" width="11.625" style="14" customWidth="1"/>
    <col min="13831" max="13831" width="9" style="14"/>
    <col min="13832" max="13832" width="6.625" style="14" customWidth="1"/>
    <col min="13833" max="13838" width="10.125" style="14" customWidth="1"/>
    <col min="13839" max="13843" width="9" style="14"/>
    <col min="13844" max="13844" width="14.25" style="14" customWidth="1"/>
    <col min="13845" max="13846" width="11.25" style="14" customWidth="1"/>
    <col min="13847" max="14080" width="9" style="14"/>
    <col min="14081" max="14081" width="8" style="14" customWidth="1"/>
    <col min="14082" max="14083" width="10.625" style="14" customWidth="1"/>
    <col min="14084" max="14085" width="7.625" style="14" customWidth="1"/>
    <col min="14086" max="14086" width="11.625" style="14" customWidth="1"/>
    <col min="14087" max="14087" width="9" style="14"/>
    <col min="14088" max="14088" width="6.625" style="14" customWidth="1"/>
    <col min="14089" max="14094" width="10.125" style="14" customWidth="1"/>
    <col min="14095" max="14099" width="9" style="14"/>
    <col min="14100" max="14100" width="14.25" style="14" customWidth="1"/>
    <col min="14101" max="14102" width="11.25" style="14" customWidth="1"/>
    <col min="14103" max="14336" width="9" style="14"/>
    <col min="14337" max="14337" width="8" style="14" customWidth="1"/>
    <col min="14338" max="14339" width="10.625" style="14" customWidth="1"/>
    <col min="14340" max="14341" width="7.625" style="14" customWidth="1"/>
    <col min="14342" max="14342" width="11.625" style="14" customWidth="1"/>
    <col min="14343" max="14343" width="9" style="14"/>
    <col min="14344" max="14344" width="6.625" style="14" customWidth="1"/>
    <col min="14345" max="14350" width="10.125" style="14" customWidth="1"/>
    <col min="14351" max="14355" width="9" style="14"/>
    <col min="14356" max="14356" width="14.25" style="14" customWidth="1"/>
    <col min="14357" max="14358" width="11.25" style="14" customWidth="1"/>
    <col min="14359" max="14592" width="9" style="14"/>
    <col min="14593" max="14593" width="8" style="14" customWidth="1"/>
    <col min="14594" max="14595" width="10.625" style="14" customWidth="1"/>
    <col min="14596" max="14597" width="7.625" style="14" customWidth="1"/>
    <col min="14598" max="14598" width="11.625" style="14" customWidth="1"/>
    <col min="14599" max="14599" width="9" style="14"/>
    <col min="14600" max="14600" width="6.625" style="14" customWidth="1"/>
    <col min="14601" max="14606" width="10.125" style="14" customWidth="1"/>
    <col min="14607" max="14611" width="9" style="14"/>
    <col min="14612" max="14612" width="14.25" style="14" customWidth="1"/>
    <col min="14613" max="14614" width="11.25" style="14" customWidth="1"/>
    <col min="14615" max="14848" width="9" style="14"/>
    <col min="14849" max="14849" width="8" style="14" customWidth="1"/>
    <col min="14850" max="14851" width="10.625" style="14" customWidth="1"/>
    <col min="14852" max="14853" width="7.625" style="14" customWidth="1"/>
    <col min="14854" max="14854" width="11.625" style="14" customWidth="1"/>
    <col min="14855" max="14855" width="9" style="14"/>
    <col min="14856" max="14856" width="6.625" style="14" customWidth="1"/>
    <col min="14857" max="14862" width="10.125" style="14" customWidth="1"/>
    <col min="14863" max="14867" width="9" style="14"/>
    <col min="14868" max="14868" width="14.25" style="14" customWidth="1"/>
    <col min="14869" max="14870" width="11.25" style="14" customWidth="1"/>
    <col min="14871" max="15104" width="9" style="14"/>
    <col min="15105" max="15105" width="8" style="14" customWidth="1"/>
    <col min="15106" max="15107" width="10.625" style="14" customWidth="1"/>
    <col min="15108" max="15109" width="7.625" style="14" customWidth="1"/>
    <col min="15110" max="15110" width="11.625" style="14" customWidth="1"/>
    <col min="15111" max="15111" width="9" style="14"/>
    <col min="15112" max="15112" width="6.625" style="14" customWidth="1"/>
    <col min="15113" max="15118" width="10.125" style="14" customWidth="1"/>
    <col min="15119" max="15123" width="9" style="14"/>
    <col min="15124" max="15124" width="14.25" style="14" customWidth="1"/>
    <col min="15125" max="15126" width="11.25" style="14" customWidth="1"/>
    <col min="15127" max="15360" width="9" style="14"/>
    <col min="15361" max="15361" width="8" style="14" customWidth="1"/>
    <col min="15362" max="15363" width="10.625" style="14" customWidth="1"/>
    <col min="15364" max="15365" width="7.625" style="14" customWidth="1"/>
    <col min="15366" max="15366" width="11.625" style="14" customWidth="1"/>
    <col min="15367" max="15367" width="9" style="14"/>
    <col min="15368" max="15368" width="6.625" style="14" customWidth="1"/>
    <col min="15369" max="15374" width="10.125" style="14" customWidth="1"/>
    <col min="15375" max="15379" width="9" style="14"/>
    <col min="15380" max="15380" width="14.25" style="14" customWidth="1"/>
    <col min="15381" max="15382" width="11.25" style="14" customWidth="1"/>
    <col min="15383" max="15616" width="9" style="14"/>
    <col min="15617" max="15617" width="8" style="14" customWidth="1"/>
    <col min="15618" max="15619" width="10.625" style="14" customWidth="1"/>
    <col min="15620" max="15621" width="7.625" style="14" customWidth="1"/>
    <col min="15622" max="15622" width="11.625" style="14" customWidth="1"/>
    <col min="15623" max="15623" width="9" style="14"/>
    <col min="15624" max="15624" width="6.625" style="14" customWidth="1"/>
    <col min="15625" max="15630" width="10.125" style="14" customWidth="1"/>
    <col min="15631" max="15635" width="9" style="14"/>
    <col min="15636" max="15636" width="14.25" style="14" customWidth="1"/>
    <col min="15637" max="15638" width="11.25" style="14" customWidth="1"/>
    <col min="15639" max="15872" width="9" style="14"/>
    <col min="15873" max="15873" width="8" style="14" customWidth="1"/>
    <col min="15874" max="15875" width="10.625" style="14" customWidth="1"/>
    <col min="15876" max="15877" width="7.625" style="14" customWidth="1"/>
    <col min="15878" max="15878" width="11.625" style="14" customWidth="1"/>
    <col min="15879" max="15879" width="9" style="14"/>
    <col min="15880" max="15880" width="6.625" style="14" customWidth="1"/>
    <col min="15881" max="15886" width="10.125" style="14" customWidth="1"/>
    <col min="15887" max="15891" width="9" style="14"/>
    <col min="15892" max="15892" width="14.25" style="14" customWidth="1"/>
    <col min="15893" max="15894" width="11.25" style="14" customWidth="1"/>
    <col min="15895" max="16128" width="9" style="14"/>
    <col min="16129" max="16129" width="8" style="14" customWidth="1"/>
    <col min="16130" max="16131" width="10.625" style="14" customWidth="1"/>
    <col min="16132" max="16133" width="7.625" style="14" customWidth="1"/>
    <col min="16134" max="16134" width="11.625" style="14" customWidth="1"/>
    <col min="16135" max="16135" width="9" style="14"/>
    <col min="16136" max="16136" width="6.625" style="14" customWidth="1"/>
    <col min="16137" max="16142" width="10.125" style="14" customWidth="1"/>
    <col min="16143" max="16147" width="9" style="14"/>
    <col min="16148" max="16148" width="14.25" style="14" customWidth="1"/>
    <col min="16149" max="16150" width="11.25" style="14" customWidth="1"/>
    <col min="16151" max="16384" width="9" style="14"/>
  </cols>
  <sheetData>
    <row r="1" spans="1:66" ht="31.5" thickBot="1" x14ac:dyDescent="0.5">
      <c r="A1" s="10" t="s">
        <v>19</v>
      </c>
      <c r="I1" s="13"/>
      <c r="J1" s="13"/>
      <c r="K1" s="13"/>
      <c r="L1" s="13"/>
      <c r="M1" s="13"/>
      <c r="N1" s="13"/>
      <c r="O1" s="13"/>
      <c r="Q1" s="13"/>
      <c r="AH1" s="16"/>
      <c r="AI1" s="16"/>
      <c r="AJ1" s="16"/>
      <c r="AK1" s="16"/>
      <c r="AL1" s="58" t="s">
        <v>56</v>
      </c>
      <c r="AM1" s="58" t="s">
        <v>57</v>
      </c>
      <c r="AN1" s="16"/>
      <c r="BC1" s="13"/>
      <c r="BD1" s="13"/>
      <c r="BE1" s="13"/>
      <c r="BF1" s="13"/>
      <c r="BG1" s="13"/>
      <c r="BH1" s="13"/>
      <c r="BI1" s="13"/>
      <c r="BJ1" s="13"/>
      <c r="BK1" s="13"/>
      <c r="BL1" s="13"/>
      <c r="BM1" s="13"/>
      <c r="BN1" s="13"/>
    </row>
    <row r="2" spans="1:66" s="20" customFormat="1" ht="39.75" customHeight="1" thickBot="1" x14ac:dyDescent="0.35">
      <c r="A2" s="17" t="s">
        <v>20</v>
      </c>
      <c r="B2" s="56" t="s">
        <v>56</v>
      </c>
      <c r="C2" s="57" t="s">
        <v>57</v>
      </c>
      <c r="D2" s="13"/>
      <c r="E2" s="19"/>
      <c r="F2" s="59" t="s">
        <v>21</v>
      </c>
      <c r="G2" s="60"/>
      <c r="I2" s="21"/>
      <c r="J2" s="21"/>
      <c r="K2" s="21"/>
      <c r="L2" s="21"/>
      <c r="M2" s="21"/>
      <c r="N2" s="21"/>
      <c r="O2" s="21"/>
      <c r="Q2" s="21"/>
      <c r="R2" s="13"/>
      <c r="S2" s="13"/>
      <c r="T2" s="13"/>
      <c r="U2" s="13"/>
      <c r="V2" s="13"/>
      <c r="W2" s="21"/>
      <c r="X2" s="21"/>
      <c r="Y2" s="13"/>
      <c r="Z2" s="13"/>
      <c r="AA2" s="13"/>
      <c r="AB2" s="13"/>
      <c r="AC2" s="13"/>
      <c r="AD2" s="13"/>
      <c r="AE2" s="13"/>
      <c r="AF2" s="13"/>
      <c r="AG2" s="13"/>
      <c r="AH2" s="16">
        <v>250</v>
      </c>
      <c r="AI2" s="16"/>
      <c r="AJ2" s="16"/>
      <c r="AK2" s="16">
        <v>250</v>
      </c>
      <c r="AL2" s="16">
        <v>0</v>
      </c>
      <c r="AM2" s="16">
        <v>0</v>
      </c>
      <c r="AN2" s="16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21"/>
      <c r="BD2" s="21"/>
      <c r="BE2" s="21"/>
      <c r="BF2" s="21"/>
      <c r="BG2" s="21"/>
      <c r="BH2" s="21"/>
      <c r="BI2" s="21"/>
      <c r="BJ2" s="21"/>
      <c r="BK2" s="21"/>
      <c r="BL2" s="21"/>
      <c r="BM2" s="21"/>
      <c r="BN2" s="21"/>
    </row>
    <row r="3" spans="1:66" ht="16.5" thickBot="1" x14ac:dyDescent="0.3">
      <c r="A3" s="22">
        <v>1</v>
      </c>
      <c r="B3" s="23">
        <v>614.81041910985937</v>
      </c>
      <c r="C3" s="24">
        <v>1634.2867401787257</v>
      </c>
      <c r="E3" s="25"/>
      <c r="F3" s="26">
        <v>10000</v>
      </c>
      <c r="G3" s="27" t="s">
        <v>22</v>
      </c>
      <c r="AH3" s="16">
        <v>300</v>
      </c>
      <c r="AI3" s="16"/>
      <c r="AJ3" s="16"/>
      <c r="AK3" s="16">
        <v>250</v>
      </c>
      <c r="AL3" s="16">
        <v>1</v>
      </c>
      <c r="AM3" s="16">
        <v>0</v>
      </c>
      <c r="AN3" s="16"/>
      <c r="BC3" s="13"/>
      <c r="BD3" s="13"/>
      <c r="BE3" s="13"/>
      <c r="BF3" s="13"/>
      <c r="BG3" s="13"/>
      <c r="BH3" s="13"/>
      <c r="BI3" s="13"/>
      <c r="BJ3" s="13"/>
      <c r="BK3" s="13"/>
      <c r="BL3" s="13"/>
      <c r="BM3" s="13"/>
      <c r="BN3" s="13"/>
    </row>
    <row r="4" spans="1:66" ht="16.5" thickBot="1" x14ac:dyDescent="0.3">
      <c r="A4" s="22">
        <v>2</v>
      </c>
      <c r="B4" s="23">
        <v>873.56398974868785</v>
      </c>
      <c r="C4" s="24">
        <v>1917.5763249286285</v>
      </c>
      <c r="E4" s="25"/>
      <c r="F4" s="28">
        <v>70.000000018626451</v>
      </c>
      <c r="G4" s="29" t="s">
        <v>23</v>
      </c>
      <c r="I4" s="61" t="s">
        <v>36</v>
      </c>
      <c r="J4" s="62"/>
      <c r="K4" s="63" t="s">
        <v>37</v>
      </c>
      <c r="L4" s="64"/>
      <c r="M4" s="65" t="s">
        <v>24</v>
      </c>
      <c r="N4" s="66"/>
      <c r="P4" s="30"/>
      <c r="AH4" s="16">
        <v>350</v>
      </c>
      <c r="AI4" s="16"/>
      <c r="AJ4" s="16"/>
      <c r="AK4" s="16">
        <v>300</v>
      </c>
      <c r="AL4" s="16">
        <v>1</v>
      </c>
      <c r="AM4" s="16">
        <v>0</v>
      </c>
      <c r="AN4" s="16"/>
      <c r="BC4" s="13"/>
      <c r="BD4" s="13"/>
      <c r="BE4" s="13"/>
      <c r="BF4" s="13"/>
      <c r="BG4" s="13"/>
      <c r="BH4" s="13"/>
      <c r="BI4" s="13"/>
      <c r="BJ4" s="13"/>
      <c r="BK4" s="13"/>
      <c r="BL4" s="13"/>
      <c r="BM4" s="13"/>
      <c r="BN4" s="13"/>
    </row>
    <row r="5" spans="1:66" x14ac:dyDescent="0.25">
      <c r="A5" s="22">
        <v>3</v>
      </c>
      <c r="B5" s="23">
        <v>696.72989784133233</v>
      </c>
      <c r="C5" s="24">
        <v>2014.3766885904877</v>
      </c>
      <c r="E5" s="31"/>
      <c r="F5" s="32"/>
      <c r="G5" s="31"/>
      <c r="I5" s="33" t="s">
        <v>25</v>
      </c>
      <c r="J5" s="34">
        <v>702.85338584779106</v>
      </c>
      <c r="K5" s="35" t="s">
        <v>25</v>
      </c>
      <c r="L5" s="36">
        <v>1874.2269276027296</v>
      </c>
      <c r="M5" s="37"/>
      <c r="N5" s="38"/>
      <c r="P5" s="30"/>
      <c r="AH5" s="16">
        <v>400</v>
      </c>
      <c r="AI5" s="16"/>
      <c r="AJ5" s="16"/>
      <c r="AK5" s="16">
        <v>300</v>
      </c>
      <c r="AL5" s="16">
        <v>1</v>
      </c>
      <c r="AM5" s="16">
        <v>0</v>
      </c>
      <c r="AN5" s="16"/>
      <c r="BC5" s="13"/>
      <c r="BD5" s="13"/>
      <c r="BE5" s="13"/>
      <c r="BF5" s="13"/>
      <c r="BG5" s="13"/>
      <c r="BH5" s="13"/>
      <c r="BI5" s="13"/>
      <c r="BJ5" s="13"/>
      <c r="BK5" s="13"/>
      <c r="BL5" s="13"/>
      <c r="BM5" s="13"/>
      <c r="BN5" s="13"/>
    </row>
    <row r="6" spans="1:66" x14ac:dyDescent="0.25">
      <c r="A6" s="22">
        <v>4</v>
      </c>
      <c r="B6" s="23">
        <v>696.90778880808762</v>
      </c>
      <c r="C6" s="24">
        <v>1647.3404591184512</v>
      </c>
      <c r="I6" s="33" t="s">
        <v>26</v>
      </c>
      <c r="J6" s="39">
        <v>119.42163480698575</v>
      </c>
      <c r="K6" s="35" t="s">
        <v>26</v>
      </c>
      <c r="L6" s="40">
        <v>273.03919105029979</v>
      </c>
      <c r="M6" s="41"/>
      <c r="N6" s="42"/>
      <c r="AH6" s="16">
        <v>450</v>
      </c>
      <c r="AI6" s="16"/>
      <c r="AJ6" s="16"/>
      <c r="AK6" s="16">
        <v>350</v>
      </c>
      <c r="AL6" s="16">
        <v>1</v>
      </c>
      <c r="AM6" s="16">
        <v>0</v>
      </c>
      <c r="AN6" s="16"/>
      <c r="BC6" s="13"/>
      <c r="BD6" s="13"/>
      <c r="BE6" s="13"/>
      <c r="BF6" s="13"/>
      <c r="BG6" s="13"/>
      <c r="BH6" s="13"/>
      <c r="BI6" s="13"/>
      <c r="BJ6" s="13"/>
      <c r="BK6" s="13"/>
      <c r="BL6" s="13"/>
      <c r="BM6" s="13"/>
      <c r="BN6" s="13"/>
    </row>
    <row r="7" spans="1:66" x14ac:dyDescent="0.25">
      <c r="A7" s="22">
        <v>5</v>
      </c>
      <c r="B7" s="23">
        <v>696.39910726914763</v>
      </c>
      <c r="C7" s="24">
        <v>1476.1314876009878</v>
      </c>
      <c r="F7" s="43"/>
      <c r="I7" s="33" t="s">
        <v>27</v>
      </c>
      <c r="J7" s="34">
        <v>1249.362636268479</v>
      </c>
      <c r="K7" s="35" t="s">
        <v>27</v>
      </c>
      <c r="L7" s="36">
        <v>3358.63998474762</v>
      </c>
      <c r="M7" s="25"/>
      <c r="N7" s="44"/>
      <c r="AH7" s="16">
        <v>500</v>
      </c>
      <c r="AI7" s="16"/>
      <c r="AJ7" s="16"/>
      <c r="AK7" s="16">
        <v>350</v>
      </c>
      <c r="AL7" s="16">
        <v>9</v>
      </c>
      <c r="AM7" s="16">
        <v>0</v>
      </c>
      <c r="AN7" s="16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</row>
    <row r="8" spans="1:66" ht="16.5" thickBot="1" x14ac:dyDescent="0.3">
      <c r="A8" s="22">
        <v>6</v>
      </c>
      <c r="B8" s="23">
        <v>466.79122114663971</v>
      </c>
      <c r="C8" s="24">
        <v>2190.5946825245837</v>
      </c>
      <c r="F8" s="43"/>
      <c r="I8" s="45" t="s">
        <v>28</v>
      </c>
      <c r="J8" s="46">
        <v>296.17287438766607</v>
      </c>
      <c r="K8" s="47" t="s">
        <v>28</v>
      </c>
      <c r="L8" s="48">
        <v>1080.1208946468178</v>
      </c>
      <c r="M8" s="49"/>
      <c r="N8" s="50"/>
      <c r="AH8" s="16">
        <v>550</v>
      </c>
      <c r="AI8" s="16"/>
      <c r="AJ8" s="16"/>
      <c r="AK8" s="16">
        <v>400</v>
      </c>
      <c r="AL8" s="16">
        <v>9</v>
      </c>
      <c r="AM8" s="16">
        <v>0</v>
      </c>
      <c r="AN8" s="16"/>
      <c r="BC8" s="13"/>
      <c r="BD8" s="13"/>
      <c r="BE8" s="13"/>
      <c r="BF8" s="13"/>
      <c r="BG8" s="13"/>
      <c r="BH8" s="13"/>
      <c r="BI8" s="13"/>
      <c r="BJ8" s="13"/>
      <c r="BK8" s="13"/>
      <c r="BL8" s="13"/>
      <c r="BM8" s="13"/>
      <c r="BN8" s="13"/>
    </row>
    <row r="9" spans="1:66" x14ac:dyDescent="0.25">
      <c r="A9" s="22">
        <v>7</v>
      </c>
      <c r="B9" s="23">
        <v>707.47962769390642</v>
      </c>
      <c r="C9" s="24">
        <v>2582.99763813667</v>
      </c>
      <c r="F9" s="43"/>
      <c r="I9" s="31"/>
      <c r="J9" s="51"/>
      <c r="K9" s="31"/>
      <c r="L9" s="31"/>
      <c r="M9" s="31"/>
      <c r="N9" s="31"/>
      <c r="AH9" s="16">
        <v>600</v>
      </c>
      <c r="AI9" s="16"/>
      <c r="AJ9" s="16"/>
      <c r="AK9" s="16">
        <v>400</v>
      </c>
      <c r="AL9" s="16">
        <v>59</v>
      </c>
      <c r="AM9" s="16">
        <v>0</v>
      </c>
      <c r="AN9" s="16"/>
      <c r="BC9" s="13"/>
      <c r="BD9" s="13"/>
      <c r="BE9" s="13"/>
      <c r="BF9" s="13"/>
      <c r="BG9" s="13"/>
      <c r="BH9" s="13"/>
      <c r="BI9" s="13"/>
      <c r="BJ9" s="13"/>
      <c r="BK9" s="13"/>
      <c r="BL9" s="13"/>
      <c r="BM9" s="13"/>
      <c r="BN9" s="13"/>
    </row>
    <row r="10" spans="1:66" x14ac:dyDescent="0.25">
      <c r="A10" s="22">
        <v>8</v>
      </c>
      <c r="B10" s="23">
        <v>652.84192757887638</v>
      </c>
      <c r="C10" s="24">
        <v>1875.347470648338</v>
      </c>
      <c r="F10" s="43"/>
      <c r="I10" s="25"/>
      <c r="J10" s="51"/>
      <c r="K10" s="31"/>
      <c r="L10" s="31"/>
      <c r="M10" s="31"/>
      <c r="N10" s="31"/>
      <c r="P10" s="30"/>
      <c r="AH10" s="16">
        <v>650</v>
      </c>
      <c r="AI10" s="16"/>
      <c r="AJ10" s="16"/>
      <c r="AK10" s="16">
        <v>450</v>
      </c>
      <c r="AL10" s="16">
        <v>59</v>
      </c>
      <c r="AM10" s="16">
        <v>0</v>
      </c>
      <c r="AN10" s="16"/>
      <c r="BC10" s="13"/>
      <c r="BD10" s="13"/>
      <c r="BE10" s="13"/>
      <c r="BF10" s="13"/>
      <c r="BG10" s="13"/>
      <c r="BH10" s="13"/>
      <c r="BI10" s="13"/>
      <c r="BJ10" s="13"/>
      <c r="BK10" s="13"/>
      <c r="BL10" s="13"/>
      <c r="BM10" s="13"/>
      <c r="BN10" s="13"/>
    </row>
    <row r="11" spans="1:66" x14ac:dyDescent="0.25">
      <c r="A11" s="22">
        <v>9</v>
      </c>
      <c r="B11" s="23">
        <v>567.72414766317638</v>
      </c>
      <c r="C11" s="24">
        <v>1747.2505254494811</v>
      </c>
      <c r="I11" s="31"/>
      <c r="J11" s="51"/>
      <c r="K11" s="31"/>
      <c r="L11" s="31"/>
      <c r="M11" s="31"/>
      <c r="N11" s="31"/>
      <c r="P11" s="30"/>
      <c r="AH11" s="16">
        <v>700</v>
      </c>
      <c r="AI11" s="16"/>
      <c r="AJ11" s="16"/>
      <c r="AK11" s="16">
        <v>450</v>
      </c>
      <c r="AL11" s="16">
        <v>235</v>
      </c>
      <c r="AM11" s="16">
        <v>0</v>
      </c>
      <c r="AN11" s="16"/>
      <c r="BC11" s="13"/>
      <c r="BD11" s="13"/>
      <c r="BE11" s="13"/>
      <c r="BF11" s="13"/>
      <c r="BG11" s="13"/>
      <c r="BH11" s="13"/>
      <c r="BI11" s="13"/>
      <c r="BJ11" s="13"/>
      <c r="BK11" s="13"/>
      <c r="BL11" s="13"/>
      <c r="BM11" s="13"/>
      <c r="BN11" s="13"/>
    </row>
    <row r="12" spans="1:66" x14ac:dyDescent="0.25">
      <c r="A12" s="22">
        <v>10</v>
      </c>
      <c r="B12" s="23">
        <v>628.14091609227239</v>
      </c>
      <c r="C12" s="24">
        <v>1611.3990671864553</v>
      </c>
      <c r="I12" s="31"/>
      <c r="J12" s="31"/>
      <c r="K12" s="31"/>
      <c r="L12" s="31"/>
      <c r="M12" s="31"/>
      <c r="N12" s="31"/>
      <c r="P12" s="30"/>
      <c r="AH12" s="16">
        <v>750</v>
      </c>
      <c r="AI12" s="16"/>
      <c r="AJ12" s="16"/>
      <c r="AK12" s="16">
        <v>500</v>
      </c>
      <c r="AL12" s="16">
        <v>235</v>
      </c>
      <c r="AM12" s="16">
        <v>0</v>
      </c>
      <c r="AN12" s="16"/>
      <c r="BC12" s="13"/>
      <c r="BD12" s="13"/>
      <c r="BE12" s="13"/>
      <c r="BF12" s="13"/>
      <c r="BG12" s="13"/>
      <c r="BH12" s="13"/>
      <c r="BI12" s="13"/>
      <c r="BJ12" s="13"/>
      <c r="BK12" s="13"/>
      <c r="BL12" s="13"/>
      <c r="BM12" s="13"/>
      <c r="BN12" s="13"/>
    </row>
    <row r="13" spans="1:66" x14ac:dyDescent="0.25">
      <c r="A13" s="22">
        <v>11</v>
      </c>
      <c r="B13" s="23">
        <v>857.40265860833574</v>
      </c>
      <c r="C13" s="24">
        <v>2250.7126868910632</v>
      </c>
      <c r="I13" s="31"/>
      <c r="J13" s="31"/>
      <c r="K13" s="31"/>
      <c r="L13" s="31"/>
      <c r="M13" s="31"/>
      <c r="N13" s="31"/>
      <c r="AH13" s="16">
        <v>800</v>
      </c>
      <c r="AI13" s="16"/>
      <c r="AJ13" s="16"/>
      <c r="AK13" s="16">
        <v>500</v>
      </c>
      <c r="AL13" s="16">
        <v>575</v>
      </c>
      <c r="AM13" s="16">
        <v>0</v>
      </c>
      <c r="AN13" s="16"/>
      <c r="BC13" s="13"/>
      <c r="BD13" s="13"/>
      <c r="BE13" s="13"/>
      <c r="BF13" s="13"/>
      <c r="BG13" s="13"/>
      <c r="BH13" s="13"/>
      <c r="BI13" s="13"/>
      <c r="BJ13" s="13"/>
      <c r="BK13" s="13"/>
      <c r="BL13" s="13"/>
      <c r="BM13" s="13"/>
      <c r="BN13" s="13"/>
    </row>
    <row r="14" spans="1:66" x14ac:dyDescent="0.25">
      <c r="A14" s="22">
        <v>12</v>
      </c>
      <c r="B14" s="23">
        <v>751.47080063139867</v>
      </c>
      <c r="C14" s="24">
        <v>2134.5731688368865</v>
      </c>
      <c r="E14" s="52"/>
      <c r="I14" s="31"/>
      <c r="J14" s="31"/>
      <c r="K14" s="31"/>
      <c r="L14" s="31"/>
      <c r="M14" s="31"/>
      <c r="N14" s="31"/>
      <c r="AH14" s="16">
        <v>850</v>
      </c>
      <c r="AI14" s="16"/>
      <c r="AJ14" s="16"/>
      <c r="AK14" s="16">
        <v>550</v>
      </c>
      <c r="AL14" s="16">
        <v>575</v>
      </c>
      <c r="AM14" s="16">
        <v>0</v>
      </c>
      <c r="AN14" s="16"/>
      <c r="BC14" s="13"/>
      <c r="BD14" s="13"/>
      <c r="BE14" s="13"/>
      <c r="BF14" s="13"/>
      <c r="BG14" s="13"/>
      <c r="BH14" s="13"/>
      <c r="BI14" s="13"/>
      <c r="BJ14" s="13"/>
      <c r="BK14" s="13"/>
      <c r="BL14" s="13"/>
      <c r="BM14" s="13"/>
      <c r="BN14" s="13"/>
    </row>
    <row r="15" spans="1:66" x14ac:dyDescent="0.25">
      <c r="A15" s="22">
        <v>13</v>
      </c>
      <c r="B15" s="23">
        <v>673.26350129837522</v>
      </c>
      <c r="C15" s="24">
        <v>1860.168949767479</v>
      </c>
      <c r="E15" s="52"/>
      <c r="I15" s="31"/>
      <c r="J15" s="31"/>
      <c r="K15" s="31"/>
      <c r="L15" s="31"/>
      <c r="M15" s="31"/>
      <c r="N15" s="31"/>
      <c r="AH15" s="16">
        <v>900</v>
      </c>
      <c r="AI15" s="16"/>
      <c r="AJ15" s="16"/>
      <c r="AK15" s="16">
        <v>550</v>
      </c>
      <c r="AL15" s="16">
        <v>1095</v>
      </c>
      <c r="AM15" s="16">
        <v>0</v>
      </c>
      <c r="AN15" s="16"/>
      <c r="BC15" s="13"/>
      <c r="BD15" s="13"/>
      <c r="BE15" s="13"/>
      <c r="BF15" s="13"/>
      <c r="BG15" s="13"/>
      <c r="BH15" s="13"/>
      <c r="BI15" s="13"/>
      <c r="BJ15" s="13"/>
      <c r="BK15" s="13"/>
      <c r="BL15" s="13"/>
      <c r="BM15" s="13"/>
      <c r="BN15" s="13"/>
    </row>
    <row r="16" spans="1:66" x14ac:dyDescent="0.25">
      <c r="A16" s="22">
        <v>14</v>
      </c>
      <c r="B16" s="23">
        <v>566.60837628749118</v>
      </c>
      <c r="C16" s="24">
        <v>2335.6294043542212</v>
      </c>
      <c r="E16" s="52"/>
      <c r="I16" s="31"/>
      <c r="J16" s="31"/>
      <c r="K16" s="31"/>
      <c r="L16" s="31"/>
      <c r="M16" s="31"/>
      <c r="N16" s="31"/>
      <c r="AH16" s="16">
        <v>950</v>
      </c>
      <c r="AI16" s="16"/>
      <c r="AJ16" s="16"/>
      <c r="AK16" s="16">
        <v>600</v>
      </c>
      <c r="AL16" s="16">
        <v>1095</v>
      </c>
      <c r="AM16" s="16">
        <v>0</v>
      </c>
      <c r="AN16" s="16"/>
      <c r="BC16" s="13"/>
      <c r="BD16" s="13"/>
      <c r="BE16" s="13"/>
      <c r="BF16" s="13"/>
      <c r="BG16" s="13"/>
      <c r="BH16" s="13"/>
      <c r="BI16" s="13"/>
      <c r="BJ16" s="13"/>
      <c r="BK16" s="13"/>
      <c r="BL16" s="13"/>
      <c r="BM16" s="13"/>
      <c r="BN16" s="13"/>
    </row>
    <row r="17" spans="1:66" x14ac:dyDescent="0.25">
      <c r="A17" s="22">
        <v>15</v>
      </c>
      <c r="B17" s="23">
        <v>760.81646457679165</v>
      </c>
      <c r="C17" s="24">
        <v>2350.8780208642629</v>
      </c>
      <c r="I17" s="31"/>
      <c r="J17" s="31"/>
      <c r="K17" s="31"/>
      <c r="L17" s="31"/>
      <c r="M17" s="31"/>
      <c r="N17" s="31"/>
      <c r="AH17" s="16">
        <v>1000</v>
      </c>
      <c r="AI17" s="16"/>
      <c r="AJ17" s="16"/>
      <c r="AK17" s="16">
        <v>600</v>
      </c>
      <c r="AL17" s="16">
        <v>1536</v>
      </c>
      <c r="AM17" s="16">
        <v>0</v>
      </c>
      <c r="AN17" s="16"/>
      <c r="BC17" s="13"/>
      <c r="BD17" s="13"/>
      <c r="BE17" s="13"/>
      <c r="BF17" s="13"/>
      <c r="BG17" s="13"/>
      <c r="BH17" s="13"/>
      <c r="BI17" s="13"/>
      <c r="BJ17" s="13"/>
      <c r="BK17" s="13"/>
      <c r="BL17" s="13"/>
      <c r="BM17" s="13"/>
      <c r="BN17" s="13"/>
    </row>
    <row r="18" spans="1:66" x14ac:dyDescent="0.25">
      <c r="A18" s="22">
        <v>16</v>
      </c>
      <c r="B18" s="23">
        <v>797.14310098198575</v>
      </c>
      <c r="C18" s="24">
        <v>2045.1990918383794</v>
      </c>
      <c r="I18" s="31"/>
      <c r="J18" s="31"/>
      <c r="K18" s="31"/>
      <c r="L18" s="31"/>
      <c r="M18" s="31"/>
      <c r="N18" s="31"/>
      <c r="AH18" s="16">
        <v>1050</v>
      </c>
      <c r="AI18" s="16"/>
      <c r="AJ18" s="16"/>
      <c r="AK18" s="16">
        <v>650</v>
      </c>
      <c r="AL18" s="16">
        <v>1536</v>
      </c>
      <c r="AM18" s="16">
        <v>0</v>
      </c>
      <c r="AN18" s="16"/>
      <c r="BC18" s="13"/>
      <c r="BD18" s="13"/>
      <c r="BE18" s="13"/>
      <c r="BF18" s="13"/>
      <c r="BG18" s="13"/>
      <c r="BH18" s="13"/>
      <c r="BI18" s="13"/>
      <c r="BJ18" s="13"/>
      <c r="BK18" s="13"/>
      <c r="BL18" s="13"/>
      <c r="BM18" s="13"/>
      <c r="BN18" s="13"/>
    </row>
    <row r="19" spans="1:66" x14ac:dyDescent="0.25">
      <c r="A19" s="22">
        <v>17</v>
      </c>
      <c r="B19" s="23">
        <v>684.07223854337087</v>
      </c>
      <c r="C19" s="24">
        <v>1862.1526211977059</v>
      </c>
      <c r="F19" s="53">
        <v>1</v>
      </c>
      <c r="I19" s="31"/>
      <c r="J19" s="31"/>
      <c r="K19" s="31"/>
      <c r="L19" s="31"/>
      <c r="M19" s="31"/>
      <c r="N19" s="31"/>
      <c r="AH19" s="16">
        <v>1100</v>
      </c>
      <c r="AI19" s="16"/>
      <c r="AJ19" s="16"/>
      <c r="AK19" s="16">
        <v>650</v>
      </c>
      <c r="AL19" s="16">
        <v>1609</v>
      </c>
      <c r="AM19" s="16">
        <v>0</v>
      </c>
      <c r="AN19" s="16"/>
      <c r="BC19" s="13"/>
      <c r="BD19" s="13"/>
      <c r="BE19" s="13"/>
      <c r="BF19" s="13"/>
      <c r="BG19" s="13"/>
      <c r="BH19" s="13"/>
      <c r="BI19" s="13"/>
      <c r="BJ19" s="13"/>
      <c r="BK19" s="13"/>
      <c r="BL19" s="13"/>
      <c r="BM19" s="13"/>
      <c r="BN19" s="13"/>
    </row>
    <row r="20" spans="1:66" x14ac:dyDescent="0.25">
      <c r="A20" s="22">
        <v>18</v>
      </c>
      <c r="B20" s="23">
        <v>634.04403160776428</v>
      </c>
      <c r="C20" s="24">
        <v>2427.3534212784361</v>
      </c>
      <c r="I20" s="31"/>
      <c r="J20" s="31"/>
      <c r="K20" s="31"/>
      <c r="L20" s="31"/>
      <c r="M20" s="31"/>
      <c r="N20" s="31"/>
      <c r="AH20" s="16">
        <v>1150</v>
      </c>
      <c r="AI20" s="16"/>
      <c r="AJ20" s="16"/>
      <c r="AK20" s="16">
        <v>700</v>
      </c>
      <c r="AL20" s="16">
        <v>1609</v>
      </c>
      <c r="AM20" s="16">
        <v>0</v>
      </c>
      <c r="AN20" s="16"/>
      <c r="BC20" s="13"/>
      <c r="BD20" s="13"/>
      <c r="BE20" s="13"/>
      <c r="BF20" s="13"/>
      <c r="BG20" s="13"/>
      <c r="BH20" s="13"/>
      <c r="BI20" s="13"/>
      <c r="BJ20" s="13"/>
      <c r="BK20" s="13"/>
      <c r="BL20" s="13"/>
      <c r="BM20" s="13"/>
      <c r="BN20" s="13"/>
    </row>
    <row r="21" spans="1:66" x14ac:dyDescent="0.25">
      <c r="A21" s="22">
        <v>19</v>
      </c>
      <c r="B21" s="23">
        <v>595.81507618278499</v>
      </c>
      <c r="C21" s="24">
        <v>1847.1898971218193</v>
      </c>
      <c r="I21" s="31"/>
      <c r="J21" s="31"/>
      <c r="K21" s="31"/>
      <c r="L21" s="31"/>
      <c r="M21" s="31"/>
      <c r="N21" s="31"/>
      <c r="AH21" s="16">
        <v>1200</v>
      </c>
      <c r="AI21" s="16"/>
      <c r="AJ21" s="16"/>
      <c r="AK21" s="16">
        <v>700</v>
      </c>
      <c r="AL21" s="16">
        <v>1665</v>
      </c>
      <c r="AM21" s="16">
        <v>0</v>
      </c>
      <c r="AN21" s="16"/>
      <c r="BC21" s="13"/>
      <c r="BD21" s="13"/>
      <c r="BE21" s="13"/>
      <c r="BF21" s="13"/>
      <c r="BG21" s="13"/>
      <c r="BH21" s="13"/>
      <c r="BI21" s="13"/>
      <c r="BJ21" s="13"/>
      <c r="BK21" s="13"/>
      <c r="BL21" s="13"/>
      <c r="BM21" s="13"/>
      <c r="BN21" s="13"/>
    </row>
    <row r="22" spans="1:66" x14ac:dyDescent="0.25">
      <c r="A22" s="22">
        <v>20</v>
      </c>
      <c r="B22" s="23">
        <v>679.07016324568474</v>
      </c>
      <c r="C22" s="24">
        <v>1581.3873674574947</v>
      </c>
      <c r="I22" s="31"/>
      <c r="J22" s="31"/>
      <c r="K22" s="31"/>
      <c r="L22" s="31"/>
      <c r="M22" s="31"/>
      <c r="N22" s="31"/>
      <c r="AH22" s="16">
        <v>1250</v>
      </c>
      <c r="AI22" s="16"/>
      <c r="AJ22" s="16"/>
      <c r="AK22" s="16">
        <v>750</v>
      </c>
      <c r="AL22" s="16">
        <v>1665</v>
      </c>
      <c r="AM22" s="16">
        <v>0</v>
      </c>
      <c r="AN22" s="16"/>
      <c r="BC22" s="13"/>
      <c r="BD22" s="13"/>
      <c r="BE22" s="13"/>
      <c r="BF22" s="13"/>
      <c r="BG22" s="13"/>
      <c r="BH22" s="13"/>
      <c r="BI22" s="13"/>
      <c r="BJ22" s="13"/>
      <c r="BK22" s="13"/>
      <c r="BL22" s="13"/>
      <c r="BM22" s="13"/>
      <c r="BN22" s="13"/>
    </row>
    <row r="23" spans="1:66" x14ac:dyDescent="0.25">
      <c r="A23" s="22">
        <v>21</v>
      </c>
      <c r="B23" s="23">
        <v>729.57772516888224</v>
      </c>
      <c r="C23" s="24">
        <v>1694.1386626506974</v>
      </c>
      <c r="AH23" s="16"/>
      <c r="AI23" s="16"/>
      <c r="AJ23" s="16"/>
      <c r="AK23" s="16">
        <v>750</v>
      </c>
      <c r="AL23" s="16">
        <v>1231</v>
      </c>
      <c r="AM23" s="16">
        <v>0</v>
      </c>
      <c r="AN23" s="16"/>
      <c r="BC23" s="13"/>
      <c r="BD23" s="13"/>
      <c r="BE23" s="13"/>
      <c r="BF23" s="13"/>
      <c r="BG23" s="13"/>
      <c r="BH23" s="13"/>
      <c r="BI23" s="13"/>
      <c r="BJ23" s="13"/>
      <c r="BK23" s="13"/>
      <c r="BL23" s="13"/>
      <c r="BM23" s="13"/>
      <c r="BN23" s="13"/>
    </row>
    <row r="24" spans="1:66" x14ac:dyDescent="0.25">
      <c r="A24" s="22">
        <v>22</v>
      </c>
      <c r="B24" s="23">
        <v>811.14624339572072</v>
      </c>
      <c r="C24" s="24">
        <v>2020.0356766348655</v>
      </c>
      <c r="I24" s="54"/>
      <c r="AH24" s="16"/>
      <c r="AI24" s="16"/>
      <c r="AJ24" s="16"/>
      <c r="AK24" s="16">
        <v>800</v>
      </c>
      <c r="AL24" s="16">
        <v>1231</v>
      </c>
      <c r="AM24" s="16">
        <v>0</v>
      </c>
      <c r="AN24" s="16"/>
      <c r="BC24" s="13"/>
      <c r="BD24" s="13"/>
      <c r="BE24" s="13"/>
      <c r="BF24" s="13"/>
      <c r="BG24" s="13"/>
      <c r="BH24" s="13"/>
      <c r="BI24" s="13"/>
      <c r="BJ24" s="13"/>
      <c r="BK24" s="13"/>
      <c r="BL24" s="13"/>
      <c r="BM24" s="13"/>
      <c r="BN24" s="13"/>
    </row>
    <row r="25" spans="1:66" x14ac:dyDescent="0.25">
      <c r="A25" s="22">
        <v>23</v>
      </c>
      <c r="B25" s="23">
        <v>722.58673320168839</v>
      </c>
      <c r="C25" s="24">
        <v>2105.5641795285501</v>
      </c>
      <c r="AH25" s="16"/>
      <c r="AI25" s="16"/>
      <c r="AJ25" s="16"/>
      <c r="AK25" s="16">
        <v>800</v>
      </c>
      <c r="AL25" s="16">
        <v>851</v>
      </c>
      <c r="AM25" s="16">
        <v>0</v>
      </c>
      <c r="AN25" s="16"/>
      <c r="BC25" s="13"/>
      <c r="BD25" s="13"/>
      <c r="BE25" s="13"/>
      <c r="BF25" s="13"/>
      <c r="BG25" s="13"/>
      <c r="BH25" s="13"/>
      <c r="BI25" s="13"/>
      <c r="BJ25" s="13"/>
      <c r="BK25" s="13"/>
      <c r="BL25" s="13"/>
      <c r="BM25" s="13"/>
      <c r="BN25" s="13"/>
    </row>
    <row r="26" spans="1:66" x14ac:dyDescent="0.25">
      <c r="A26" s="22">
        <v>24</v>
      </c>
      <c r="B26" s="23">
        <v>738.94503619564523</v>
      </c>
      <c r="C26" s="24">
        <v>2219.0346896024694</v>
      </c>
      <c r="AH26" s="16"/>
      <c r="AI26" s="16"/>
      <c r="AJ26" s="16"/>
      <c r="AK26" s="16">
        <v>850</v>
      </c>
      <c r="AL26" s="16">
        <v>851</v>
      </c>
      <c r="AM26" s="16">
        <v>0</v>
      </c>
      <c r="AN26" s="16"/>
      <c r="BC26" s="13"/>
      <c r="BD26" s="13"/>
      <c r="BE26" s="13"/>
      <c r="BF26" s="13"/>
      <c r="BG26" s="13"/>
      <c r="BH26" s="13"/>
      <c r="BI26" s="13"/>
      <c r="BJ26" s="13"/>
      <c r="BK26" s="13"/>
      <c r="BL26" s="13"/>
      <c r="BM26" s="13"/>
      <c r="BN26" s="13"/>
    </row>
    <row r="27" spans="1:66" x14ac:dyDescent="0.25">
      <c r="A27" s="22">
        <v>25</v>
      </c>
      <c r="B27" s="23">
        <v>725.68111799325402</v>
      </c>
      <c r="C27" s="24">
        <v>2035.5987510241941</v>
      </c>
      <c r="AH27" s="16"/>
      <c r="AI27" s="16"/>
      <c r="AJ27" s="16"/>
      <c r="AK27" s="16">
        <v>850</v>
      </c>
      <c r="AL27" s="16">
        <v>563</v>
      </c>
      <c r="AM27" s="16">
        <v>0</v>
      </c>
      <c r="AN27" s="16"/>
      <c r="BC27" s="13"/>
      <c r="BD27" s="13"/>
      <c r="BE27" s="13"/>
      <c r="BF27" s="13"/>
      <c r="BG27" s="13"/>
      <c r="BH27" s="13"/>
      <c r="BI27" s="13"/>
      <c r="BJ27" s="13"/>
      <c r="BK27" s="13"/>
      <c r="BL27" s="13"/>
      <c r="BM27" s="13"/>
      <c r="BN27" s="13"/>
    </row>
    <row r="28" spans="1:66" x14ac:dyDescent="0.25">
      <c r="A28" s="22">
        <v>26</v>
      </c>
      <c r="B28" s="23">
        <v>620.70904310101116</v>
      </c>
      <c r="C28" s="24">
        <v>2022.3635408494704</v>
      </c>
      <c r="AH28" s="16"/>
      <c r="AI28" s="16"/>
      <c r="AJ28" s="16"/>
      <c r="AK28" s="16">
        <v>900</v>
      </c>
      <c r="AL28" s="16">
        <v>563</v>
      </c>
      <c r="AM28" s="16">
        <v>0</v>
      </c>
      <c r="AN28" s="16"/>
      <c r="BC28" s="13"/>
      <c r="BD28" s="13"/>
      <c r="BE28" s="13"/>
      <c r="BF28" s="13"/>
      <c r="BG28" s="13"/>
      <c r="BH28" s="13"/>
      <c r="BI28" s="13"/>
      <c r="BJ28" s="13"/>
      <c r="BK28" s="13"/>
      <c r="BL28" s="13"/>
      <c r="BM28" s="13"/>
      <c r="BN28" s="13"/>
    </row>
    <row r="29" spans="1:66" x14ac:dyDescent="0.25">
      <c r="A29" s="22">
        <v>27</v>
      </c>
      <c r="B29" s="23">
        <v>577.50485575554649</v>
      </c>
      <c r="C29" s="24">
        <v>1871.2862147736957</v>
      </c>
      <c r="AH29" s="16"/>
      <c r="AI29" s="16"/>
      <c r="AJ29" s="16"/>
      <c r="AK29" s="16">
        <v>900</v>
      </c>
      <c r="AL29" s="16">
        <v>274</v>
      </c>
      <c r="AM29" s="16">
        <v>0</v>
      </c>
      <c r="AN29" s="16"/>
      <c r="BC29" s="13"/>
      <c r="BD29" s="13"/>
      <c r="BE29" s="13"/>
      <c r="BF29" s="13"/>
      <c r="BG29" s="13"/>
      <c r="BH29" s="13"/>
      <c r="BI29" s="13"/>
      <c r="BJ29" s="13"/>
      <c r="BK29" s="13"/>
      <c r="BL29" s="13"/>
      <c r="BM29" s="13"/>
      <c r="BN29" s="13"/>
    </row>
    <row r="30" spans="1:66" x14ac:dyDescent="0.25">
      <c r="A30" s="22">
        <v>28</v>
      </c>
      <c r="B30" s="23">
        <v>579.94914288079667</v>
      </c>
      <c r="C30" s="24">
        <v>1931.1777712723929</v>
      </c>
      <c r="AH30" s="16"/>
      <c r="AI30" s="16"/>
      <c r="AJ30" s="16"/>
      <c r="AK30" s="16">
        <v>950</v>
      </c>
      <c r="AL30" s="16">
        <v>274</v>
      </c>
      <c r="AM30" s="16">
        <v>0</v>
      </c>
      <c r="AN30" s="16"/>
      <c r="BC30" s="13"/>
      <c r="BD30" s="13"/>
      <c r="BE30" s="13"/>
      <c r="BF30" s="13"/>
      <c r="BG30" s="13"/>
      <c r="BH30" s="13"/>
      <c r="BI30" s="13"/>
      <c r="BJ30" s="13"/>
      <c r="BK30" s="13"/>
      <c r="BL30" s="13"/>
      <c r="BM30" s="13"/>
      <c r="BN30" s="13"/>
    </row>
    <row r="31" spans="1:66" x14ac:dyDescent="0.25">
      <c r="A31" s="22">
        <v>29</v>
      </c>
      <c r="B31" s="23">
        <v>830.04468336493596</v>
      </c>
      <c r="C31" s="24">
        <v>1657.1399104261179</v>
      </c>
      <c r="AH31" s="16"/>
      <c r="AI31" s="16"/>
      <c r="AJ31" s="16"/>
      <c r="AK31" s="16">
        <v>950</v>
      </c>
      <c r="AL31" s="16">
        <v>157</v>
      </c>
      <c r="AM31" s="16">
        <v>0</v>
      </c>
      <c r="AN31" s="16"/>
      <c r="BC31" s="13"/>
      <c r="BD31" s="13"/>
      <c r="BE31" s="13"/>
      <c r="BF31" s="13"/>
      <c r="BG31" s="13"/>
      <c r="BH31" s="13"/>
      <c r="BI31" s="13"/>
      <c r="BJ31" s="13"/>
      <c r="BK31" s="13"/>
      <c r="BL31" s="13"/>
      <c r="BM31" s="13"/>
      <c r="BN31" s="13"/>
    </row>
    <row r="32" spans="1:66" x14ac:dyDescent="0.25">
      <c r="A32" s="22">
        <v>30</v>
      </c>
      <c r="B32" s="23">
        <v>675.50914047800109</v>
      </c>
      <c r="C32" s="24">
        <v>1941.6196151967508</v>
      </c>
      <c r="AH32" s="16"/>
      <c r="AI32" s="16"/>
      <c r="AJ32" s="16"/>
      <c r="AK32" s="16">
        <v>1000</v>
      </c>
      <c r="AL32" s="16">
        <v>157</v>
      </c>
      <c r="AM32" s="16">
        <v>0</v>
      </c>
      <c r="AN32" s="16"/>
      <c r="BC32" s="13"/>
      <c r="BD32" s="13"/>
      <c r="BE32" s="13"/>
      <c r="BF32" s="13"/>
      <c r="BG32" s="13"/>
      <c r="BH32" s="13"/>
      <c r="BI32" s="13"/>
      <c r="BJ32" s="13"/>
      <c r="BK32" s="13"/>
      <c r="BL32" s="13"/>
      <c r="BM32" s="13"/>
      <c r="BN32" s="13"/>
    </row>
    <row r="33" spans="1:66" x14ac:dyDescent="0.25">
      <c r="A33" s="22">
        <v>31</v>
      </c>
      <c r="B33" s="23">
        <v>887.44398825061774</v>
      </c>
      <c r="C33" s="24">
        <v>1532.837595001869</v>
      </c>
      <c r="AH33" s="16"/>
      <c r="AI33" s="16"/>
      <c r="AJ33" s="16"/>
      <c r="AK33" s="16">
        <v>1000</v>
      </c>
      <c r="AL33" s="16">
        <v>76</v>
      </c>
      <c r="AM33" s="16">
        <v>0</v>
      </c>
      <c r="AN33" s="16"/>
      <c r="BC33" s="13"/>
      <c r="BD33" s="13"/>
      <c r="BE33" s="13"/>
      <c r="BF33" s="13"/>
      <c r="BG33" s="13"/>
      <c r="BH33" s="13"/>
      <c r="BI33" s="13"/>
      <c r="BJ33" s="13"/>
      <c r="BK33" s="13"/>
      <c r="BL33" s="13"/>
      <c r="BM33" s="13"/>
      <c r="BN33" s="13"/>
    </row>
    <row r="34" spans="1:66" x14ac:dyDescent="0.25">
      <c r="A34" s="22">
        <v>32</v>
      </c>
      <c r="B34" s="23">
        <v>582.06196192522225</v>
      </c>
      <c r="C34" s="24">
        <v>1485.5196139072154</v>
      </c>
      <c r="AH34" s="16"/>
      <c r="AI34" s="16"/>
      <c r="AJ34" s="16"/>
      <c r="AK34" s="16">
        <v>1050</v>
      </c>
      <c r="AL34" s="16">
        <v>76</v>
      </c>
      <c r="AM34" s="16">
        <v>0</v>
      </c>
      <c r="AN34" s="16"/>
      <c r="BC34" s="13"/>
      <c r="BD34" s="13"/>
      <c r="BE34" s="13"/>
      <c r="BF34" s="13"/>
      <c r="BG34" s="13"/>
      <c r="BH34" s="13"/>
      <c r="BI34" s="13"/>
      <c r="BJ34" s="13"/>
      <c r="BK34" s="13"/>
      <c r="BL34" s="13"/>
      <c r="BM34" s="13"/>
      <c r="BN34" s="13"/>
    </row>
    <row r="35" spans="1:66" x14ac:dyDescent="0.25">
      <c r="A35" s="22">
        <v>33</v>
      </c>
      <c r="B35" s="23">
        <v>667.75983689010241</v>
      </c>
      <c r="C35" s="24">
        <v>1389.6873652015686</v>
      </c>
      <c r="AH35" s="16"/>
      <c r="AI35" s="16"/>
      <c r="AJ35" s="16"/>
      <c r="AK35" s="16">
        <v>1050</v>
      </c>
      <c r="AL35" s="16">
        <v>38</v>
      </c>
      <c r="AM35" s="16">
        <v>1</v>
      </c>
      <c r="AN35" s="16"/>
      <c r="BC35" s="13"/>
      <c r="BD35" s="13"/>
      <c r="BE35" s="13"/>
      <c r="BF35" s="13"/>
      <c r="BG35" s="13"/>
      <c r="BH35" s="13"/>
      <c r="BI35" s="13"/>
      <c r="BJ35" s="13"/>
      <c r="BK35" s="13"/>
      <c r="BL35" s="13"/>
      <c r="BM35" s="13"/>
      <c r="BN35" s="13"/>
    </row>
    <row r="36" spans="1:66" x14ac:dyDescent="0.25">
      <c r="A36" s="22">
        <v>34</v>
      </c>
      <c r="B36" s="23">
        <v>470.33563695267054</v>
      </c>
      <c r="C36" s="24">
        <v>2220.8603335591979</v>
      </c>
      <c r="AH36" s="16"/>
      <c r="AI36" s="16"/>
      <c r="AJ36" s="16"/>
      <c r="AK36" s="16">
        <v>1100</v>
      </c>
      <c r="AL36" s="16">
        <v>38</v>
      </c>
      <c r="AM36" s="16">
        <v>1</v>
      </c>
      <c r="AN36" s="16"/>
      <c r="BC36" s="13"/>
      <c r="BD36" s="13"/>
      <c r="BE36" s="13"/>
      <c r="BF36" s="13"/>
      <c r="BG36" s="13"/>
      <c r="BH36" s="13"/>
      <c r="BI36" s="13"/>
      <c r="BJ36" s="13"/>
      <c r="BK36" s="13"/>
      <c r="BL36" s="13"/>
      <c r="BM36" s="13"/>
      <c r="BN36" s="13"/>
    </row>
    <row r="37" spans="1:66" x14ac:dyDescent="0.25">
      <c r="A37" s="22">
        <v>35</v>
      </c>
      <c r="B37" s="23">
        <v>744.51516440534965</v>
      </c>
      <c r="C37" s="24">
        <v>1986.5137029844395</v>
      </c>
      <c r="AH37" s="16"/>
      <c r="AI37" s="16"/>
      <c r="AJ37" s="16"/>
      <c r="AK37" s="16">
        <v>1100</v>
      </c>
      <c r="AL37" s="16">
        <v>16</v>
      </c>
      <c r="AM37" s="16">
        <v>4</v>
      </c>
      <c r="AN37" s="16"/>
      <c r="BC37" s="13"/>
      <c r="BD37" s="13"/>
      <c r="BE37" s="13"/>
      <c r="BF37" s="13"/>
      <c r="BG37" s="13"/>
      <c r="BH37" s="13"/>
      <c r="BI37" s="13"/>
      <c r="BJ37" s="13"/>
      <c r="BK37" s="13"/>
      <c r="BL37" s="13"/>
      <c r="BM37" s="13"/>
      <c r="BN37" s="13"/>
    </row>
    <row r="38" spans="1:66" x14ac:dyDescent="0.25">
      <c r="A38" s="22">
        <v>36</v>
      </c>
      <c r="B38" s="23">
        <v>705.66453697921293</v>
      </c>
      <c r="C38" s="24">
        <v>1878.8389135648349</v>
      </c>
      <c r="AH38" s="16"/>
      <c r="AI38" s="16"/>
      <c r="AJ38" s="16"/>
      <c r="AK38" s="16">
        <v>1150</v>
      </c>
      <c r="AL38" s="16">
        <v>16</v>
      </c>
      <c r="AM38" s="16">
        <v>4</v>
      </c>
      <c r="AN38" s="16"/>
      <c r="BC38" s="13"/>
      <c r="BD38" s="13"/>
      <c r="BE38" s="13"/>
      <c r="BF38" s="13"/>
      <c r="BG38" s="13"/>
      <c r="BH38" s="13"/>
      <c r="BI38" s="13"/>
      <c r="BJ38" s="13"/>
      <c r="BK38" s="13"/>
      <c r="BL38" s="13"/>
      <c r="BM38" s="13"/>
      <c r="BN38" s="13"/>
    </row>
    <row r="39" spans="1:66" x14ac:dyDescent="0.25">
      <c r="A39" s="22">
        <v>37</v>
      </c>
      <c r="B39" s="23">
        <v>745.22554571948615</v>
      </c>
      <c r="C39" s="24">
        <v>1593.8201334533524</v>
      </c>
      <c r="AH39" s="16"/>
      <c r="AI39" s="16"/>
      <c r="AJ39" s="16"/>
      <c r="AK39" s="16">
        <v>1150</v>
      </c>
      <c r="AL39" s="16">
        <v>6</v>
      </c>
      <c r="AM39" s="16">
        <v>5</v>
      </c>
      <c r="AN39" s="16"/>
      <c r="BC39" s="13"/>
      <c r="BD39" s="13"/>
      <c r="BE39" s="13"/>
      <c r="BF39" s="13"/>
      <c r="BG39" s="13"/>
      <c r="BH39" s="13"/>
      <c r="BI39" s="13"/>
      <c r="BJ39" s="13"/>
      <c r="BK39" s="13"/>
      <c r="BL39" s="13"/>
      <c r="BM39" s="13"/>
      <c r="BN39" s="13"/>
    </row>
    <row r="40" spans="1:66" x14ac:dyDescent="0.25">
      <c r="A40" s="22">
        <v>38</v>
      </c>
      <c r="B40" s="23">
        <v>805.09505377637993</v>
      </c>
      <c r="C40" s="24">
        <v>1760.9228476559572</v>
      </c>
      <c r="AH40" s="16"/>
      <c r="AI40" s="16"/>
      <c r="AJ40" s="16"/>
      <c r="AK40" s="16">
        <v>1200</v>
      </c>
      <c r="AL40" s="16">
        <v>6</v>
      </c>
      <c r="AM40" s="16">
        <v>5</v>
      </c>
      <c r="AN40" s="16"/>
      <c r="BC40" s="13"/>
      <c r="BD40" s="13"/>
      <c r="BE40" s="13"/>
      <c r="BF40" s="13"/>
      <c r="BG40" s="13"/>
      <c r="BH40" s="13"/>
      <c r="BI40" s="13"/>
      <c r="BJ40" s="13"/>
      <c r="BK40" s="13"/>
      <c r="BL40" s="13"/>
      <c r="BM40" s="13"/>
      <c r="BN40" s="13"/>
    </row>
    <row r="41" spans="1:66" x14ac:dyDescent="0.25">
      <c r="A41" s="22">
        <v>39</v>
      </c>
      <c r="B41" s="23">
        <v>781.64114207316129</v>
      </c>
      <c r="C41" s="24">
        <v>1643.826603430505</v>
      </c>
      <c r="AH41" s="16"/>
      <c r="AI41" s="16"/>
      <c r="AJ41" s="16"/>
      <c r="AK41" s="16">
        <v>1200</v>
      </c>
      <c r="AL41" s="16">
        <v>3</v>
      </c>
      <c r="AM41" s="16">
        <v>14</v>
      </c>
      <c r="AN41" s="16"/>
      <c r="BC41" s="13"/>
      <c r="BD41" s="13"/>
      <c r="BE41" s="13"/>
      <c r="BF41" s="13"/>
      <c r="BG41" s="13"/>
      <c r="BH41" s="13"/>
      <c r="BI41" s="13"/>
      <c r="BJ41" s="13"/>
      <c r="BK41" s="13"/>
      <c r="BL41" s="13"/>
      <c r="BM41" s="13"/>
      <c r="BN41" s="13"/>
    </row>
    <row r="42" spans="1:66" x14ac:dyDescent="0.25">
      <c r="A42" s="22">
        <v>40</v>
      </c>
      <c r="B42" s="23">
        <v>498.42562237894913</v>
      </c>
      <c r="C42" s="24">
        <v>2092.9414790049591</v>
      </c>
      <c r="AH42" s="16"/>
      <c r="AI42" s="16"/>
      <c r="AJ42" s="16"/>
      <c r="AK42" s="16">
        <v>1250</v>
      </c>
      <c r="AL42" s="16">
        <v>3</v>
      </c>
      <c r="AM42" s="16">
        <v>14</v>
      </c>
      <c r="AN42" s="16"/>
      <c r="BC42" s="13"/>
      <c r="BD42" s="13"/>
      <c r="BE42" s="13"/>
      <c r="BF42" s="13"/>
      <c r="BG42" s="13"/>
      <c r="BH42" s="13"/>
      <c r="BI42" s="13"/>
      <c r="BJ42" s="13"/>
      <c r="BK42" s="13"/>
      <c r="BL42" s="13"/>
      <c r="BM42" s="13"/>
      <c r="BN42" s="13"/>
    </row>
    <row r="43" spans="1:66" x14ac:dyDescent="0.25">
      <c r="A43" s="22">
        <v>41</v>
      </c>
      <c r="B43" s="23">
        <v>668.51929055296773</v>
      </c>
      <c r="C43" s="24">
        <v>1700.7751951721234</v>
      </c>
      <c r="AH43" s="16"/>
      <c r="AI43" s="16"/>
      <c r="AJ43" s="16"/>
      <c r="AK43" s="16">
        <v>1250</v>
      </c>
      <c r="AL43" s="16">
        <v>0</v>
      </c>
      <c r="AM43" s="16">
        <v>41</v>
      </c>
      <c r="AN43" s="16"/>
      <c r="BC43" s="13"/>
      <c r="BD43" s="13"/>
      <c r="BE43" s="13"/>
      <c r="BF43" s="13"/>
      <c r="BG43" s="13"/>
      <c r="BH43" s="13"/>
      <c r="BI43" s="13"/>
      <c r="BJ43" s="13"/>
      <c r="BK43" s="13"/>
      <c r="BL43" s="13"/>
      <c r="BM43" s="13"/>
      <c r="BN43" s="13"/>
    </row>
    <row r="44" spans="1:66" x14ac:dyDescent="0.25">
      <c r="A44" s="22">
        <v>42</v>
      </c>
      <c r="B44" s="23">
        <v>656.75823352409384</v>
      </c>
      <c r="C44" s="24">
        <v>1681.511752660771</v>
      </c>
      <c r="AH44" s="16"/>
      <c r="AI44" s="16"/>
      <c r="AJ44" s="16"/>
      <c r="AK44" s="16">
        <v>1300</v>
      </c>
      <c r="AL44" s="16"/>
      <c r="AM44" s="16">
        <v>41</v>
      </c>
      <c r="AN44" s="16"/>
      <c r="BC44" s="13"/>
      <c r="BD44" s="13"/>
      <c r="BE44" s="13"/>
      <c r="BF44" s="13"/>
      <c r="BG44" s="13"/>
      <c r="BH44" s="13"/>
      <c r="BI44" s="13"/>
      <c r="BJ44" s="13"/>
      <c r="BK44" s="13"/>
      <c r="BL44" s="13"/>
      <c r="BM44" s="13"/>
      <c r="BN44" s="13"/>
    </row>
    <row r="45" spans="1:66" x14ac:dyDescent="0.25">
      <c r="A45" s="22">
        <v>43</v>
      </c>
      <c r="B45" s="23">
        <v>709.14085866433152</v>
      </c>
      <c r="C45" s="24">
        <v>1706.4730302312253</v>
      </c>
      <c r="AH45" s="16"/>
      <c r="AI45" s="16"/>
      <c r="AJ45" s="16"/>
      <c r="AK45" s="16">
        <v>1300</v>
      </c>
      <c r="AL45" s="16"/>
      <c r="AM45" s="16">
        <v>50</v>
      </c>
      <c r="AN45" s="16"/>
      <c r="BC45" s="13"/>
      <c r="BD45" s="13"/>
      <c r="BE45" s="13"/>
      <c r="BF45" s="13"/>
      <c r="BG45" s="13"/>
      <c r="BH45" s="13"/>
      <c r="BI45" s="13"/>
      <c r="BJ45" s="13"/>
      <c r="BK45" s="13"/>
      <c r="BL45" s="13"/>
      <c r="BM45" s="13"/>
      <c r="BN45" s="13"/>
    </row>
    <row r="46" spans="1:66" x14ac:dyDescent="0.25">
      <c r="A46" s="22">
        <v>44</v>
      </c>
      <c r="B46" s="23">
        <v>663.48419812221732</v>
      </c>
      <c r="C46" s="24">
        <v>2101.2779933921761</v>
      </c>
      <c r="I46" s="54"/>
      <c r="AH46" s="16"/>
      <c r="AI46" s="16"/>
      <c r="AJ46" s="16"/>
      <c r="AK46" s="16">
        <v>1350</v>
      </c>
      <c r="AL46" s="16"/>
      <c r="AM46" s="16">
        <v>50</v>
      </c>
      <c r="AN46" s="16"/>
      <c r="BC46" s="13"/>
      <c r="BD46" s="13"/>
      <c r="BE46" s="13"/>
      <c r="BF46" s="13"/>
      <c r="BG46" s="13"/>
      <c r="BH46" s="13"/>
      <c r="BI46" s="13"/>
      <c r="BJ46" s="13"/>
      <c r="BK46" s="13"/>
      <c r="BL46" s="13"/>
      <c r="BM46" s="13"/>
      <c r="BN46" s="13"/>
    </row>
    <row r="47" spans="1:66" x14ac:dyDescent="0.25">
      <c r="A47" s="22">
        <v>45</v>
      </c>
      <c r="B47" s="23">
        <v>627.02324565219294</v>
      </c>
      <c r="C47" s="24">
        <v>2409.5490690301908</v>
      </c>
      <c r="AH47" s="16"/>
      <c r="AI47" s="16"/>
      <c r="AJ47" s="16"/>
      <c r="AK47" s="16">
        <v>1350</v>
      </c>
      <c r="AL47" s="16"/>
      <c r="AM47" s="16">
        <v>114</v>
      </c>
      <c r="AN47" s="16"/>
      <c r="BC47" s="13"/>
      <c r="BD47" s="13"/>
      <c r="BE47" s="13"/>
      <c r="BF47" s="13"/>
      <c r="BG47" s="13"/>
      <c r="BH47" s="13"/>
      <c r="BI47" s="13"/>
      <c r="BJ47" s="13"/>
      <c r="BK47" s="13"/>
      <c r="BL47" s="13"/>
      <c r="BM47" s="13"/>
      <c r="BN47" s="13"/>
    </row>
    <row r="48" spans="1:66" x14ac:dyDescent="0.25">
      <c r="A48" s="22">
        <v>46</v>
      </c>
      <c r="B48" s="23">
        <v>826.63354522471411</v>
      </c>
      <c r="C48" s="24">
        <v>1853.2644114788491</v>
      </c>
      <c r="AH48" s="16"/>
      <c r="AI48" s="16"/>
      <c r="AJ48" s="16"/>
      <c r="AK48" s="16">
        <v>1400</v>
      </c>
      <c r="AL48" s="16"/>
      <c r="AM48" s="16">
        <v>114</v>
      </c>
      <c r="AN48" s="16"/>
      <c r="BC48" s="13"/>
      <c r="BD48" s="13"/>
      <c r="BE48" s="13"/>
      <c r="BF48" s="13"/>
      <c r="BG48" s="13"/>
      <c r="BH48" s="13"/>
      <c r="BI48" s="13"/>
      <c r="BJ48" s="13"/>
      <c r="BK48" s="13"/>
      <c r="BL48" s="13"/>
      <c r="BM48" s="13"/>
      <c r="BN48" s="13"/>
    </row>
    <row r="49" spans="1:66" x14ac:dyDescent="0.25">
      <c r="A49" s="22">
        <v>47</v>
      </c>
      <c r="B49" s="23">
        <v>604.92487296477475</v>
      </c>
      <c r="C49" s="24">
        <v>2078.1896137523881</v>
      </c>
      <c r="AH49" s="16"/>
      <c r="AI49" s="16"/>
      <c r="AJ49" s="16"/>
      <c r="AK49" s="16">
        <v>1400</v>
      </c>
      <c r="AL49" s="16"/>
      <c r="AM49" s="16">
        <v>195</v>
      </c>
      <c r="AN49" s="16"/>
      <c r="BC49" s="13"/>
      <c r="BD49" s="13"/>
      <c r="BE49" s="13"/>
      <c r="BF49" s="13"/>
      <c r="BG49" s="13"/>
      <c r="BH49" s="13"/>
      <c r="BI49" s="13"/>
      <c r="BJ49" s="13"/>
      <c r="BK49" s="13"/>
      <c r="BL49" s="13"/>
      <c r="BM49" s="13"/>
      <c r="BN49" s="13"/>
    </row>
    <row r="50" spans="1:66" x14ac:dyDescent="0.25">
      <c r="A50" s="22">
        <v>48</v>
      </c>
      <c r="B50" s="23">
        <v>746.12107973237721</v>
      </c>
      <c r="C50" s="24">
        <v>2069.410663425901</v>
      </c>
      <c r="AH50" s="16"/>
      <c r="AI50" s="16"/>
      <c r="AJ50" s="16"/>
      <c r="AK50" s="16">
        <v>1450</v>
      </c>
      <c r="AL50" s="16"/>
      <c r="AM50" s="16">
        <v>195</v>
      </c>
      <c r="AN50" s="16"/>
      <c r="BC50" s="13"/>
      <c r="BD50" s="13"/>
      <c r="BE50" s="13"/>
      <c r="BF50" s="13"/>
      <c r="BG50" s="13"/>
      <c r="BH50" s="13"/>
      <c r="BI50" s="13"/>
      <c r="BJ50" s="13"/>
      <c r="BK50" s="13"/>
      <c r="BL50" s="13"/>
      <c r="BM50" s="13"/>
      <c r="BN50" s="13"/>
    </row>
    <row r="51" spans="1:66" x14ac:dyDescent="0.25">
      <c r="A51" s="22">
        <v>49</v>
      </c>
      <c r="B51" s="23">
        <v>735.49605220060528</v>
      </c>
      <c r="C51" s="24">
        <v>1626.7480531176168</v>
      </c>
      <c r="AH51" s="16"/>
      <c r="AI51" s="16"/>
      <c r="AJ51" s="16"/>
      <c r="AK51" s="16">
        <v>1450</v>
      </c>
      <c r="AL51" s="16"/>
      <c r="AM51" s="16">
        <v>293</v>
      </c>
      <c r="AN51" s="16"/>
      <c r="BC51" s="13"/>
      <c r="BD51" s="13"/>
      <c r="BE51" s="13"/>
      <c r="BF51" s="13"/>
      <c r="BG51" s="13"/>
      <c r="BH51" s="13"/>
      <c r="BI51" s="13"/>
      <c r="BJ51" s="13"/>
      <c r="BK51" s="13"/>
      <c r="BL51" s="13"/>
      <c r="BM51" s="13"/>
      <c r="BN51" s="13"/>
    </row>
    <row r="52" spans="1:66" x14ac:dyDescent="0.25">
      <c r="A52" s="22">
        <v>50</v>
      </c>
      <c r="B52" s="23">
        <v>689.91128869835131</v>
      </c>
      <c r="C52" s="24">
        <v>1540.7870213724566</v>
      </c>
      <c r="AH52" s="16"/>
      <c r="AI52" s="16"/>
      <c r="AJ52" s="16"/>
      <c r="AK52" s="16">
        <v>1500</v>
      </c>
      <c r="AL52" s="16"/>
      <c r="AM52" s="16">
        <v>293</v>
      </c>
      <c r="AN52" s="16"/>
      <c r="BC52" s="13"/>
      <c r="BD52" s="13"/>
      <c r="BE52" s="13"/>
      <c r="BF52" s="13"/>
      <c r="BG52" s="13"/>
      <c r="BH52" s="13"/>
      <c r="BI52" s="13"/>
      <c r="BJ52" s="13"/>
      <c r="BK52" s="13"/>
      <c r="BL52" s="13"/>
      <c r="BM52" s="13"/>
      <c r="BN52" s="13"/>
    </row>
    <row r="53" spans="1:66" x14ac:dyDescent="0.25">
      <c r="A53" s="22">
        <v>51</v>
      </c>
      <c r="B53" s="23">
        <v>758.84817609684046</v>
      </c>
      <c r="C53" s="24">
        <v>1746.0770777219925</v>
      </c>
      <c r="AH53" s="16"/>
      <c r="AI53" s="16"/>
      <c r="AJ53" s="16"/>
      <c r="AK53" s="16">
        <v>1500</v>
      </c>
      <c r="AL53" s="16"/>
      <c r="AM53" s="16">
        <v>377</v>
      </c>
      <c r="AN53" s="16"/>
      <c r="BC53" s="13"/>
      <c r="BD53" s="13"/>
      <c r="BE53" s="13"/>
      <c r="BF53" s="13"/>
      <c r="BG53" s="13"/>
      <c r="BH53" s="13"/>
      <c r="BI53" s="13"/>
      <c r="BJ53" s="13"/>
      <c r="BK53" s="13"/>
      <c r="BL53" s="13"/>
      <c r="BM53" s="13"/>
      <c r="BN53" s="13"/>
    </row>
    <row r="54" spans="1:66" x14ac:dyDescent="0.25">
      <c r="A54" s="22">
        <v>52</v>
      </c>
      <c r="B54" s="23">
        <v>615.1077163514467</v>
      </c>
      <c r="C54" s="24">
        <v>2271.7341971998667</v>
      </c>
      <c r="AH54" s="16"/>
      <c r="AI54" s="16"/>
      <c r="AJ54" s="16"/>
      <c r="AK54" s="16">
        <v>1550</v>
      </c>
      <c r="AL54" s="16"/>
      <c r="AM54" s="16">
        <v>377</v>
      </c>
      <c r="AN54" s="16"/>
      <c r="BC54" s="13"/>
      <c r="BD54" s="13"/>
      <c r="BE54" s="13"/>
      <c r="BF54" s="13"/>
      <c r="BG54" s="13"/>
      <c r="BH54" s="13"/>
      <c r="BI54" s="13"/>
      <c r="BJ54" s="13"/>
      <c r="BK54" s="13"/>
      <c r="BL54" s="13"/>
      <c r="BM54" s="13"/>
      <c r="BN54" s="13"/>
    </row>
    <row r="55" spans="1:66" x14ac:dyDescent="0.25">
      <c r="A55" s="22">
        <v>53</v>
      </c>
      <c r="B55" s="23">
        <v>622.86158377978336</v>
      </c>
      <c r="C55" s="24">
        <v>1987.3172099793087</v>
      </c>
      <c r="AH55" s="16"/>
      <c r="AI55" s="16"/>
      <c r="AJ55" s="16"/>
      <c r="AK55" s="16">
        <v>1550</v>
      </c>
      <c r="AL55" s="16"/>
      <c r="AM55" s="16">
        <v>464</v>
      </c>
      <c r="AN55" s="16"/>
      <c r="BC55" s="13"/>
      <c r="BD55" s="13"/>
      <c r="BE55" s="13"/>
      <c r="BF55" s="13"/>
      <c r="BG55" s="13"/>
      <c r="BH55" s="13"/>
      <c r="BI55" s="13"/>
      <c r="BJ55" s="13"/>
      <c r="BK55" s="13"/>
      <c r="BL55" s="13"/>
      <c r="BM55" s="13"/>
      <c r="BN55" s="13"/>
    </row>
    <row r="56" spans="1:66" x14ac:dyDescent="0.25">
      <c r="A56" s="22">
        <v>54</v>
      </c>
      <c r="B56" s="23">
        <v>868.54824500327368</v>
      </c>
      <c r="C56" s="24">
        <v>1992.4423584998992</v>
      </c>
      <c r="AH56" s="16"/>
      <c r="AI56" s="16"/>
      <c r="AJ56" s="16"/>
      <c r="AK56" s="16">
        <v>1600</v>
      </c>
      <c r="AL56" s="16"/>
      <c r="AM56" s="16">
        <v>464</v>
      </c>
      <c r="AN56" s="16"/>
      <c r="BC56" s="13"/>
      <c r="BD56" s="13"/>
      <c r="BE56" s="13"/>
      <c r="BF56" s="13"/>
      <c r="BG56" s="13"/>
      <c r="BH56" s="13"/>
      <c r="BI56" s="13"/>
      <c r="BJ56" s="13"/>
      <c r="BK56" s="13"/>
      <c r="BL56" s="13"/>
      <c r="BM56" s="13"/>
      <c r="BN56" s="13"/>
    </row>
    <row r="57" spans="1:66" x14ac:dyDescent="0.25">
      <c r="A57" s="22">
        <v>55</v>
      </c>
      <c r="B57" s="23">
        <v>528.73906526367603</v>
      </c>
      <c r="C57" s="24">
        <v>1585.9647266846591</v>
      </c>
      <c r="AH57" s="16"/>
      <c r="AI57" s="16"/>
      <c r="AJ57" s="16"/>
      <c r="AK57" s="16">
        <v>1600</v>
      </c>
      <c r="AL57" s="16"/>
      <c r="AM57" s="16">
        <v>550</v>
      </c>
      <c r="AN57" s="16"/>
      <c r="BC57" s="13"/>
      <c r="BD57" s="13"/>
      <c r="BE57" s="13"/>
      <c r="BF57" s="13"/>
      <c r="BG57" s="13"/>
      <c r="BH57" s="13"/>
      <c r="BI57" s="13"/>
      <c r="BJ57" s="13"/>
      <c r="BK57" s="13"/>
      <c r="BL57" s="13"/>
      <c r="BM57" s="13"/>
      <c r="BN57" s="13"/>
    </row>
    <row r="58" spans="1:66" x14ac:dyDescent="0.25">
      <c r="A58" s="22">
        <v>56</v>
      </c>
      <c r="B58" s="23">
        <v>660.81864914761218</v>
      </c>
      <c r="C58" s="24">
        <v>2060.8370070142346</v>
      </c>
      <c r="AH58" s="16"/>
      <c r="AI58" s="16"/>
      <c r="AJ58" s="16"/>
      <c r="AK58" s="16">
        <v>1650</v>
      </c>
      <c r="AL58" s="16"/>
      <c r="AM58" s="16">
        <v>550</v>
      </c>
      <c r="AN58" s="16"/>
      <c r="BC58" s="13"/>
      <c r="BD58" s="13"/>
      <c r="BE58" s="13"/>
      <c r="BF58" s="13"/>
      <c r="BG58" s="13"/>
      <c r="BH58" s="13"/>
      <c r="BI58" s="13"/>
      <c r="BJ58" s="13"/>
      <c r="BK58" s="13"/>
      <c r="BL58" s="13"/>
      <c r="BM58" s="13"/>
      <c r="BN58" s="13"/>
    </row>
    <row r="59" spans="1:66" x14ac:dyDescent="0.25">
      <c r="A59" s="22">
        <v>57</v>
      </c>
      <c r="B59" s="23">
        <v>762.46013565262876</v>
      </c>
      <c r="C59" s="24">
        <v>2280.9402691907244</v>
      </c>
      <c r="AH59" s="16"/>
      <c r="AI59" s="16"/>
      <c r="AJ59" s="16"/>
      <c r="AK59" s="16">
        <v>1650</v>
      </c>
      <c r="AL59" s="16"/>
      <c r="AM59" s="16">
        <v>603</v>
      </c>
      <c r="AN59" s="16"/>
      <c r="BC59" s="13"/>
      <c r="BD59" s="13"/>
      <c r="BE59" s="13"/>
      <c r="BF59" s="13"/>
      <c r="BG59" s="13"/>
      <c r="BH59" s="13"/>
      <c r="BI59" s="13"/>
      <c r="BJ59" s="13"/>
      <c r="BK59" s="13"/>
      <c r="BL59" s="13"/>
      <c r="BM59" s="13"/>
      <c r="BN59" s="13"/>
    </row>
    <row r="60" spans="1:66" x14ac:dyDescent="0.25">
      <c r="A60" s="22">
        <v>58</v>
      </c>
      <c r="B60" s="23">
        <v>653.14516713801424</v>
      </c>
      <c r="C60" s="24">
        <v>1890.7107711884505</v>
      </c>
      <c r="AH60" s="16"/>
      <c r="AI60" s="16"/>
      <c r="AJ60" s="16"/>
      <c r="AK60" s="16">
        <v>1700</v>
      </c>
      <c r="AL60" s="16"/>
      <c r="AM60" s="16">
        <v>603</v>
      </c>
      <c r="AN60" s="16"/>
      <c r="BC60" s="13"/>
      <c r="BD60" s="13"/>
      <c r="BE60" s="13"/>
      <c r="BF60" s="13"/>
      <c r="BG60" s="13"/>
      <c r="BH60" s="13"/>
      <c r="BI60" s="13"/>
      <c r="BJ60" s="13"/>
      <c r="BK60" s="13"/>
      <c r="BL60" s="13"/>
      <c r="BM60" s="13"/>
      <c r="BN60" s="13"/>
    </row>
    <row r="61" spans="1:66" x14ac:dyDescent="0.25">
      <c r="A61" s="22">
        <v>59</v>
      </c>
      <c r="B61" s="23">
        <v>884.40481631284877</v>
      </c>
      <c r="C61" s="24">
        <v>1755.3732017802481</v>
      </c>
      <c r="AH61" s="16"/>
      <c r="AI61" s="16"/>
      <c r="AJ61" s="16"/>
      <c r="AK61" s="16">
        <v>1700</v>
      </c>
      <c r="AL61" s="16"/>
      <c r="AM61" s="16">
        <v>685</v>
      </c>
      <c r="AN61" s="16"/>
      <c r="BC61" s="13"/>
      <c r="BD61" s="13"/>
      <c r="BE61" s="13"/>
      <c r="BF61" s="13"/>
      <c r="BG61" s="13"/>
      <c r="BH61" s="13"/>
      <c r="BI61" s="13"/>
      <c r="BJ61" s="13"/>
      <c r="BK61" s="13"/>
      <c r="BL61" s="13"/>
      <c r="BM61" s="13"/>
      <c r="BN61" s="13"/>
    </row>
    <row r="62" spans="1:66" x14ac:dyDescent="0.25">
      <c r="A62" s="22">
        <v>60</v>
      </c>
      <c r="B62" s="23">
        <v>727.36172700645557</v>
      </c>
      <c r="C62" s="24">
        <v>1588.6565221971375</v>
      </c>
      <c r="AH62" s="16"/>
      <c r="AI62" s="16"/>
      <c r="AJ62" s="16"/>
      <c r="AK62" s="16">
        <v>1750</v>
      </c>
      <c r="AL62" s="16"/>
      <c r="AM62" s="16">
        <v>685</v>
      </c>
      <c r="AN62" s="16"/>
      <c r="BC62" s="13"/>
      <c r="BD62" s="13"/>
      <c r="BE62" s="13"/>
      <c r="BF62" s="13"/>
      <c r="BG62" s="13"/>
      <c r="BH62" s="13"/>
      <c r="BI62" s="13"/>
      <c r="BJ62" s="13"/>
      <c r="BK62" s="13"/>
      <c r="BL62" s="13"/>
      <c r="BM62" s="13"/>
      <c r="BN62" s="13"/>
    </row>
    <row r="63" spans="1:66" x14ac:dyDescent="0.25">
      <c r="A63" s="22">
        <v>61</v>
      </c>
      <c r="B63" s="23">
        <v>724.19326007610289</v>
      </c>
      <c r="C63" s="24">
        <v>2469.5924333613343</v>
      </c>
      <c r="AH63" s="16"/>
      <c r="AI63" s="16"/>
      <c r="AJ63" s="16"/>
      <c r="AK63" s="16">
        <v>1750</v>
      </c>
      <c r="AL63" s="16"/>
      <c r="AM63" s="16">
        <v>770</v>
      </c>
      <c r="AN63" s="16"/>
      <c r="BC63" s="13"/>
      <c r="BD63" s="13"/>
      <c r="BE63" s="13"/>
      <c r="BF63" s="13"/>
      <c r="BG63" s="13"/>
      <c r="BH63" s="13"/>
      <c r="BI63" s="13"/>
      <c r="BJ63" s="13"/>
      <c r="BK63" s="13"/>
      <c r="BL63" s="13"/>
      <c r="BM63" s="13"/>
      <c r="BN63" s="13"/>
    </row>
    <row r="64" spans="1:66" x14ac:dyDescent="0.25">
      <c r="A64" s="22">
        <v>62</v>
      </c>
      <c r="B64" s="23">
        <v>663.29680403348834</v>
      </c>
      <c r="C64" s="24">
        <v>2186.8934483632806</v>
      </c>
      <c r="AH64" s="16"/>
      <c r="AI64" s="16"/>
      <c r="AJ64" s="16"/>
      <c r="AK64" s="16">
        <v>1800</v>
      </c>
      <c r="AL64" s="16"/>
      <c r="AM64" s="16">
        <v>770</v>
      </c>
      <c r="AN64" s="16"/>
      <c r="BC64" s="13"/>
      <c r="BD64" s="13"/>
      <c r="BE64" s="13"/>
      <c r="BF64" s="13"/>
      <c r="BG64" s="13"/>
      <c r="BH64" s="13"/>
      <c r="BI64" s="13"/>
      <c r="BJ64" s="13"/>
      <c r="BK64" s="13"/>
      <c r="BL64" s="13"/>
      <c r="BM64" s="13"/>
      <c r="BN64" s="13"/>
    </row>
    <row r="65" spans="1:66" x14ac:dyDescent="0.25">
      <c r="A65" s="22">
        <v>63</v>
      </c>
      <c r="B65" s="23">
        <v>660.41490478409924</v>
      </c>
      <c r="C65" s="24">
        <v>1827.8396062578768</v>
      </c>
      <c r="AH65" s="16"/>
      <c r="AI65" s="16"/>
      <c r="AJ65" s="16"/>
      <c r="AK65" s="16">
        <v>1800</v>
      </c>
      <c r="AL65" s="16"/>
      <c r="AM65" s="16">
        <v>791</v>
      </c>
      <c r="AN65" s="16"/>
      <c r="BC65" s="13"/>
      <c r="BD65" s="13"/>
      <c r="BE65" s="13"/>
      <c r="BF65" s="13"/>
      <c r="BG65" s="13"/>
      <c r="BH65" s="13"/>
      <c r="BI65" s="13"/>
      <c r="BJ65" s="13"/>
      <c r="BK65" s="13"/>
      <c r="BL65" s="13"/>
      <c r="BM65" s="13"/>
      <c r="BN65" s="13"/>
    </row>
    <row r="66" spans="1:66" x14ac:dyDescent="0.25">
      <c r="A66" s="22">
        <v>64</v>
      </c>
      <c r="B66" s="23">
        <v>707.88852632251462</v>
      </c>
      <c r="C66" s="24">
        <v>2156.5650115771423</v>
      </c>
      <c r="AH66" s="16"/>
      <c r="AI66" s="16"/>
      <c r="AJ66" s="16"/>
      <c r="AK66" s="16">
        <v>1850</v>
      </c>
      <c r="AL66" s="16"/>
      <c r="AM66" s="16">
        <v>791</v>
      </c>
      <c r="AN66" s="16"/>
      <c r="BC66" s="13"/>
      <c r="BD66" s="13"/>
      <c r="BE66" s="13"/>
      <c r="BF66" s="13"/>
      <c r="BG66" s="13"/>
      <c r="BH66" s="13"/>
      <c r="BI66" s="13"/>
      <c r="BJ66" s="13"/>
      <c r="BK66" s="13"/>
      <c r="BL66" s="13"/>
      <c r="BM66" s="13"/>
      <c r="BN66" s="13"/>
    </row>
    <row r="67" spans="1:66" x14ac:dyDescent="0.25">
      <c r="A67" s="22">
        <v>65</v>
      </c>
      <c r="B67" s="23">
        <v>720.49100877268029</v>
      </c>
      <c r="C67" s="24">
        <v>1762.4007784905375</v>
      </c>
      <c r="AH67" s="16"/>
      <c r="AI67" s="16"/>
      <c r="AJ67" s="16"/>
      <c r="AK67" s="16">
        <v>1850</v>
      </c>
      <c r="AL67" s="16"/>
      <c r="AM67" s="16">
        <v>731</v>
      </c>
      <c r="AN67" s="16"/>
      <c r="BC67" s="13"/>
      <c r="BD67" s="13"/>
      <c r="BE67" s="13"/>
      <c r="BF67" s="13"/>
      <c r="BG67" s="13"/>
      <c r="BH67" s="13"/>
      <c r="BI67" s="13"/>
      <c r="BJ67" s="13"/>
      <c r="BK67" s="13"/>
      <c r="BL67" s="13"/>
      <c r="BM67" s="13"/>
      <c r="BN67" s="13"/>
    </row>
    <row r="68" spans="1:66" x14ac:dyDescent="0.25">
      <c r="A68" s="22">
        <v>66</v>
      </c>
      <c r="B68" s="23">
        <v>824.58847827618945</v>
      </c>
      <c r="C68" s="24">
        <v>1793.7122598219366</v>
      </c>
      <c r="AK68" s="13">
        <v>1900</v>
      </c>
      <c r="AM68" s="13">
        <v>731</v>
      </c>
      <c r="BC68" s="13"/>
      <c r="BD68" s="13"/>
      <c r="BE68" s="13"/>
      <c r="BF68" s="13"/>
      <c r="BG68" s="13"/>
      <c r="BH68" s="13"/>
      <c r="BI68" s="13"/>
      <c r="BJ68" s="13"/>
      <c r="BK68" s="13"/>
      <c r="BL68" s="13"/>
      <c r="BM68" s="13"/>
      <c r="BN68" s="13"/>
    </row>
    <row r="69" spans="1:66" x14ac:dyDescent="0.25">
      <c r="A69" s="22">
        <v>67</v>
      </c>
      <c r="B69" s="23">
        <v>789.27279580201366</v>
      </c>
      <c r="C69" s="24">
        <v>2025.8813286264967</v>
      </c>
      <c r="AK69" s="13">
        <v>1900</v>
      </c>
      <c r="AM69" s="13">
        <v>693</v>
      </c>
      <c r="BC69" s="13"/>
      <c r="BD69" s="13"/>
      <c r="BE69" s="13"/>
      <c r="BF69" s="13"/>
      <c r="BG69" s="13"/>
      <c r="BH69" s="13"/>
      <c r="BI69" s="13"/>
      <c r="BJ69" s="13"/>
      <c r="BK69" s="13"/>
      <c r="BL69" s="13"/>
      <c r="BM69" s="13"/>
      <c r="BN69" s="13"/>
    </row>
    <row r="70" spans="1:66" x14ac:dyDescent="0.25">
      <c r="A70" s="22">
        <v>68</v>
      </c>
      <c r="B70" s="23">
        <v>761.08066560527482</v>
      </c>
      <c r="C70" s="24">
        <v>1980.2374888842894</v>
      </c>
      <c r="AK70" s="13">
        <v>1950</v>
      </c>
      <c r="AM70" s="13">
        <v>693</v>
      </c>
      <c r="BC70" s="13"/>
      <c r="BD70" s="13"/>
      <c r="BE70" s="13"/>
      <c r="BF70" s="13"/>
      <c r="BG70" s="13"/>
      <c r="BH70" s="13"/>
      <c r="BI70" s="13"/>
      <c r="BJ70" s="13"/>
      <c r="BK70" s="13"/>
      <c r="BL70" s="13"/>
      <c r="BM70" s="13"/>
      <c r="BN70" s="13"/>
    </row>
    <row r="71" spans="1:66" x14ac:dyDescent="0.25">
      <c r="A71" s="22">
        <v>69</v>
      </c>
      <c r="B71" s="23">
        <v>616.37903231259213</v>
      </c>
      <c r="C71" s="24">
        <v>1823.2394765793697</v>
      </c>
      <c r="AK71" s="13">
        <v>1950</v>
      </c>
      <c r="AM71" s="13">
        <v>654</v>
      </c>
      <c r="BC71" s="13"/>
      <c r="BD71" s="13"/>
      <c r="BE71" s="13"/>
      <c r="BF71" s="13"/>
      <c r="BG71" s="13"/>
      <c r="BH71" s="13"/>
      <c r="BI71" s="13"/>
      <c r="BJ71" s="13"/>
      <c r="BK71" s="13"/>
      <c r="BL71" s="13"/>
      <c r="BM71" s="13"/>
      <c r="BN71" s="13"/>
    </row>
    <row r="72" spans="1:66" x14ac:dyDescent="0.25">
      <c r="A72" s="22">
        <v>70</v>
      </c>
      <c r="B72" s="23">
        <v>795.78706698119845</v>
      </c>
      <c r="C72" s="24">
        <v>2010.6111596040123</v>
      </c>
      <c r="AK72" s="13">
        <v>2000</v>
      </c>
      <c r="AM72" s="13">
        <v>654</v>
      </c>
      <c r="BC72" s="13"/>
      <c r="BD72" s="13"/>
      <c r="BE72" s="13"/>
      <c r="BF72" s="13"/>
      <c r="BG72" s="13"/>
      <c r="BH72" s="13"/>
      <c r="BI72" s="13"/>
      <c r="BJ72" s="13"/>
      <c r="BK72" s="13"/>
      <c r="BL72" s="13"/>
      <c r="BM72" s="13"/>
      <c r="BN72" s="13"/>
    </row>
    <row r="73" spans="1:66" x14ac:dyDescent="0.25">
      <c r="A73" s="22">
        <v>71</v>
      </c>
      <c r="B73" s="23">
        <v>470.78336386040831</v>
      </c>
      <c r="C73" s="24">
        <v>2299.0621778168934</v>
      </c>
      <c r="AK73" s="13">
        <v>2000</v>
      </c>
      <c r="AM73" s="13">
        <v>572</v>
      </c>
      <c r="BC73" s="13"/>
      <c r="BD73" s="13"/>
      <c r="BE73" s="13"/>
      <c r="BF73" s="13"/>
      <c r="BG73" s="13"/>
      <c r="BH73" s="13"/>
      <c r="BI73" s="13"/>
      <c r="BJ73" s="13"/>
      <c r="BK73" s="13"/>
      <c r="BL73" s="13"/>
      <c r="BM73" s="13"/>
      <c r="BN73" s="13"/>
    </row>
    <row r="74" spans="1:66" x14ac:dyDescent="0.25">
      <c r="A74" s="22">
        <v>72</v>
      </c>
      <c r="B74" s="23">
        <v>601.22712681628047</v>
      </c>
      <c r="C74" s="24">
        <v>1660.5217712641154</v>
      </c>
      <c r="AK74" s="13">
        <v>2050</v>
      </c>
      <c r="AM74" s="13">
        <v>572</v>
      </c>
      <c r="BC74" s="13"/>
      <c r="BD74" s="13"/>
      <c r="BE74" s="13"/>
      <c r="BF74" s="13"/>
      <c r="BG74" s="13"/>
      <c r="BH74" s="13"/>
      <c r="BI74" s="13"/>
      <c r="BJ74" s="13"/>
      <c r="BK74" s="13"/>
      <c r="BL74" s="13"/>
      <c r="BM74" s="13"/>
      <c r="BN74" s="13"/>
    </row>
    <row r="75" spans="1:66" x14ac:dyDescent="0.25">
      <c r="A75" s="22">
        <v>73</v>
      </c>
      <c r="B75" s="23">
        <v>789.70123230046056</v>
      </c>
      <c r="C75" s="24">
        <v>2004.4128326657888</v>
      </c>
      <c r="AK75" s="13">
        <v>2050</v>
      </c>
      <c r="AM75" s="13">
        <v>490</v>
      </c>
      <c r="BC75" s="13"/>
      <c r="BD75" s="13"/>
      <c r="BE75" s="13"/>
      <c r="BF75" s="13"/>
      <c r="BG75" s="13"/>
      <c r="BH75" s="13"/>
      <c r="BI75" s="13"/>
      <c r="BJ75" s="13"/>
      <c r="BK75" s="13"/>
      <c r="BL75" s="13"/>
      <c r="BM75" s="13"/>
      <c r="BN75" s="13"/>
    </row>
    <row r="76" spans="1:66" x14ac:dyDescent="0.25">
      <c r="A76" s="22">
        <v>74</v>
      </c>
      <c r="B76" s="23">
        <v>621.25633657026719</v>
      </c>
      <c r="C76" s="24">
        <v>2017.6886268030858</v>
      </c>
      <c r="AK76" s="13">
        <v>2100</v>
      </c>
      <c r="AM76" s="13">
        <v>490</v>
      </c>
      <c r="BC76" s="13"/>
      <c r="BD76" s="13"/>
      <c r="BE76" s="13"/>
      <c r="BF76" s="13"/>
      <c r="BG76" s="13"/>
      <c r="BH76" s="13"/>
      <c r="BI76" s="13"/>
      <c r="BJ76" s="13"/>
      <c r="BK76" s="13"/>
      <c r="BL76" s="13"/>
      <c r="BM76" s="13"/>
      <c r="BN76" s="13"/>
    </row>
    <row r="77" spans="1:66" x14ac:dyDescent="0.25">
      <c r="A77" s="22">
        <v>75</v>
      </c>
      <c r="B77" s="23">
        <v>709.40271261300359</v>
      </c>
      <c r="C77" s="24">
        <v>1647.3177097215328</v>
      </c>
      <c r="AK77" s="13">
        <v>2100</v>
      </c>
      <c r="AM77" s="13">
        <v>424</v>
      </c>
      <c r="BC77" s="13"/>
      <c r="BD77" s="13"/>
      <c r="BE77" s="13"/>
      <c r="BF77" s="13"/>
      <c r="BG77" s="13"/>
      <c r="BH77" s="13"/>
      <c r="BI77" s="13"/>
      <c r="BJ77" s="13"/>
      <c r="BK77" s="13"/>
      <c r="BL77" s="13"/>
      <c r="BM77" s="13"/>
      <c r="BN77" s="13"/>
    </row>
    <row r="78" spans="1:66" x14ac:dyDescent="0.25">
      <c r="A78" s="22">
        <v>76</v>
      </c>
      <c r="B78" s="23">
        <v>532.05260255044379</v>
      </c>
      <c r="C78" s="24">
        <v>2015.3178814558441</v>
      </c>
      <c r="AK78" s="13">
        <v>2150</v>
      </c>
      <c r="AM78" s="13">
        <v>424</v>
      </c>
      <c r="BC78" s="13"/>
      <c r="BD78" s="13"/>
      <c r="BE78" s="13"/>
      <c r="BF78" s="13"/>
      <c r="BG78" s="13"/>
      <c r="BH78" s="13"/>
      <c r="BI78" s="13"/>
      <c r="BJ78" s="13"/>
      <c r="BK78" s="13"/>
      <c r="BL78" s="13"/>
      <c r="BM78" s="13"/>
      <c r="BN78" s="13"/>
    </row>
    <row r="79" spans="1:66" x14ac:dyDescent="0.25">
      <c r="A79" s="22">
        <v>77</v>
      </c>
      <c r="B79" s="23">
        <v>792.47169098837935</v>
      </c>
      <c r="C79" s="24">
        <v>1420.6723449575277</v>
      </c>
      <c r="AK79" s="13">
        <v>2150</v>
      </c>
      <c r="AM79" s="13">
        <v>322</v>
      </c>
      <c r="BC79" s="13"/>
      <c r="BD79" s="13"/>
      <c r="BE79" s="13"/>
      <c r="BF79" s="13"/>
      <c r="BG79" s="13"/>
      <c r="BH79" s="13"/>
      <c r="BI79" s="13"/>
      <c r="BJ79" s="13"/>
      <c r="BK79" s="13"/>
      <c r="BL79" s="13"/>
      <c r="BM79" s="13"/>
      <c r="BN79" s="13"/>
    </row>
    <row r="80" spans="1:66" x14ac:dyDescent="0.25">
      <c r="A80" s="22">
        <v>78</v>
      </c>
      <c r="B80" s="23">
        <v>787.42662023533569</v>
      </c>
      <c r="C80" s="24">
        <v>1620.942464427176</v>
      </c>
      <c r="AK80" s="13">
        <v>2200</v>
      </c>
      <c r="AM80" s="13">
        <v>322</v>
      </c>
      <c r="BC80" s="13"/>
      <c r="BD80" s="13"/>
      <c r="BE80" s="13"/>
      <c r="BF80" s="13"/>
      <c r="BG80" s="13"/>
      <c r="BH80" s="13"/>
      <c r="BI80" s="13"/>
      <c r="BJ80" s="13"/>
      <c r="BK80" s="13"/>
      <c r="BL80" s="13"/>
      <c r="BM80" s="13"/>
      <c r="BN80" s="13"/>
    </row>
    <row r="81" spans="1:66" x14ac:dyDescent="0.25">
      <c r="A81" s="22">
        <v>79</v>
      </c>
      <c r="B81" s="23">
        <v>703.6821476723419</v>
      </c>
      <c r="C81" s="24">
        <v>2105.0080099107727</v>
      </c>
      <c r="AK81" s="13">
        <v>2200</v>
      </c>
      <c r="AM81" s="13">
        <v>267</v>
      </c>
      <c r="BC81" s="13"/>
      <c r="BD81" s="13"/>
      <c r="BE81" s="13"/>
      <c r="BF81" s="13"/>
      <c r="BG81" s="13"/>
      <c r="BH81" s="13"/>
      <c r="BI81" s="13"/>
      <c r="BJ81" s="13"/>
      <c r="BK81" s="13"/>
      <c r="BL81" s="13"/>
      <c r="BM81" s="13"/>
      <c r="BN81" s="13"/>
    </row>
    <row r="82" spans="1:66" x14ac:dyDescent="0.25">
      <c r="A82" s="22">
        <v>80</v>
      </c>
      <c r="B82" s="23">
        <v>743.52019123701791</v>
      </c>
      <c r="C82" s="24">
        <v>1716.9279505387851</v>
      </c>
      <c r="AK82" s="13">
        <v>2250</v>
      </c>
      <c r="AM82" s="13">
        <v>267</v>
      </c>
      <c r="BC82" s="13"/>
      <c r="BD82" s="13"/>
      <c r="BE82" s="13"/>
      <c r="BF82" s="13"/>
      <c r="BG82" s="13"/>
      <c r="BH82" s="13"/>
      <c r="BI82" s="13"/>
      <c r="BJ82" s="13"/>
      <c r="BK82" s="13"/>
      <c r="BL82" s="13"/>
      <c r="BM82" s="13"/>
      <c r="BN82" s="13"/>
    </row>
    <row r="83" spans="1:66" x14ac:dyDescent="0.25">
      <c r="A83" s="22">
        <v>81</v>
      </c>
      <c r="B83" s="23">
        <v>566.41321788417304</v>
      </c>
      <c r="C83" s="24">
        <v>2292.6471971596097</v>
      </c>
      <c r="AK83" s="13">
        <v>2250</v>
      </c>
      <c r="AM83" s="13">
        <v>185</v>
      </c>
      <c r="BC83" s="13"/>
      <c r="BD83" s="13"/>
      <c r="BE83" s="13"/>
      <c r="BF83" s="13"/>
      <c r="BG83" s="13"/>
      <c r="BH83" s="13"/>
      <c r="BI83" s="13"/>
      <c r="BJ83" s="13"/>
      <c r="BK83" s="13"/>
      <c r="BL83" s="13"/>
      <c r="BM83" s="13"/>
      <c r="BN83" s="13"/>
    </row>
    <row r="84" spans="1:66" x14ac:dyDescent="0.25">
      <c r="A84" s="22">
        <v>82</v>
      </c>
      <c r="B84" s="23">
        <v>728.29505891816132</v>
      </c>
      <c r="C84" s="24">
        <v>1845.3630687036771</v>
      </c>
      <c r="AK84" s="13">
        <v>2300</v>
      </c>
      <c r="AM84" s="13">
        <v>185</v>
      </c>
      <c r="BC84" s="13"/>
      <c r="BD84" s="13"/>
      <c r="BE84" s="13"/>
      <c r="BF84" s="13"/>
      <c r="BG84" s="13"/>
      <c r="BH84" s="13"/>
      <c r="BI84" s="13"/>
      <c r="BJ84" s="13"/>
      <c r="BK84" s="13"/>
      <c r="BL84" s="13"/>
      <c r="BM84" s="13"/>
      <c r="BN84" s="13"/>
    </row>
    <row r="85" spans="1:66" x14ac:dyDescent="0.25">
      <c r="A85" s="22">
        <v>83</v>
      </c>
      <c r="B85" s="23">
        <v>677.6395034127454</v>
      </c>
      <c r="C85" s="24">
        <v>1555.4797563760749</v>
      </c>
      <c r="AK85" s="13">
        <v>2300</v>
      </c>
      <c r="AM85" s="13">
        <v>177</v>
      </c>
      <c r="BC85" s="13"/>
      <c r="BD85" s="13"/>
      <c r="BE85" s="13"/>
      <c r="BF85" s="13"/>
      <c r="BG85" s="13"/>
      <c r="BH85" s="13"/>
      <c r="BI85" s="13"/>
      <c r="BJ85" s="13"/>
      <c r="BK85" s="13"/>
      <c r="BL85" s="13"/>
      <c r="BM85" s="13"/>
      <c r="BN85" s="13"/>
    </row>
    <row r="86" spans="1:66" x14ac:dyDescent="0.25">
      <c r="A86" s="22">
        <v>84</v>
      </c>
      <c r="B86" s="23">
        <v>724.35957213852021</v>
      </c>
      <c r="C86" s="24">
        <v>1971.6821389338156</v>
      </c>
      <c r="AK86" s="13">
        <v>2350</v>
      </c>
      <c r="AM86" s="13">
        <v>177</v>
      </c>
      <c r="BC86" s="13"/>
      <c r="BD86" s="13"/>
      <c r="BE86" s="13"/>
      <c r="BF86" s="13"/>
      <c r="BG86" s="13"/>
      <c r="BH86" s="13"/>
      <c r="BI86" s="13"/>
      <c r="BJ86" s="13"/>
      <c r="BK86" s="13"/>
      <c r="BL86" s="13"/>
      <c r="BM86" s="13"/>
      <c r="BN86" s="13"/>
    </row>
    <row r="87" spans="1:66" x14ac:dyDescent="0.25">
      <c r="A87" s="22">
        <v>85</v>
      </c>
      <c r="B87" s="23">
        <v>523.59266369218403</v>
      </c>
      <c r="C87" s="24">
        <v>2129.4030003204334</v>
      </c>
      <c r="AK87" s="13">
        <v>2350</v>
      </c>
      <c r="AM87" s="13">
        <v>144</v>
      </c>
      <c r="BC87" s="13"/>
      <c r="BD87" s="13"/>
      <c r="BE87" s="13"/>
      <c r="BF87" s="13"/>
      <c r="BG87" s="13"/>
      <c r="BH87" s="13"/>
      <c r="BI87" s="13"/>
      <c r="BJ87" s="13"/>
      <c r="BK87" s="13"/>
      <c r="BL87" s="13"/>
      <c r="BM87" s="13"/>
      <c r="BN87" s="13"/>
    </row>
    <row r="88" spans="1:66" x14ac:dyDescent="0.25">
      <c r="A88" s="22">
        <v>86</v>
      </c>
      <c r="B88" s="23">
        <v>863.90810988893747</v>
      </c>
      <c r="C88" s="24">
        <v>1747.3179430489495</v>
      </c>
      <c r="AK88" s="13">
        <v>2400</v>
      </c>
      <c r="AM88" s="13">
        <v>144</v>
      </c>
      <c r="BC88" s="13"/>
      <c r="BD88" s="13"/>
      <c r="BE88" s="13"/>
      <c r="BF88" s="13"/>
      <c r="BG88" s="13"/>
      <c r="BH88" s="13"/>
      <c r="BI88" s="13"/>
      <c r="BJ88" s="13"/>
      <c r="BK88" s="13"/>
      <c r="BL88" s="13"/>
      <c r="BM88" s="13"/>
      <c r="BN88" s="13"/>
    </row>
    <row r="89" spans="1:66" x14ac:dyDescent="0.25">
      <c r="A89" s="22">
        <v>87</v>
      </c>
      <c r="B89" s="23">
        <v>699.68298791743973</v>
      </c>
      <c r="C89" s="24">
        <v>1761.5261594379308</v>
      </c>
      <c r="AK89" s="13">
        <v>2400</v>
      </c>
      <c r="AM89" s="13">
        <v>108</v>
      </c>
      <c r="BC89" s="13"/>
      <c r="BD89" s="13"/>
      <c r="BE89" s="13"/>
      <c r="BF89" s="13"/>
      <c r="BG89" s="13"/>
      <c r="BH89" s="13"/>
      <c r="BI89" s="13"/>
      <c r="BJ89" s="13"/>
      <c r="BK89" s="13"/>
      <c r="BL89" s="13"/>
      <c r="BM89" s="13"/>
      <c r="BN89" s="13"/>
    </row>
    <row r="90" spans="1:66" x14ac:dyDescent="0.25">
      <c r="A90" s="22">
        <v>88</v>
      </c>
      <c r="B90" s="23">
        <v>591.079311858094</v>
      </c>
      <c r="C90" s="24">
        <v>1719.0921571276879</v>
      </c>
      <c r="AK90" s="13">
        <v>2450</v>
      </c>
      <c r="AM90" s="13">
        <v>108</v>
      </c>
      <c r="BC90" s="13"/>
      <c r="BD90" s="13"/>
      <c r="BE90" s="13"/>
      <c r="BF90" s="13"/>
      <c r="BG90" s="13"/>
      <c r="BH90" s="13"/>
      <c r="BI90" s="13"/>
      <c r="BJ90" s="13"/>
      <c r="BK90" s="13"/>
      <c r="BL90" s="13"/>
      <c r="BM90" s="13"/>
      <c r="BN90" s="13"/>
    </row>
    <row r="91" spans="1:66" x14ac:dyDescent="0.25">
      <c r="A91" s="22">
        <v>89</v>
      </c>
      <c r="B91" s="23">
        <v>788.69473304780615</v>
      </c>
      <c r="C91" s="24">
        <v>2055.0060060344526</v>
      </c>
      <c r="AK91" s="13">
        <v>2450</v>
      </c>
      <c r="AM91" s="13">
        <v>74</v>
      </c>
      <c r="BC91" s="13"/>
      <c r="BD91" s="13"/>
      <c r="BE91" s="13"/>
      <c r="BF91" s="13"/>
      <c r="BG91" s="13"/>
      <c r="BH91" s="13"/>
      <c r="BI91" s="13"/>
      <c r="BJ91" s="13"/>
      <c r="BK91" s="13"/>
      <c r="BL91" s="13"/>
      <c r="BM91" s="13"/>
      <c r="BN91" s="13"/>
    </row>
    <row r="92" spans="1:66" x14ac:dyDescent="0.25">
      <c r="A92" s="22">
        <v>90</v>
      </c>
      <c r="B92" s="23">
        <v>639.88750878192263</v>
      </c>
      <c r="C92" s="24">
        <v>1538.9774629973449</v>
      </c>
      <c r="AK92" s="13">
        <v>2500</v>
      </c>
      <c r="AM92" s="13">
        <v>74</v>
      </c>
      <c r="BC92" s="13"/>
      <c r="BD92" s="13"/>
      <c r="BE92" s="13"/>
      <c r="BF92" s="13"/>
      <c r="BG92" s="13"/>
      <c r="BH92" s="13"/>
      <c r="BI92" s="13"/>
      <c r="BJ92" s="13"/>
      <c r="BK92" s="13"/>
      <c r="BL92" s="13"/>
      <c r="BM92" s="13"/>
      <c r="BN92" s="13"/>
    </row>
    <row r="93" spans="1:66" x14ac:dyDescent="0.25">
      <c r="A93" s="22">
        <v>91</v>
      </c>
      <c r="B93" s="23">
        <v>639.84521730687163</v>
      </c>
      <c r="C93" s="24">
        <v>1774.4993826229559</v>
      </c>
      <c r="AK93" s="13">
        <v>2500</v>
      </c>
      <c r="AM93" s="13">
        <v>48</v>
      </c>
      <c r="BC93" s="13"/>
      <c r="BD93" s="13"/>
      <c r="BE93" s="13"/>
      <c r="BF93" s="13"/>
      <c r="BG93" s="13"/>
      <c r="BH93" s="13"/>
      <c r="BI93" s="13"/>
      <c r="BJ93" s="13"/>
      <c r="BK93" s="13"/>
      <c r="BL93" s="13"/>
      <c r="BM93" s="13"/>
      <c r="BN93" s="13"/>
    </row>
    <row r="94" spans="1:66" x14ac:dyDescent="0.25">
      <c r="A94" s="22">
        <v>92</v>
      </c>
      <c r="B94" s="23">
        <v>897.270378658396</v>
      </c>
      <c r="C94" s="24">
        <v>2039.7680952682631</v>
      </c>
      <c r="AK94" s="13">
        <v>2550</v>
      </c>
      <c r="AM94" s="13">
        <v>48</v>
      </c>
      <c r="BC94" s="13"/>
      <c r="BD94" s="13"/>
      <c r="BE94" s="13"/>
      <c r="BF94" s="13"/>
      <c r="BG94" s="13"/>
      <c r="BH94" s="13"/>
      <c r="BI94" s="13"/>
      <c r="BJ94" s="13"/>
      <c r="BK94" s="13"/>
      <c r="BL94" s="13"/>
      <c r="BM94" s="13"/>
      <c r="BN94" s="13"/>
    </row>
    <row r="95" spans="1:66" x14ac:dyDescent="0.25">
      <c r="A95" s="22">
        <v>93</v>
      </c>
      <c r="B95" s="23">
        <v>456.64003874833145</v>
      </c>
      <c r="C95" s="24">
        <v>1895.5230148159164</v>
      </c>
      <c r="AK95" s="13">
        <v>2550</v>
      </c>
      <c r="AM95" s="13">
        <v>48</v>
      </c>
      <c r="BC95" s="13"/>
      <c r="BD95" s="13"/>
      <c r="BE95" s="13"/>
      <c r="BF95" s="13"/>
      <c r="BG95" s="13"/>
      <c r="BH95" s="13"/>
      <c r="BI95" s="13"/>
      <c r="BJ95" s="13"/>
      <c r="BK95" s="13"/>
      <c r="BL95" s="13"/>
      <c r="BM95" s="13"/>
      <c r="BN95" s="13"/>
    </row>
    <row r="96" spans="1:66" x14ac:dyDescent="0.25">
      <c r="A96" s="22">
        <v>94</v>
      </c>
      <c r="B96" s="23">
        <v>724.42646177105769</v>
      </c>
      <c r="C96" s="24">
        <v>1555.3264942854785</v>
      </c>
      <c r="AK96" s="13">
        <v>2600</v>
      </c>
      <c r="AM96" s="13">
        <v>48</v>
      </c>
      <c r="BC96" s="13"/>
      <c r="BD96" s="13"/>
      <c r="BE96" s="13"/>
      <c r="BF96" s="13"/>
      <c r="BG96" s="13"/>
      <c r="BH96" s="13"/>
      <c r="BI96" s="13"/>
      <c r="BJ96" s="13"/>
      <c r="BK96" s="13"/>
      <c r="BL96" s="13"/>
      <c r="BM96" s="13"/>
      <c r="BN96" s="13"/>
    </row>
    <row r="97" spans="1:66" x14ac:dyDescent="0.25">
      <c r="A97" s="22">
        <v>95</v>
      </c>
      <c r="B97" s="23">
        <v>672.47226209098392</v>
      </c>
      <c r="C97" s="24">
        <v>2138.7780621551019</v>
      </c>
      <c r="AK97" s="13">
        <v>2600</v>
      </c>
      <c r="AM97" s="13">
        <v>26</v>
      </c>
      <c r="BC97" s="13"/>
      <c r="BD97" s="13"/>
      <c r="BE97" s="13"/>
      <c r="BF97" s="13"/>
      <c r="BG97" s="13"/>
      <c r="BH97" s="13"/>
      <c r="BI97" s="13"/>
      <c r="BJ97" s="13"/>
      <c r="BK97" s="13"/>
      <c r="BL97" s="13"/>
      <c r="BM97" s="13"/>
      <c r="BN97" s="13"/>
    </row>
    <row r="98" spans="1:66" x14ac:dyDescent="0.25">
      <c r="A98" s="22">
        <v>96</v>
      </c>
      <c r="B98" s="23">
        <v>552.53873497754205</v>
      </c>
      <c r="C98" s="24">
        <v>1967.9102985381396</v>
      </c>
      <c r="AK98" s="13">
        <v>2650</v>
      </c>
      <c r="AM98" s="13">
        <v>26</v>
      </c>
      <c r="BC98" s="13"/>
      <c r="BD98" s="13"/>
      <c r="BE98" s="13"/>
      <c r="BF98" s="13"/>
      <c r="BG98" s="13"/>
      <c r="BH98" s="13"/>
      <c r="BI98" s="13"/>
      <c r="BJ98" s="13"/>
      <c r="BK98" s="13"/>
      <c r="BL98" s="13"/>
      <c r="BM98" s="13"/>
      <c r="BN98" s="13"/>
    </row>
    <row r="99" spans="1:66" x14ac:dyDescent="0.25">
      <c r="A99" s="22">
        <v>97</v>
      </c>
      <c r="B99" s="23">
        <v>659.74941716803062</v>
      </c>
      <c r="C99" s="24">
        <v>2109.8543844392116</v>
      </c>
      <c r="AK99" s="13">
        <v>2650</v>
      </c>
      <c r="AM99" s="13">
        <v>19</v>
      </c>
      <c r="BC99" s="13"/>
      <c r="BD99" s="13"/>
      <c r="BE99" s="13"/>
      <c r="BF99" s="13"/>
      <c r="BG99" s="13"/>
      <c r="BH99" s="13"/>
      <c r="BI99" s="13"/>
      <c r="BJ99" s="13"/>
      <c r="BK99" s="13"/>
      <c r="BL99" s="13"/>
      <c r="BM99" s="13"/>
      <c r="BN99" s="13"/>
    </row>
    <row r="100" spans="1:66" x14ac:dyDescent="0.25">
      <c r="A100" s="22">
        <v>98</v>
      </c>
      <c r="B100" s="23">
        <v>553.39960828644303</v>
      </c>
      <c r="C100" s="24">
        <v>1612.1092359915003</v>
      </c>
      <c r="AK100" s="13">
        <v>2700</v>
      </c>
      <c r="AM100" s="13">
        <v>19</v>
      </c>
      <c r="BC100" s="13"/>
      <c r="BD100" s="13"/>
      <c r="BE100" s="13"/>
      <c r="BF100" s="13"/>
      <c r="BG100" s="13"/>
      <c r="BH100" s="13"/>
      <c r="BI100" s="13"/>
      <c r="BJ100" s="13"/>
      <c r="BK100" s="13"/>
      <c r="BL100" s="13"/>
      <c r="BM100" s="13"/>
      <c r="BN100" s="13"/>
    </row>
    <row r="101" spans="1:66" x14ac:dyDescent="0.25">
      <c r="A101" s="22">
        <v>99</v>
      </c>
      <c r="B101" s="23">
        <v>575.74252219898153</v>
      </c>
      <c r="C101" s="24">
        <v>1693.914386418397</v>
      </c>
      <c r="AK101" s="13">
        <v>2700</v>
      </c>
      <c r="AM101" s="13">
        <v>21</v>
      </c>
      <c r="BC101" s="13"/>
      <c r="BD101" s="13"/>
      <c r="BE101" s="13"/>
      <c r="BF101" s="13"/>
      <c r="BG101" s="13"/>
      <c r="BH101" s="13"/>
      <c r="BI101" s="13"/>
      <c r="BJ101" s="13"/>
      <c r="BK101" s="13"/>
      <c r="BL101" s="13"/>
      <c r="BM101" s="13"/>
      <c r="BN101" s="13"/>
    </row>
    <row r="102" spans="1:66" x14ac:dyDescent="0.25">
      <c r="A102" s="22">
        <v>100</v>
      </c>
      <c r="B102" s="23">
        <v>609.22746433875182</v>
      </c>
      <c r="C102" s="24">
        <v>1641.5774659084252</v>
      </c>
      <c r="AK102" s="13">
        <v>2750</v>
      </c>
      <c r="AM102" s="13">
        <v>21</v>
      </c>
      <c r="BC102" s="13"/>
      <c r="BD102" s="13"/>
      <c r="BE102" s="13"/>
      <c r="BF102" s="13"/>
      <c r="BG102" s="13"/>
      <c r="BH102" s="13"/>
      <c r="BI102" s="13"/>
      <c r="BJ102" s="13"/>
      <c r="BK102" s="13"/>
      <c r="BL102" s="13"/>
      <c r="BM102" s="13"/>
      <c r="BN102" s="13"/>
    </row>
    <row r="103" spans="1:66" x14ac:dyDescent="0.25">
      <c r="A103" s="55" t="s">
        <v>29</v>
      </c>
      <c r="AK103" s="13">
        <v>2750</v>
      </c>
      <c r="AM103" s="13">
        <v>11</v>
      </c>
    </row>
    <row r="104" spans="1:66" x14ac:dyDescent="0.25">
      <c r="AK104" s="13">
        <v>2800</v>
      </c>
      <c r="AM104" s="13">
        <v>11</v>
      </c>
    </row>
    <row r="105" spans="1:66" x14ac:dyDescent="0.25">
      <c r="AK105" s="13">
        <v>2800</v>
      </c>
      <c r="AM105" s="13">
        <v>8</v>
      </c>
    </row>
    <row r="106" spans="1:66" x14ac:dyDescent="0.25">
      <c r="AK106" s="13">
        <v>2850</v>
      </c>
      <c r="AM106" s="13">
        <v>8</v>
      </c>
    </row>
    <row r="107" spans="1:66" x14ac:dyDescent="0.25">
      <c r="AK107" s="13">
        <v>2850</v>
      </c>
      <c r="AM107" s="13">
        <v>5</v>
      </c>
    </row>
    <row r="108" spans="1:66" x14ac:dyDescent="0.25">
      <c r="AK108" s="13">
        <v>2900</v>
      </c>
      <c r="AM108" s="13">
        <v>5</v>
      </c>
    </row>
    <row r="109" spans="1:66" x14ac:dyDescent="0.25">
      <c r="AK109" s="13">
        <v>2900</v>
      </c>
      <c r="AM109" s="13">
        <v>4</v>
      </c>
    </row>
    <row r="110" spans="1:66" x14ac:dyDescent="0.25">
      <c r="AK110" s="13">
        <v>2950</v>
      </c>
      <c r="AM110" s="13">
        <v>4</v>
      </c>
    </row>
    <row r="111" spans="1:66" x14ac:dyDescent="0.25">
      <c r="AK111" s="13">
        <v>2950</v>
      </c>
      <c r="AM111" s="13">
        <v>3</v>
      </c>
    </row>
    <row r="112" spans="1:66" x14ac:dyDescent="0.25">
      <c r="AK112" s="13">
        <v>3000</v>
      </c>
      <c r="AM112" s="13">
        <v>3</v>
      </c>
    </row>
    <row r="113" spans="37:39" x14ac:dyDescent="0.25">
      <c r="AK113" s="13">
        <v>3000</v>
      </c>
      <c r="AM113" s="13">
        <v>1</v>
      </c>
    </row>
    <row r="114" spans="37:39" x14ac:dyDescent="0.25">
      <c r="AK114" s="13">
        <v>3050</v>
      </c>
      <c r="AM114" s="13">
        <v>1</v>
      </c>
    </row>
    <row r="115" spans="37:39" x14ac:dyDescent="0.25">
      <c r="AK115" s="13">
        <v>3050</v>
      </c>
      <c r="AM115" s="13">
        <v>2</v>
      </c>
    </row>
    <row r="116" spans="37:39" x14ac:dyDescent="0.25">
      <c r="AK116" s="13">
        <v>3100</v>
      </c>
      <c r="AM116" s="13">
        <v>2</v>
      </c>
    </row>
    <row r="117" spans="37:39" x14ac:dyDescent="0.25">
      <c r="AK117" s="13">
        <v>3100</v>
      </c>
      <c r="AM117" s="13">
        <v>3</v>
      </c>
    </row>
    <row r="118" spans="37:39" x14ac:dyDescent="0.25">
      <c r="AK118" s="13">
        <v>3150</v>
      </c>
      <c r="AM118" s="13">
        <v>3</v>
      </c>
    </row>
    <row r="119" spans="37:39" x14ac:dyDescent="0.25">
      <c r="AK119" s="13">
        <v>3150</v>
      </c>
      <c r="AM119" s="13">
        <v>1</v>
      </c>
    </row>
    <row r="120" spans="37:39" x14ac:dyDescent="0.25">
      <c r="AK120" s="13">
        <v>3200</v>
      </c>
      <c r="AM120" s="13">
        <v>1</v>
      </c>
    </row>
    <row r="121" spans="37:39" x14ac:dyDescent="0.25">
      <c r="AK121" s="13">
        <v>3200</v>
      </c>
      <c r="AM121" s="13">
        <v>0</v>
      </c>
    </row>
    <row r="122" spans="37:39" x14ac:dyDescent="0.25">
      <c r="AK122" s="13">
        <v>3250</v>
      </c>
      <c r="AM122" s="13">
        <v>0</v>
      </c>
    </row>
    <row r="123" spans="37:39" x14ac:dyDescent="0.25">
      <c r="AK123" s="13">
        <v>3250</v>
      </c>
      <c r="AM123" s="13">
        <v>1</v>
      </c>
    </row>
    <row r="124" spans="37:39" x14ac:dyDescent="0.25">
      <c r="AK124" s="13">
        <v>3300</v>
      </c>
      <c r="AM124" s="13">
        <v>1</v>
      </c>
    </row>
    <row r="125" spans="37:39" x14ac:dyDescent="0.25">
      <c r="AK125" s="13">
        <v>3300</v>
      </c>
      <c r="AM125" s="13">
        <v>0</v>
      </c>
    </row>
    <row r="126" spans="37:39" x14ac:dyDescent="0.25">
      <c r="AK126" s="13">
        <v>3350</v>
      </c>
      <c r="AM126" s="13">
        <v>0</v>
      </c>
    </row>
    <row r="127" spans="37:39" x14ac:dyDescent="0.25">
      <c r="AK127" s="13">
        <v>3350</v>
      </c>
      <c r="AM127" s="13">
        <v>1</v>
      </c>
    </row>
    <row r="128" spans="37:39" x14ac:dyDescent="0.25">
      <c r="AK128" s="13">
        <v>3400</v>
      </c>
      <c r="AM128" s="13">
        <v>1</v>
      </c>
    </row>
    <row r="129" spans="37:39" x14ac:dyDescent="0.25">
      <c r="AK129" s="13">
        <v>3400</v>
      </c>
      <c r="AM129" s="13">
        <v>0</v>
      </c>
    </row>
  </sheetData>
  <dataConsolidate/>
  <mergeCells count="4">
    <mergeCell ref="F2:G2"/>
    <mergeCell ref="I4:J4"/>
    <mergeCell ref="K4:L4"/>
    <mergeCell ref="M4:N4"/>
  </mergeCells>
  <pageMargins left="0.75" right="0.75" top="1" bottom="1" header="0.5" footer="0.5"/>
  <pageSetup orientation="portrait" horizontalDpi="200" verticalDpi="200"/>
  <headerFooter alignWithMargins="0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BN145"/>
  <sheetViews>
    <sheetView showGridLines="0" workbookViewId="0">
      <selection activeCell="F19" sqref="F19"/>
    </sheetView>
  </sheetViews>
  <sheetFormatPr defaultRowHeight="15.75" x14ac:dyDescent="0.25"/>
  <cols>
    <col min="1" max="1" width="8" style="22" customWidth="1"/>
    <col min="2" max="2" width="10.625" style="11" customWidth="1"/>
    <col min="3" max="3" width="10.625" style="12" customWidth="1"/>
    <col min="4" max="4" width="7.625" style="13" customWidth="1"/>
    <col min="5" max="5" width="7.625" style="14" customWidth="1"/>
    <col min="6" max="6" width="11.625" style="15" customWidth="1"/>
    <col min="7" max="7" width="9" style="14"/>
    <col min="8" max="8" width="6.625" style="14" customWidth="1"/>
    <col min="9" max="14" width="10.125" style="14" customWidth="1"/>
    <col min="15" max="17" width="9" style="14"/>
    <col min="18" max="19" width="9" style="13"/>
    <col min="20" max="20" width="14.25" style="13" customWidth="1"/>
    <col min="21" max="22" width="11.25" style="13" customWidth="1"/>
    <col min="23" max="54" width="9" style="13"/>
    <col min="55" max="256" width="9" style="14"/>
    <col min="257" max="257" width="8" style="14" customWidth="1"/>
    <col min="258" max="259" width="10.625" style="14" customWidth="1"/>
    <col min="260" max="261" width="7.625" style="14" customWidth="1"/>
    <col min="262" max="262" width="11.625" style="14" customWidth="1"/>
    <col min="263" max="263" width="9" style="14"/>
    <col min="264" max="264" width="6.625" style="14" customWidth="1"/>
    <col min="265" max="270" width="10.125" style="14" customWidth="1"/>
    <col min="271" max="275" width="9" style="14"/>
    <col min="276" max="276" width="14.25" style="14" customWidth="1"/>
    <col min="277" max="278" width="11.25" style="14" customWidth="1"/>
    <col min="279" max="512" width="9" style="14"/>
    <col min="513" max="513" width="8" style="14" customWidth="1"/>
    <col min="514" max="515" width="10.625" style="14" customWidth="1"/>
    <col min="516" max="517" width="7.625" style="14" customWidth="1"/>
    <col min="518" max="518" width="11.625" style="14" customWidth="1"/>
    <col min="519" max="519" width="9" style="14"/>
    <col min="520" max="520" width="6.625" style="14" customWidth="1"/>
    <col min="521" max="526" width="10.125" style="14" customWidth="1"/>
    <col min="527" max="531" width="9" style="14"/>
    <col min="532" max="532" width="14.25" style="14" customWidth="1"/>
    <col min="533" max="534" width="11.25" style="14" customWidth="1"/>
    <col min="535" max="768" width="9" style="14"/>
    <col min="769" max="769" width="8" style="14" customWidth="1"/>
    <col min="770" max="771" width="10.625" style="14" customWidth="1"/>
    <col min="772" max="773" width="7.625" style="14" customWidth="1"/>
    <col min="774" max="774" width="11.625" style="14" customWidth="1"/>
    <col min="775" max="775" width="9" style="14"/>
    <col min="776" max="776" width="6.625" style="14" customWidth="1"/>
    <col min="777" max="782" width="10.125" style="14" customWidth="1"/>
    <col min="783" max="787" width="9" style="14"/>
    <col min="788" max="788" width="14.25" style="14" customWidth="1"/>
    <col min="789" max="790" width="11.25" style="14" customWidth="1"/>
    <col min="791" max="1024" width="9" style="14"/>
    <col min="1025" max="1025" width="8" style="14" customWidth="1"/>
    <col min="1026" max="1027" width="10.625" style="14" customWidth="1"/>
    <col min="1028" max="1029" width="7.625" style="14" customWidth="1"/>
    <col min="1030" max="1030" width="11.625" style="14" customWidth="1"/>
    <col min="1031" max="1031" width="9" style="14"/>
    <col min="1032" max="1032" width="6.625" style="14" customWidth="1"/>
    <col min="1033" max="1038" width="10.125" style="14" customWidth="1"/>
    <col min="1039" max="1043" width="9" style="14"/>
    <col min="1044" max="1044" width="14.25" style="14" customWidth="1"/>
    <col min="1045" max="1046" width="11.25" style="14" customWidth="1"/>
    <col min="1047" max="1280" width="9" style="14"/>
    <col min="1281" max="1281" width="8" style="14" customWidth="1"/>
    <col min="1282" max="1283" width="10.625" style="14" customWidth="1"/>
    <col min="1284" max="1285" width="7.625" style="14" customWidth="1"/>
    <col min="1286" max="1286" width="11.625" style="14" customWidth="1"/>
    <col min="1287" max="1287" width="9" style="14"/>
    <col min="1288" max="1288" width="6.625" style="14" customWidth="1"/>
    <col min="1289" max="1294" width="10.125" style="14" customWidth="1"/>
    <col min="1295" max="1299" width="9" style="14"/>
    <col min="1300" max="1300" width="14.25" style="14" customWidth="1"/>
    <col min="1301" max="1302" width="11.25" style="14" customWidth="1"/>
    <col min="1303" max="1536" width="9" style="14"/>
    <col min="1537" max="1537" width="8" style="14" customWidth="1"/>
    <col min="1538" max="1539" width="10.625" style="14" customWidth="1"/>
    <col min="1540" max="1541" width="7.625" style="14" customWidth="1"/>
    <col min="1542" max="1542" width="11.625" style="14" customWidth="1"/>
    <col min="1543" max="1543" width="9" style="14"/>
    <col min="1544" max="1544" width="6.625" style="14" customWidth="1"/>
    <col min="1545" max="1550" width="10.125" style="14" customWidth="1"/>
    <col min="1551" max="1555" width="9" style="14"/>
    <col min="1556" max="1556" width="14.25" style="14" customWidth="1"/>
    <col min="1557" max="1558" width="11.25" style="14" customWidth="1"/>
    <col min="1559" max="1792" width="9" style="14"/>
    <col min="1793" max="1793" width="8" style="14" customWidth="1"/>
    <col min="1794" max="1795" width="10.625" style="14" customWidth="1"/>
    <col min="1796" max="1797" width="7.625" style="14" customWidth="1"/>
    <col min="1798" max="1798" width="11.625" style="14" customWidth="1"/>
    <col min="1799" max="1799" width="9" style="14"/>
    <col min="1800" max="1800" width="6.625" style="14" customWidth="1"/>
    <col min="1801" max="1806" width="10.125" style="14" customWidth="1"/>
    <col min="1807" max="1811" width="9" style="14"/>
    <col min="1812" max="1812" width="14.25" style="14" customWidth="1"/>
    <col min="1813" max="1814" width="11.25" style="14" customWidth="1"/>
    <col min="1815" max="2048" width="9" style="14"/>
    <col min="2049" max="2049" width="8" style="14" customWidth="1"/>
    <col min="2050" max="2051" width="10.625" style="14" customWidth="1"/>
    <col min="2052" max="2053" width="7.625" style="14" customWidth="1"/>
    <col min="2054" max="2054" width="11.625" style="14" customWidth="1"/>
    <col min="2055" max="2055" width="9" style="14"/>
    <col min="2056" max="2056" width="6.625" style="14" customWidth="1"/>
    <col min="2057" max="2062" width="10.125" style="14" customWidth="1"/>
    <col min="2063" max="2067" width="9" style="14"/>
    <col min="2068" max="2068" width="14.25" style="14" customWidth="1"/>
    <col min="2069" max="2070" width="11.25" style="14" customWidth="1"/>
    <col min="2071" max="2304" width="9" style="14"/>
    <col min="2305" max="2305" width="8" style="14" customWidth="1"/>
    <col min="2306" max="2307" width="10.625" style="14" customWidth="1"/>
    <col min="2308" max="2309" width="7.625" style="14" customWidth="1"/>
    <col min="2310" max="2310" width="11.625" style="14" customWidth="1"/>
    <col min="2311" max="2311" width="9" style="14"/>
    <col min="2312" max="2312" width="6.625" style="14" customWidth="1"/>
    <col min="2313" max="2318" width="10.125" style="14" customWidth="1"/>
    <col min="2319" max="2323" width="9" style="14"/>
    <col min="2324" max="2324" width="14.25" style="14" customWidth="1"/>
    <col min="2325" max="2326" width="11.25" style="14" customWidth="1"/>
    <col min="2327" max="2560" width="9" style="14"/>
    <col min="2561" max="2561" width="8" style="14" customWidth="1"/>
    <col min="2562" max="2563" width="10.625" style="14" customWidth="1"/>
    <col min="2564" max="2565" width="7.625" style="14" customWidth="1"/>
    <col min="2566" max="2566" width="11.625" style="14" customWidth="1"/>
    <col min="2567" max="2567" width="9" style="14"/>
    <col min="2568" max="2568" width="6.625" style="14" customWidth="1"/>
    <col min="2569" max="2574" width="10.125" style="14" customWidth="1"/>
    <col min="2575" max="2579" width="9" style="14"/>
    <col min="2580" max="2580" width="14.25" style="14" customWidth="1"/>
    <col min="2581" max="2582" width="11.25" style="14" customWidth="1"/>
    <col min="2583" max="2816" width="9" style="14"/>
    <col min="2817" max="2817" width="8" style="14" customWidth="1"/>
    <col min="2818" max="2819" width="10.625" style="14" customWidth="1"/>
    <col min="2820" max="2821" width="7.625" style="14" customWidth="1"/>
    <col min="2822" max="2822" width="11.625" style="14" customWidth="1"/>
    <col min="2823" max="2823" width="9" style="14"/>
    <col min="2824" max="2824" width="6.625" style="14" customWidth="1"/>
    <col min="2825" max="2830" width="10.125" style="14" customWidth="1"/>
    <col min="2831" max="2835" width="9" style="14"/>
    <col min="2836" max="2836" width="14.25" style="14" customWidth="1"/>
    <col min="2837" max="2838" width="11.25" style="14" customWidth="1"/>
    <col min="2839" max="3072" width="9" style="14"/>
    <col min="3073" max="3073" width="8" style="14" customWidth="1"/>
    <col min="3074" max="3075" width="10.625" style="14" customWidth="1"/>
    <col min="3076" max="3077" width="7.625" style="14" customWidth="1"/>
    <col min="3078" max="3078" width="11.625" style="14" customWidth="1"/>
    <col min="3079" max="3079" width="9" style="14"/>
    <col min="3080" max="3080" width="6.625" style="14" customWidth="1"/>
    <col min="3081" max="3086" width="10.125" style="14" customWidth="1"/>
    <col min="3087" max="3091" width="9" style="14"/>
    <col min="3092" max="3092" width="14.25" style="14" customWidth="1"/>
    <col min="3093" max="3094" width="11.25" style="14" customWidth="1"/>
    <col min="3095" max="3328" width="9" style="14"/>
    <col min="3329" max="3329" width="8" style="14" customWidth="1"/>
    <col min="3330" max="3331" width="10.625" style="14" customWidth="1"/>
    <col min="3332" max="3333" width="7.625" style="14" customWidth="1"/>
    <col min="3334" max="3334" width="11.625" style="14" customWidth="1"/>
    <col min="3335" max="3335" width="9" style="14"/>
    <col min="3336" max="3336" width="6.625" style="14" customWidth="1"/>
    <col min="3337" max="3342" width="10.125" style="14" customWidth="1"/>
    <col min="3343" max="3347" width="9" style="14"/>
    <col min="3348" max="3348" width="14.25" style="14" customWidth="1"/>
    <col min="3349" max="3350" width="11.25" style="14" customWidth="1"/>
    <col min="3351" max="3584" width="9" style="14"/>
    <col min="3585" max="3585" width="8" style="14" customWidth="1"/>
    <col min="3586" max="3587" width="10.625" style="14" customWidth="1"/>
    <col min="3588" max="3589" width="7.625" style="14" customWidth="1"/>
    <col min="3590" max="3590" width="11.625" style="14" customWidth="1"/>
    <col min="3591" max="3591" width="9" style="14"/>
    <col min="3592" max="3592" width="6.625" style="14" customWidth="1"/>
    <col min="3593" max="3598" width="10.125" style="14" customWidth="1"/>
    <col min="3599" max="3603" width="9" style="14"/>
    <col min="3604" max="3604" width="14.25" style="14" customWidth="1"/>
    <col min="3605" max="3606" width="11.25" style="14" customWidth="1"/>
    <col min="3607" max="3840" width="9" style="14"/>
    <col min="3841" max="3841" width="8" style="14" customWidth="1"/>
    <col min="3842" max="3843" width="10.625" style="14" customWidth="1"/>
    <col min="3844" max="3845" width="7.625" style="14" customWidth="1"/>
    <col min="3846" max="3846" width="11.625" style="14" customWidth="1"/>
    <col min="3847" max="3847" width="9" style="14"/>
    <col min="3848" max="3848" width="6.625" style="14" customWidth="1"/>
    <col min="3849" max="3854" width="10.125" style="14" customWidth="1"/>
    <col min="3855" max="3859" width="9" style="14"/>
    <col min="3860" max="3860" width="14.25" style="14" customWidth="1"/>
    <col min="3861" max="3862" width="11.25" style="14" customWidth="1"/>
    <col min="3863" max="4096" width="9" style="14"/>
    <col min="4097" max="4097" width="8" style="14" customWidth="1"/>
    <col min="4098" max="4099" width="10.625" style="14" customWidth="1"/>
    <col min="4100" max="4101" width="7.625" style="14" customWidth="1"/>
    <col min="4102" max="4102" width="11.625" style="14" customWidth="1"/>
    <col min="4103" max="4103" width="9" style="14"/>
    <col min="4104" max="4104" width="6.625" style="14" customWidth="1"/>
    <col min="4105" max="4110" width="10.125" style="14" customWidth="1"/>
    <col min="4111" max="4115" width="9" style="14"/>
    <col min="4116" max="4116" width="14.25" style="14" customWidth="1"/>
    <col min="4117" max="4118" width="11.25" style="14" customWidth="1"/>
    <col min="4119" max="4352" width="9" style="14"/>
    <col min="4353" max="4353" width="8" style="14" customWidth="1"/>
    <col min="4354" max="4355" width="10.625" style="14" customWidth="1"/>
    <col min="4356" max="4357" width="7.625" style="14" customWidth="1"/>
    <col min="4358" max="4358" width="11.625" style="14" customWidth="1"/>
    <col min="4359" max="4359" width="9" style="14"/>
    <col min="4360" max="4360" width="6.625" style="14" customWidth="1"/>
    <col min="4361" max="4366" width="10.125" style="14" customWidth="1"/>
    <col min="4367" max="4371" width="9" style="14"/>
    <col min="4372" max="4372" width="14.25" style="14" customWidth="1"/>
    <col min="4373" max="4374" width="11.25" style="14" customWidth="1"/>
    <col min="4375" max="4608" width="9" style="14"/>
    <col min="4609" max="4609" width="8" style="14" customWidth="1"/>
    <col min="4610" max="4611" width="10.625" style="14" customWidth="1"/>
    <col min="4612" max="4613" width="7.625" style="14" customWidth="1"/>
    <col min="4614" max="4614" width="11.625" style="14" customWidth="1"/>
    <col min="4615" max="4615" width="9" style="14"/>
    <col min="4616" max="4616" width="6.625" style="14" customWidth="1"/>
    <col min="4617" max="4622" width="10.125" style="14" customWidth="1"/>
    <col min="4623" max="4627" width="9" style="14"/>
    <col min="4628" max="4628" width="14.25" style="14" customWidth="1"/>
    <col min="4629" max="4630" width="11.25" style="14" customWidth="1"/>
    <col min="4631" max="4864" width="9" style="14"/>
    <col min="4865" max="4865" width="8" style="14" customWidth="1"/>
    <col min="4866" max="4867" width="10.625" style="14" customWidth="1"/>
    <col min="4868" max="4869" width="7.625" style="14" customWidth="1"/>
    <col min="4870" max="4870" width="11.625" style="14" customWidth="1"/>
    <col min="4871" max="4871" width="9" style="14"/>
    <col min="4872" max="4872" width="6.625" style="14" customWidth="1"/>
    <col min="4873" max="4878" width="10.125" style="14" customWidth="1"/>
    <col min="4879" max="4883" width="9" style="14"/>
    <col min="4884" max="4884" width="14.25" style="14" customWidth="1"/>
    <col min="4885" max="4886" width="11.25" style="14" customWidth="1"/>
    <col min="4887" max="5120" width="9" style="14"/>
    <col min="5121" max="5121" width="8" style="14" customWidth="1"/>
    <col min="5122" max="5123" width="10.625" style="14" customWidth="1"/>
    <col min="5124" max="5125" width="7.625" style="14" customWidth="1"/>
    <col min="5126" max="5126" width="11.625" style="14" customWidth="1"/>
    <col min="5127" max="5127" width="9" style="14"/>
    <col min="5128" max="5128" width="6.625" style="14" customWidth="1"/>
    <col min="5129" max="5134" width="10.125" style="14" customWidth="1"/>
    <col min="5135" max="5139" width="9" style="14"/>
    <col min="5140" max="5140" width="14.25" style="14" customWidth="1"/>
    <col min="5141" max="5142" width="11.25" style="14" customWidth="1"/>
    <col min="5143" max="5376" width="9" style="14"/>
    <col min="5377" max="5377" width="8" style="14" customWidth="1"/>
    <col min="5378" max="5379" width="10.625" style="14" customWidth="1"/>
    <col min="5380" max="5381" width="7.625" style="14" customWidth="1"/>
    <col min="5382" max="5382" width="11.625" style="14" customWidth="1"/>
    <col min="5383" max="5383" width="9" style="14"/>
    <col min="5384" max="5384" width="6.625" style="14" customWidth="1"/>
    <col min="5385" max="5390" width="10.125" style="14" customWidth="1"/>
    <col min="5391" max="5395" width="9" style="14"/>
    <col min="5396" max="5396" width="14.25" style="14" customWidth="1"/>
    <col min="5397" max="5398" width="11.25" style="14" customWidth="1"/>
    <col min="5399" max="5632" width="9" style="14"/>
    <col min="5633" max="5633" width="8" style="14" customWidth="1"/>
    <col min="5634" max="5635" width="10.625" style="14" customWidth="1"/>
    <col min="5636" max="5637" width="7.625" style="14" customWidth="1"/>
    <col min="5638" max="5638" width="11.625" style="14" customWidth="1"/>
    <col min="5639" max="5639" width="9" style="14"/>
    <col min="5640" max="5640" width="6.625" style="14" customWidth="1"/>
    <col min="5641" max="5646" width="10.125" style="14" customWidth="1"/>
    <col min="5647" max="5651" width="9" style="14"/>
    <col min="5652" max="5652" width="14.25" style="14" customWidth="1"/>
    <col min="5653" max="5654" width="11.25" style="14" customWidth="1"/>
    <col min="5655" max="5888" width="9" style="14"/>
    <col min="5889" max="5889" width="8" style="14" customWidth="1"/>
    <col min="5890" max="5891" width="10.625" style="14" customWidth="1"/>
    <col min="5892" max="5893" width="7.625" style="14" customWidth="1"/>
    <col min="5894" max="5894" width="11.625" style="14" customWidth="1"/>
    <col min="5895" max="5895" width="9" style="14"/>
    <col min="5896" max="5896" width="6.625" style="14" customWidth="1"/>
    <col min="5897" max="5902" width="10.125" style="14" customWidth="1"/>
    <col min="5903" max="5907" width="9" style="14"/>
    <col min="5908" max="5908" width="14.25" style="14" customWidth="1"/>
    <col min="5909" max="5910" width="11.25" style="14" customWidth="1"/>
    <col min="5911" max="6144" width="9" style="14"/>
    <col min="6145" max="6145" width="8" style="14" customWidth="1"/>
    <col min="6146" max="6147" width="10.625" style="14" customWidth="1"/>
    <col min="6148" max="6149" width="7.625" style="14" customWidth="1"/>
    <col min="6150" max="6150" width="11.625" style="14" customWidth="1"/>
    <col min="6151" max="6151" width="9" style="14"/>
    <col min="6152" max="6152" width="6.625" style="14" customWidth="1"/>
    <col min="6153" max="6158" width="10.125" style="14" customWidth="1"/>
    <col min="6159" max="6163" width="9" style="14"/>
    <col min="6164" max="6164" width="14.25" style="14" customWidth="1"/>
    <col min="6165" max="6166" width="11.25" style="14" customWidth="1"/>
    <col min="6167" max="6400" width="9" style="14"/>
    <col min="6401" max="6401" width="8" style="14" customWidth="1"/>
    <col min="6402" max="6403" width="10.625" style="14" customWidth="1"/>
    <col min="6404" max="6405" width="7.625" style="14" customWidth="1"/>
    <col min="6406" max="6406" width="11.625" style="14" customWidth="1"/>
    <col min="6407" max="6407" width="9" style="14"/>
    <col min="6408" max="6408" width="6.625" style="14" customWidth="1"/>
    <col min="6409" max="6414" width="10.125" style="14" customWidth="1"/>
    <col min="6415" max="6419" width="9" style="14"/>
    <col min="6420" max="6420" width="14.25" style="14" customWidth="1"/>
    <col min="6421" max="6422" width="11.25" style="14" customWidth="1"/>
    <col min="6423" max="6656" width="9" style="14"/>
    <col min="6657" max="6657" width="8" style="14" customWidth="1"/>
    <col min="6658" max="6659" width="10.625" style="14" customWidth="1"/>
    <col min="6660" max="6661" width="7.625" style="14" customWidth="1"/>
    <col min="6662" max="6662" width="11.625" style="14" customWidth="1"/>
    <col min="6663" max="6663" width="9" style="14"/>
    <col min="6664" max="6664" width="6.625" style="14" customWidth="1"/>
    <col min="6665" max="6670" width="10.125" style="14" customWidth="1"/>
    <col min="6671" max="6675" width="9" style="14"/>
    <col min="6676" max="6676" width="14.25" style="14" customWidth="1"/>
    <col min="6677" max="6678" width="11.25" style="14" customWidth="1"/>
    <col min="6679" max="6912" width="9" style="14"/>
    <col min="6913" max="6913" width="8" style="14" customWidth="1"/>
    <col min="6914" max="6915" width="10.625" style="14" customWidth="1"/>
    <col min="6916" max="6917" width="7.625" style="14" customWidth="1"/>
    <col min="6918" max="6918" width="11.625" style="14" customWidth="1"/>
    <col min="6919" max="6919" width="9" style="14"/>
    <col min="6920" max="6920" width="6.625" style="14" customWidth="1"/>
    <col min="6921" max="6926" width="10.125" style="14" customWidth="1"/>
    <col min="6927" max="6931" width="9" style="14"/>
    <col min="6932" max="6932" width="14.25" style="14" customWidth="1"/>
    <col min="6933" max="6934" width="11.25" style="14" customWidth="1"/>
    <col min="6935" max="7168" width="9" style="14"/>
    <col min="7169" max="7169" width="8" style="14" customWidth="1"/>
    <col min="7170" max="7171" width="10.625" style="14" customWidth="1"/>
    <col min="7172" max="7173" width="7.625" style="14" customWidth="1"/>
    <col min="7174" max="7174" width="11.625" style="14" customWidth="1"/>
    <col min="7175" max="7175" width="9" style="14"/>
    <col min="7176" max="7176" width="6.625" style="14" customWidth="1"/>
    <col min="7177" max="7182" width="10.125" style="14" customWidth="1"/>
    <col min="7183" max="7187" width="9" style="14"/>
    <col min="7188" max="7188" width="14.25" style="14" customWidth="1"/>
    <col min="7189" max="7190" width="11.25" style="14" customWidth="1"/>
    <col min="7191" max="7424" width="9" style="14"/>
    <col min="7425" max="7425" width="8" style="14" customWidth="1"/>
    <col min="7426" max="7427" width="10.625" style="14" customWidth="1"/>
    <col min="7428" max="7429" width="7.625" style="14" customWidth="1"/>
    <col min="7430" max="7430" width="11.625" style="14" customWidth="1"/>
    <col min="7431" max="7431" width="9" style="14"/>
    <col min="7432" max="7432" width="6.625" style="14" customWidth="1"/>
    <col min="7433" max="7438" width="10.125" style="14" customWidth="1"/>
    <col min="7439" max="7443" width="9" style="14"/>
    <col min="7444" max="7444" width="14.25" style="14" customWidth="1"/>
    <col min="7445" max="7446" width="11.25" style="14" customWidth="1"/>
    <col min="7447" max="7680" width="9" style="14"/>
    <col min="7681" max="7681" width="8" style="14" customWidth="1"/>
    <col min="7682" max="7683" width="10.625" style="14" customWidth="1"/>
    <col min="7684" max="7685" width="7.625" style="14" customWidth="1"/>
    <col min="7686" max="7686" width="11.625" style="14" customWidth="1"/>
    <col min="7687" max="7687" width="9" style="14"/>
    <col min="7688" max="7688" width="6.625" style="14" customWidth="1"/>
    <col min="7689" max="7694" width="10.125" style="14" customWidth="1"/>
    <col min="7695" max="7699" width="9" style="14"/>
    <col min="7700" max="7700" width="14.25" style="14" customWidth="1"/>
    <col min="7701" max="7702" width="11.25" style="14" customWidth="1"/>
    <col min="7703" max="7936" width="9" style="14"/>
    <col min="7937" max="7937" width="8" style="14" customWidth="1"/>
    <col min="7938" max="7939" width="10.625" style="14" customWidth="1"/>
    <col min="7940" max="7941" width="7.625" style="14" customWidth="1"/>
    <col min="7942" max="7942" width="11.625" style="14" customWidth="1"/>
    <col min="7943" max="7943" width="9" style="14"/>
    <col min="7944" max="7944" width="6.625" style="14" customWidth="1"/>
    <col min="7945" max="7950" width="10.125" style="14" customWidth="1"/>
    <col min="7951" max="7955" width="9" style="14"/>
    <col min="7956" max="7956" width="14.25" style="14" customWidth="1"/>
    <col min="7957" max="7958" width="11.25" style="14" customWidth="1"/>
    <col min="7959" max="8192" width="9" style="14"/>
    <col min="8193" max="8193" width="8" style="14" customWidth="1"/>
    <col min="8194" max="8195" width="10.625" style="14" customWidth="1"/>
    <col min="8196" max="8197" width="7.625" style="14" customWidth="1"/>
    <col min="8198" max="8198" width="11.625" style="14" customWidth="1"/>
    <col min="8199" max="8199" width="9" style="14"/>
    <col min="8200" max="8200" width="6.625" style="14" customWidth="1"/>
    <col min="8201" max="8206" width="10.125" style="14" customWidth="1"/>
    <col min="8207" max="8211" width="9" style="14"/>
    <col min="8212" max="8212" width="14.25" style="14" customWidth="1"/>
    <col min="8213" max="8214" width="11.25" style="14" customWidth="1"/>
    <col min="8215" max="8448" width="9" style="14"/>
    <col min="8449" max="8449" width="8" style="14" customWidth="1"/>
    <col min="8450" max="8451" width="10.625" style="14" customWidth="1"/>
    <col min="8452" max="8453" width="7.625" style="14" customWidth="1"/>
    <col min="8454" max="8454" width="11.625" style="14" customWidth="1"/>
    <col min="8455" max="8455" width="9" style="14"/>
    <col min="8456" max="8456" width="6.625" style="14" customWidth="1"/>
    <col min="8457" max="8462" width="10.125" style="14" customWidth="1"/>
    <col min="8463" max="8467" width="9" style="14"/>
    <col min="8468" max="8468" width="14.25" style="14" customWidth="1"/>
    <col min="8469" max="8470" width="11.25" style="14" customWidth="1"/>
    <col min="8471" max="8704" width="9" style="14"/>
    <col min="8705" max="8705" width="8" style="14" customWidth="1"/>
    <col min="8706" max="8707" width="10.625" style="14" customWidth="1"/>
    <col min="8708" max="8709" width="7.625" style="14" customWidth="1"/>
    <col min="8710" max="8710" width="11.625" style="14" customWidth="1"/>
    <col min="8711" max="8711" width="9" style="14"/>
    <col min="8712" max="8712" width="6.625" style="14" customWidth="1"/>
    <col min="8713" max="8718" width="10.125" style="14" customWidth="1"/>
    <col min="8719" max="8723" width="9" style="14"/>
    <col min="8724" max="8724" width="14.25" style="14" customWidth="1"/>
    <col min="8725" max="8726" width="11.25" style="14" customWidth="1"/>
    <col min="8727" max="8960" width="9" style="14"/>
    <col min="8961" max="8961" width="8" style="14" customWidth="1"/>
    <col min="8962" max="8963" width="10.625" style="14" customWidth="1"/>
    <col min="8964" max="8965" width="7.625" style="14" customWidth="1"/>
    <col min="8966" max="8966" width="11.625" style="14" customWidth="1"/>
    <col min="8967" max="8967" width="9" style="14"/>
    <col min="8968" max="8968" width="6.625" style="14" customWidth="1"/>
    <col min="8969" max="8974" width="10.125" style="14" customWidth="1"/>
    <col min="8975" max="8979" width="9" style="14"/>
    <col min="8980" max="8980" width="14.25" style="14" customWidth="1"/>
    <col min="8981" max="8982" width="11.25" style="14" customWidth="1"/>
    <col min="8983" max="9216" width="9" style="14"/>
    <col min="9217" max="9217" width="8" style="14" customWidth="1"/>
    <col min="9218" max="9219" width="10.625" style="14" customWidth="1"/>
    <col min="9220" max="9221" width="7.625" style="14" customWidth="1"/>
    <col min="9222" max="9222" width="11.625" style="14" customWidth="1"/>
    <col min="9223" max="9223" width="9" style="14"/>
    <col min="9224" max="9224" width="6.625" style="14" customWidth="1"/>
    <col min="9225" max="9230" width="10.125" style="14" customWidth="1"/>
    <col min="9231" max="9235" width="9" style="14"/>
    <col min="9236" max="9236" width="14.25" style="14" customWidth="1"/>
    <col min="9237" max="9238" width="11.25" style="14" customWidth="1"/>
    <col min="9239" max="9472" width="9" style="14"/>
    <col min="9473" max="9473" width="8" style="14" customWidth="1"/>
    <col min="9474" max="9475" width="10.625" style="14" customWidth="1"/>
    <col min="9476" max="9477" width="7.625" style="14" customWidth="1"/>
    <col min="9478" max="9478" width="11.625" style="14" customWidth="1"/>
    <col min="9479" max="9479" width="9" style="14"/>
    <col min="9480" max="9480" width="6.625" style="14" customWidth="1"/>
    <col min="9481" max="9486" width="10.125" style="14" customWidth="1"/>
    <col min="9487" max="9491" width="9" style="14"/>
    <col min="9492" max="9492" width="14.25" style="14" customWidth="1"/>
    <col min="9493" max="9494" width="11.25" style="14" customWidth="1"/>
    <col min="9495" max="9728" width="9" style="14"/>
    <col min="9729" max="9729" width="8" style="14" customWidth="1"/>
    <col min="9730" max="9731" width="10.625" style="14" customWidth="1"/>
    <col min="9732" max="9733" width="7.625" style="14" customWidth="1"/>
    <col min="9734" max="9734" width="11.625" style="14" customWidth="1"/>
    <col min="9735" max="9735" width="9" style="14"/>
    <col min="9736" max="9736" width="6.625" style="14" customWidth="1"/>
    <col min="9737" max="9742" width="10.125" style="14" customWidth="1"/>
    <col min="9743" max="9747" width="9" style="14"/>
    <col min="9748" max="9748" width="14.25" style="14" customWidth="1"/>
    <col min="9749" max="9750" width="11.25" style="14" customWidth="1"/>
    <col min="9751" max="9984" width="9" style="14"/>
    <col min="9985" max="9985" width="8" style="14" customWidth="1"/>
    <col min="9986" max="9987" width="10.625" style="14" customWidth="1"/>
    <col min="9988" max="9989" width="7.625" style="14" customWidth="1"/>
    <col min="9990" max="9990" width="11.625" style="14" customWidth="1"/>
    <col min="9991" max="9991" width="9" style="14"/>
    <col min="9992" max="9992" width="6.625" style="14" customWidth="1"/>
    <col min="9993" max="9998" width="10.125" style="14" customWidth="1"/>
    <col min="9999" max="10003" width="9" style="14"/>
    <col min="10004" max="10004" width="14.25" style="14" customWidth="1"/>
    <col min="10005" max="10006" width="11.25" style="14" customWidth="1"/>
    <col min="10007" max="10240" width="9" style="14"/>
    <col min="10241" max="10241" width="8" style="14" customWidth="1"/>
    <col min="10242" max="10243" width="10.625" style="14" customWidth="1"/>
    <col min="10244" max="10245" width="7.625" style="14" customWidth="1"/>
    <col min="10246" max="10246" width="11.625" style="14" customWidth="1"/>
    <col min="10247" max="10247" width="9" style="14"/>
    <col min="10248" max="10248" width="6.625" style="14" customWidth="1"/>
    <col min="10249" max="10254" width="10.125" style="14" customWidth="1"/>
    <col min="10255" max="10259" width="9" style="14"/>
    <col min="10260" max="10260" width="14.25" style="14" customWidth="1"/>
    <col min="10261" max="10262" width="11.25" style="14" customWidth="1"/>
    <col min="10263" max="10496" width="9" style="14"/>
    <col min="10497" max="10497" width="8" style="14" customWidth="1"/>
    <col min="10498" max="10499" width="10.625" style="14" customWidth="1"/>
    <col min="10500" max="10501" width="7.625" style="14" customWidth="1"/>
    <col min="10502" max="10502" width="11.625" style="14" customWidth="1"/>
    <col min="10503" max="10503" width="9" style="14"/>
    <col min="10504" max="10504" width="6.625" style="14" customWidth="1"/>
    <col min="10505" max="10510" width="10.125" style="14" customWidth="1"/>
    <col min="10511" max="10515" width="9" style="14"/>
    <col min="10516" max="10516" width="14.25" style="14" customWidth="1"/>
    <col min="10517" max="10518" width="11.25" style="14" customWidth="1"/>
    <col min="10519" max="10752" width="9" style="14"/>
    <col min="10753" max="10753" width="8" style="14" customWidth="1"/>
    <col min="10754" max="10755" width="10.625" style="14" customWidth="1"/>
    <col min="10756" max="10757" width="7.625" style="14" customWidth="1"/>
    <col min="10758" max="10758" width="11.625" style="14" customWidth="1"/>
    <col min="10759" max="10759" width="9" style="14"/>
    <col min="10760" max="10760" width="6.625" style="14" customWidth="1"/>
    <col min="10761" max="10766" width="10.125" style="14" customWidth="1"/>
    <col min="10767" max="10771" width="9" style="14"/>
    <col min="10772" max="10772" width="14.25" style="14" customWidth="1"/>
    <col min="10773" max="10774" width="11.25" style="14" customWidth="1"/>
    <col min="10775" max="11008" width="9" style="14"/>
    <col min="11009" max="11009" width="8" style="14" customWidth="1"/>
    <col min="11010" max="11011" width="10.625" style="14" customWidth="1"/>
    <col min="11012" max="11013" width="7.625" style="14" customWidth="1"/>
    <col min="11014" max="11014" width="11.625" style="14" customWidth="1"/>
    <col min="11015" max="11015" width="9" style="14"/>
    <col min="11016" max="11016" width="6.625" style="14" customWidth="1"/>
    <col min="11017" max="11022" width="10.125" style="14" customWidth="1"/>
    <col min="11023" max="11027" width="9" style="14"/>
    <col min="11028" max="11028" width="14.25" style="14" customWidth="1"/>
    <col min="11029" max="11030" width="11.25" style="14" customWidth="1"/>
    <col min="11031" max="11264" width="9" style="14"/>
    <col min="11265" max="11265" width="8" style="14" customWidth="1"/>
    <col min="11266" max="11267" width="10.625" style="14" customWidth="1"/>
    <col min="11268" max="11269" width="7.625" style="14" customWidth="1"/>
    <col min="11270" max="11270" width="11.625" style="14" customWidth="1"/>
    <col min="11271" max="11271" width="9" style="14"/>
    <col min="11272" max="11272" width="6.625" style="14" customWidth="1"/>
    <col min="11273" max="11278" width="10.125" style="14" customWidth="1"/>
    <col min="11279" max="11283" width="9" style="14"/>
    <col min="11284" max="11284" width="14.25" style="14" customWidth="1"/>
    <col min="11285" max="11286" width="11.25" style="14" customWidth="1"/>
    <col min="11287" max="11520" width="9" style="14"/>
    <col min="11521" max="11521" width="8" style="14" customWidth="1"/>
    <col min="11522" max="11523" width="10.625" style="14" customWidth="1"/>
    <col min="11524" max="11525" width="7.625" style="14" customWidth="1"/>
    <col min="11526" max="11526" width="11.625" style="14" customWidth="1"/>
    <col min="11527" max="11527" width="9" style="14"/>
    <col min="11528" max="11528" width="6.625" style="14" customWidth="1"/>
    <col min="11529" max="11534" width="10.125" style="14" customWidth="1"/>
    <col min="11535" max="11539" width="9" style="14"/>
    <col min="11540" max="11540" width="14.25" style="14" customWidth="1"/>
    <col min="11541" max="11542" width="11.25" style="14" customWidth="1"/>
    <col min="11543" max="11776" width="9" style="14"/>
    <col min="11777" max="11777" width="8" style="14" customWidth="1"/>
    <col min="11778" max="11779" width="10.625" style="14" customWidth="1"/>
    <col min="11780" max="11781" width="7.625" style="14" customWidth="1"/>
    <col min="11782" max="11782" width="11.625" style="14" customWidth="1"/>
    <col min="11783" max="11783" width="9" style="14"/>
    <col min="11784" max="11784" width="6.625" style="14" customWidth="1"/>
    <col min="11785" max="11790" width="10.125" style="14" customWidth="1"/>
    <col min="11791" max="11795" width="9" style="14"/>
    <col min="11796" max="11796" width="14.25" style="14" customWidth="1"/>
    <col min="11797" max="11798" width="11.25" style="14" customWidth="1"/>
    <col min="11799" max="12032" width="9" style="14"/>
    <col min="12033" max="12033" width="8" style="14" customWidth="1"/>
    <col min="12034" max="12035" width="10.625" style="14" customWidth="1"/>
    <col min="12036" max="12037" width="7.625" style="14" customWidth="1"/>
    <col min="12038" max="12038" width="11.625" style="14" customWidth="1"/>
    <col min="12039" max="12039" width="9" style="14"/>
    <col min="12040" max="12040" width="6.625" style="14" customWidth="1"/>
    <col min="12041" max="12046" width="10.125" style="14" customWidth="1"/>
    <col min="12047" max="12051" width="9" style="14"/>
    <col min="12052" max="12052" width="14.25" style="14" customWidth="1"/>
    <col min="12053" max="12054" width="11.25" style="14" customWidth="1"/>
    <col min="12055" max="12288" width="9" style="14"/>
    <col min="12289" max="12289" width="8" style="14" customWidth="1"/>
    <col min="12290" max="12291" width="10.625" style="14" customWidth="1"/>
    <col min="12292" max="12293" width="7.625" style="14" customWidth="1"/>
    <col min="12294" max="12294" width="11.625" style="14" customWidth="1"/>
    <col min="12295" max="12295" width="9" style="14"/>
    <col min="12296" max="12296" width="6.625" style="14" customWidth="1"/>
    <col min="12297" max="12302" width="10.125" style="14" customWidth="1"/>
    <col min="12303" max="12307" width="9" style="14"/>
    <col min="12308" max="12308" width="14.25" style="14" customWidth="1"/>
    <col min="12309" max="12310" width="11.25" style="14" customWidth="1"/>
    <col min="12311" max="12544" width="9" style="14"/>
    <col min="12545" max="12545" width="8" style="14" customWidth="1"/>
    <col min="12546" max="12547" width="10.625" style="14" customWidth="1"/>
    <col min="12548" max="12549" width="7.625" style="14" customWidth="1"/>
    <col min="12550" max="12550" width="11.625" style="14" customWidth="1"/>
    <col min="12551" max="12551" width="9" style="14"/>
    <col min="12552" max="12552" width="6.625" style="14" customWidth="1"/>
    <col min="12553" max="12558" width="10.125" style="14" customWidth="1"/>
    <col min="12559" max="12563" width="9" style="14"/>
    <col min="12564" max="12564" width="14.25" style="14" customWidth="1"/>
    <col min="12565" max="12566" width="11.25" style="14" customWidth="1"/>
    <col min="12567" max="12800" width="9" style="14"/>
    <col min="12801" max="12801" width="8" style="14" customWidth="1"/>
    <col min="12802" max="12803" width="10.625" style="14" customWidth="1"/>
    <col min="12804" max="12805" width="7.625" style="14" customWidth="1"/>
    <col min="12806" max="12806" width="11.625" style="14" customWidth="1"/>
    <col min="12807" max="12807" width="9" style="14"/>
    <col min="12808" max="12808" width="6.625" style="14" customWidth="1"/>
    <col min="12809" max="12814" width="10.125" style="14" customWidth="1"/>
    <col min="12815" max="12819" width="9" style="14"/>
    <col min="12820" max="12820" width="14.25" style="14" customWidth="1"/>
    <col min="12821" max="12822" width="11.25" style="14" customWidth="1"/>
    <col min="12823" max="13056" width="9" style="14"/>
    <col min="13057" max="13057" width="8" style="14" customWidth="1"/>
    <col min="13058" max="13059" width="10.625" style="14" customWidth="1"/>
    <col min="13060" max="13061" width="7.625" style="14" customWidth="1"/>
    <col min="13062" max="13062" width="11.625" style="14" customWidth="1"/>
    <col min="13063" max="13063" width="9" style="14"/>
    <col min="13064" max="13064" width="6.625" style="14" customWidth="1"/>
    <col min="13065" max="13070" width="10.125" style="14" customWidth="1"/>
    <col min="13071" max="13075" width="9" style="14"/>
    <col min="13076" max="13076" width="14.25" style="14" customWidth="1"/>
    <col min="13077" max="13078" width="11.25" style="14" customWidth="1"/>
    <col min="13079" max="13312" width="9" style="14"/>
    <col min="13313" max="13313" width="8" style="14" customWidth="1"/>
    <col min="13314" max="13315" width="10.625" style="14" customWidth="1"/>
    <col min="13316" max="13317" width="7.625" style="14" customWidth="1"/>
    <col min="13318" max="13318" width="11.625" style="14" customWidth="1"/>
    <col min="13319" max="13319" width="9" style="14"/>
    <col min="13320" max="13320" width="6.625" style="14" customWidth="1"/>
    <col min="13321" max="13326" width="10.125" style="14" customWidth="1"/>
    <col min="13327" max="13331" width="9" style="14"/>
    <col min="13332" max="13332" width="14.25" style="14" customWidth="1"/>
    <col min="13333" max="13334" width="11.25" style="14" customWidth="1"/>
    <col min="13335" max="13568" width="9" style="14"/>
    <col min="13569" max="13569" width="8" style="14" customWidth="1"/>
    <col min="13570" max="13571" width="10.625" style="14" customWidth="1"/>
    <col min="13572" max="13573" width="7.625" style="14" customWidth="1"/>
    <col min="13574" max="13574" width="11.625" style="14" customWidth="1"/>
    <col min="13575" max="13575" width="9" style="14"/>
    <col min="13576" max="13576" width="6.625" style="14" customWidth="1"/>
    <col min="13577" max="13582" width="10.125" style="14" customWidth="1"/>
    <col min="13583" max="13587" width="9" style="14"/>
    <col min="13588" max="13588" width="14.25" style="14" customWidth="1"/>
    <col min="13589" max="13590" width="11.25" style="14" customWidth="1"/>
    <col min="13591" max="13824" width="9" style="14"/>
    <col min="13825" max="13825" width="8" style="14" customWidth="1"/>
    <col min="13826" max="13827" width="10.625" style="14" customWidth="1"/>
    <col min="13828" max="13829" width="7.625" style="14" customWidth="1"/>
    <col min="13830" max="13830" width="11.625" style="14" customWidth="1"/>
    <col min="13831" max="13831" width="9" style="14"/>
    <col min="13832" max="13832" width="6.625" style="14" customWidth="1"/>
    <col min="13833" max="13838" width="10.125" style="14" customWidth="1"/>
    <col min="13839" max="13843" width="9" style="14"/>
    <col min="13844" max="13844" width="14.25" style="14" customWidth="1"/>
    <col min="13845" max="13846" width="11.25" style="14" customWidth="1"/>
    <col min="13847" max="14080" width="9" style="14"/>
    <col min="14081" max="14081" width="8" style="14" customWidth="1"/>
    <col min="14082" max="14083" width="10.625" style="14" customWidth="1"/>
    <col min="14084" max="14085" width="7.625" style="14" customWidth="1"/>
    <col min="14086" max="14086" width="11.625" style="14" customWidth="1"/>
    <col min="14087" max="14087" width="9" style="14"/>
    <col min="14088" max="14088" width="6.625" style="14" customWidth="1"/>
    <col min="14089" max="14094" width="10.125" style="14" customWidth="1"/>
    <col min="14095" max="14099" width="9" style="14"/>
    <col min="14100" max="14100" width="14.25" style="14" customWidth="1"/>
    <col min="14101" max="14102" width="11.25" style="14" customWidth="1"/>
    <col min="14103" max="14336" width="9" style="14"/>
    <col min="14337" max="14337" width="8" style="14" customWidth="1"/>
    <col min="14338" max="14339" width="10.625" style="14" customWidth="1"/>
    <col min="14340" max="14341" width="7.625" style="14" customWidth="1"/>
    <col min="14342" max="14342" width="11.625" style="14" customWidth="1"/>
    <col min="14343" max="14343" width="9" style="14"/>
    <col min="14344" max="14344" width="6.625" style="14" customWidth="1"/>
    <col min="14345" max="14350" width="10.125" style="14" customWidth="1"/>
    <col min="14351" max="14355" width="9" style="14"/>
    <col min="14356" max="14356" width="14.25" style="14" customWidth="1"/>
    <col min="14357" max="14358" width="11.25" style="14" customWidth="1"/>
    <col min="14359" max="14592" width="9" style="14"/>
    <col min="14593" max="14593" width="8" style="14" customWidth="1"/>
    <col min="14594" max="14595" width="10.625" style="14" customWidth="1"/>
    <col min="14596" max="14597" width="7.625" style="14" customWidth="1"/>
    <col min="14598" max="14598" width="11.625" style="14" customWidth="1"/>
    <col min="14599" max="14599" width="9" style="14"/>
    <col min="14600" max="14600" width="6.625" style="14" customWidth="1"/>
    <col min="14601" max="14606" width="10.125" style="14" customWidth="1"/>
    <col min="14607" max="14611" width="9" style="14"/>
    <col min="14612" max="14612" width="14.25" style="14" customWidth="1"/>
    <col min="14613" max="14614" width="11.25" style="14" customWidth="1"/>
    <col min="14615" max="14848" width="9" style="14"/>
    <col min="14849" max="14849" width="8" style="14" customWidth="1"/>
    <col min="14850" max="14851" width="10.625" style="14" customWidth="1"/>
    <col min="14852" max="14853" width="7.625" style="14" customWidth="1"/>
    <col min="14854" max="14854" width="11.625" style="14" customWidth="1"/>
    <col min="14855" max="14855" width="9" style="14"/>
    <col min="14856" max="14856" width="6.625" style="14" customWidth="1"/>
    <col min="14857" max="14862" width="10.125" style="14" customWidth="1"/>
    <col min="14863" max="14867" width="9" style="14"/>
    <col min="14868" max="14868" width="14.25" style="14" customWidth="1"/>
    <col min="14869" max="14870" width="11.25" style="14" customWidth="1"/>
    <col min="14871" max="15104" width="9" style="14"/>
    <col min="15105" max="15105" width="8" style="14" customWidth="1"/>
    <col min="15106" max="15107" width="10.625" style="14" customWidth="1"/>
    <col min="15108" max="15109" width="7.625" style="14" customWidth="1"/>
    <col min="15110" max="15110" width="11.625" style="14" customWidth="1"/>
    <col min="15111" max="15111" width="9" style="14"/>
    <col min="15112" max="15112" width="6.625" style="14" customWidth="1"/>
    <col min="15113" max="15118" width="10.125" style="14" customWidth="1"/>
    <col min="15119" max="15123" width="9" style="14"/>
    <col min="15124" max="15124" width="14.25" style="14" customWidth="1"/>
    <col min="15125" max="15126" width="11.25" style="14" customWidth="1"/>
    <col min="15127" max="15360" width="9" style="14"/>
    <col min="15361" max="15361" width="8" style="14" customWidth="1"/>
    <col min="15362" max="15363" width="10.625" style="14" customWidth="1"/>
    <col min="15364" max="15365" width="7.625" style="14" customWidth="1"/>
    <col min="15366" max="15366" width="11.625" style="14" customWidth="1"/>
    <col min="15367" max="15367" width="9" style="14"/>
    <col min="15368" max="15368" width="6.625" style="14" customWidth="1"/>
    <col min="15369" max="15374" width="10.125" style="14" customWidth="1"/>
    <col min="15375" max="15379" width="9" style="14"/>
    <col min="15380" max="15380" width="14.25" style="14" customWidth="1"/>
    <col min="15381" max="15382" width="11.25" style="14" customWidth="1"/>
    <col min="15383" max="15616" width="9" style="14"/>
    <col min="15617" max="15617" width="8" style="14" customWidth="1"/>
    <col min="15618" max="15619" width="10.625" style="14" customWidth="1"/>
    <col min="15620" max="15621" width="7.625" style="14" customWidth="1"/>
    <col min="15622" max="15622" width="11.625" style="14" customWidth="1"/>
    <col min="15623" max="15623" width="9" style="14"/>
    <col min="15624" max="15624" width="6.625" style="14" customWidth="1"/>
    <col min="15625" max="15630" width="10.125" style="14" customWidth="1"/>
    <col min="15631" max="15635" width="9" style="14"/>
    <col min="15636" max="15636" width="14.25" style="14" customWidth="1"/>
    <col min="15637" max="15638" width="11.25" style="14" customWidth="1"/>
    <col min="15639" max="15872" width="9" style="14"/>
    <col min="15873" max="15873" width="8" style="14" customWidth="1"/>
    <col min="15874" max="15875" width="10.625" style="14" customWidth="1"/>
    <col min="15876" max="15877" width="7.625" style="14" customWidth="1"/>
    <col min="15878" max="15878" width="11.625" style="14" customWidth="1"/>
    <col min="15879" max="15879" width="9" style="14"/>
    <col min="15880" max="15880" width="6.625" style="14" customWidth="1"/>
    <col min="15881" max="15886" width="10.125" style="14" customWidth="1"/>
    <col min="15887" max="15891" width="9" style="14"/>
    <col min="15892" max="15892" width="14.25" style="14" customWidth="1"/>
    <col min="15893" max="15894" width="11.25" style="14" customWidth="1"/>
    <col min="15895" max="16128" width="9" style="14"/>
    <col min="16129" max="16129" width="8" style="14" customWidth="1"/>
    <col min="16130" max="16131" width="10.625" style="14" customWidth="1"/>
    <col min="16132" max="16133" width="7.625" style="14" customWidth="1"/>
    <col min="16134" max="16134" width="11.625" style="14" customWidth="1"/>
    <col min="16135" max="16135" width="9" style="14"/>
    <col min="16136" max="16136" width="6.625" style="14" customWidth="1"/>
    <col min="16137" max="16142" width="10.125" style="14" customWidth="1"/>
    <col min="16143" max="16147" width="9" style="14"/>
    <col min="16148" max="16148" width="14.25" style="14" customWidth="1"/>
    <col min="16149" max="16150" width="11.25" style="14" customWidth="1"/>
    <col min="16151" max="16384" width="9" style="14"/>
  </cols>
  <sheetData>
    <row r="1" spans="1:66" ht="31.5" thickBot="1" x14ac:dyDescent="0.5">
      <c r="A1" s="10" t="s">
        <v>19</v>
      </c>
      <c r="I1" s="13"/>
      <c r="J1" s="13"/>
      <c r="K1" s="13"/>
      <c r="L1" s="13"/>
      <c r="M1" s="13"/>
      <c r="N1" s="13"/>
      <c r="O1" s="13"/>
      <c r="Q1" s="13"/>
      <c r="AH1" s="16"/>
      <c r="AI1" s="16"/>
      <c r="AJ1" s="16"/>
      <c r="AK1" s="16"/>
      <c r="AL1" s="16" t="s">
        <v>58</v>
      </c>
      <c r="AM1" s="58" t="s">
        <v>59</v>
      </c>
      <c r="AN1" s="16"/>
      <c r="BC1" s="13"/>
      <c r="BD1" s="13"/>
      <c r="BE1" s="13"/>
      <c r="BF1" s="13"/>
      <c r="BG1" s="13"/>
      <c r="BH1" s="13"/>
      <c r="BI1" s="13"/>
      <c r="BJ1" s="13"/>
      <c r="BK1" s="13"/>
      <c r="BL1" s="13"/>
      <c r="BM1" s="13"/>
      <c r="BN1" s="13"/>
    </row>
    <row r="2" spans="1:66" s="20" customFormat="1" ht="39.75" customHeight="1" thickBot="1" x14ac:dyDescent="0.35">
      <c r="A2" s="17" t="s">
        <v>20</v>
      </c>
      <c r="B2" s="18" t="s">
        <v>58</v>
      </c>
      <c r="C2" s="57" t="s">
        <v>59</v>
      </c>
      <c r="D2" s="13"/>
      <c r="E2" s="19"/>
      <c r="F2" s="59" t="s">
        <v>21</v>
      </c>
      <c r="G2" s="60"/>
      <c r="I2" s="21"/>
      <c r="J2" s="21"/>
      <c r="K2" s="21"/>
      <c r="L2" s="21"/>
      <c r="M2" s="21"/>
      <c r="N2" s="21"/>
      <c r="O2" s="21"/>
      <c r="Q2" s="21"/>
      <c r="R2" s="13"/>
      <c r="S2" s="13"/>
      <c r="T2" s="13"/>
      <c r="U2" s="13"/>
      <c r="V2" s="13"/>
      <c r="W2" s="21"/>
      <c r="X2" s="21"/>
      <c r="Y2" s="13"/>
      <c r="Z2" s="13"/>
      <c r="AA2" s="13"/>
      <c r="AB2" s="13"/>
      <c r="AC2" s="13"/>
      <c r="AD2" s="13"/>
      <c r="AE2" s="13"/>
      <c r="AF2" s="13"/>
      <c r="AG2" s="13"/>
      <c r="AH2" s="16">
        <v>200</v>
      </c>
      <c r="AI2" s="16"/>
      <c r="AJ2" s="16"/>
      <c r="AK2" s="16">
        <v>200</v>
      </c>
      <c r="AL2" s="16">
        <v>0</v>
      </c>
      <c r="AM2" s="16">
        <v>0</v>
      </c>
      <c r="AN2" s="16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21"/>
      <c r="BD2" s="21"/>
      <c r="BE2" s="21"/>
      <c r="BF2" s="21"/>
      <c r="BG2" s="21"/>
      <c r="BH2" s="21"/>
      <c r="BI2" s="21"/>
      <c r="BJ2" s="21"/>
      <c r="BK2" s="21"/>
      <c r="BL2" s="21"/>
      <c r="BM2" s="21"/>
      <c r="BN2" s="21"/>
    </row>
    <row r="3" spans="1:66" ht="16.5" thickBot="1" x14ac:dyDescent="0.3">
      <c r="A3" s="22">
        <v>1</v>
      </c>
      <c r="B3" s="23">
        <v>1041.012839247539</v>
      </c>
      <c r="C3" s="24">
        <v>454.99210196266705</v>
      </c>
      <c r="E3" s="25"/>
      <c r="F3" s="26">
        <v>10000</v>
      </c>
      <c r="G3" s="27" t="s">
        <v>22</v>
      </c>
      <c r="AH3" s="16">
        <v>225</v>
      </c>
      <c r="AI3" s="16"/>
      <c r="AJ3" s="16"/>
      <c r="AK3" s="16">
        <v>200</v>
      </c>
      <c r="AL3" s="16">
        <v>0</v>
      </c>
      <c r="AM3" s="16">
        <v>0</v>
      </c>
      <c r="AN3" s="16"/>
      <c r="BC3" s="13"/>
      <c r="BD3" s="13"/>
      <c r="BE3" s="13"/>
      <c r="BF3" s="13"/>
      <c r="BG3" s="13"/>
      <c r="BH3" s="13"/>
      <c r="BI3" s="13"/>
      <c r="BJ3" s="13"/>
      <c r="BK3" s="13"/>
      <c r="BL3" s="13"/>
      <c r="BM3" s="13"/>
      <c r="BN3" s="13"/>
    </row>
    <row r="4" spans="1:66" ht="16.5" thickBot="1" x14ac:dyDescent="0.3">
      <c r="A4" s="22">
        <v>2</v>
      </c>
      <c r="B4" s="23">
        <v>1205.1893526681381</v>
      </c>
      <c r="C4" s="24">
        <v>305.87929698577585</v>
      </c>
      <c r="E4" s="25"/>
      <c r="F4" s="28">
        <v>65.000000107102096</v>
      </c>
      <c r="G4" s="29" t="s">
        <v>23</v>
      </c>
      <c r="I4" s="67" t="s">
        <v>36</v>
      </c>
      <c r="J4" s="62"/>
      <c r="K4" s="63" t="s">
        <v>37</v>
      </c>
      <c r="L4" s="64"/>
      <c r="M4" s="65" t="s">
        <v>24</v>
      </c>
      <c r="N4" s="66"/>
      <c r="P4" s="30"/>
      <c r="AH4" s="16">
        <v>250</v>
      </c>
      <c r="AI4" s="16"/>
      <c r="AJ4" s="16"/>
      <c r="AK4" s="16">
        <v>225</v>
      </c>
      <c r="AL4" s="16">
        <v>0</v>
      </c>
      <c r="AM4" s="16">
        <v>0</v>
      </c>
      <c r="AN4" s="16"/>
      <c r="BC4" s="13"/>
      <c r="BD4" s="13"/>
      <c r="BE4" s="13"/>
      <c r="BF4" s="13"/>
      <c r="BG4" s="13"/>
      <c r="BH4" s="13"/>
      <c r="BI4" s="13"/>
      <c r="BJ4" s="13"/>
      <c r="BK4" s="13"/>
      <c r="BL4" s="13"/>
      <c r="BM4" s="13"/>
      <c r="BN4" s="13"/>
    </row>
    <row r="5" spans="1:66" x14ac:dyDescent="0.25">
      <c r="A5" s="22">
        <v>3</v>
      </c>
      <c r="B5" s="23">
        <v>1082.474936681871</v>
      </c>
      <c r="C5" s="24">
        <v>391.21211206817804</v>
      </c>
      <c r="E5" s="31"/>
      <c r="F5" s="32"/>
      <c r="G5" s="31"/>
      <c r="I5" s="33" t="s">
        <v>25</v>
      </c>
      <c r="J5" s="34">
        <v>1151.4858344463087</v>
      </c>
      <c r="K5" s="35" t="s">
        <v>25</v>
      </c>
      <c r="L5" s="36">
        <v>501.70185423621496</v>
      </c>
      <c r="M5" s="37"/>
      <c r="N5" s="38"/>
      <c r="P5" s="30"/>
      <c r="AH5" s="16">
        <v>275</v>
      </c>
      <c r="AI5" s="16"/>
      <c r="AJ5" s="16"/>
      <c r="AK5" s="16">
        <v>225</v>
      </c>
      <c r="AL5" s="16">
        <v>0</v>
      </c>
      <c r="AM5" s="16">
        <v>3</v>
      </c>
      <c r="AN5" s="16"/>
      <c r="BC5" s="13"/>
      <c r="BD5" s="13"/>
      <c r="BE5" s="13"/>
      <c r="BF5" s="13"/>
      <c r="BG5" s="13"/>
      <c r="BH5" s="13"/>
      <c r="BI5" s="13"/>
      <c r="BJ5" s="13"/>
      <c r="BK5" s="13"/>
      <c r="BL5" s="13"/>
      <c r="BM5" s="13"/>
      <c r="BN5" s="13"/>
    </row>
    <row r="6" spans="1:66" x14ac:dyDescent="0.25">
      <c r="A6" s="22">
        <v>4</v>
      </c>
      <c r="B6" s="23">
        <v>1336.1286072395503</v>
      </c>
      <c r="C6" s="24">
        <v>532.76168916028882</v>
      </c>
      <c r="I6" s="33" t="s">
        <v>26</v>
      </c>
      <c r="J6" s="39">
        <v>186.19793095410947</v>
      </c>
      <c r="K6" s="35" t="s">
        <v>26</v>
      </c>
      <c r="L6" s="40">
        <v>88.003324459239664</v>
      </c>
      <c r="M6" s="41"/>
      <c r="N6" s="42"/>
      <c r="AH6" s="16">
        <v>300</v>
      </c>
      <c r="AI6" s="16"/>
      <c r="AJ6" s="16"/>
      <c r="AK6" s="16">
        <v>250</v>
      </c>
      <c r="AL6" s="16">
        <v>0</v>
      </c>
      <c r="AM6" s="16">
        <v>3</v>
      </c>
      <c r="AN6" s="16"/>
      <c r="BC6" s="13"/>
      <c r="BD6" s="13"/>
      <c r="BE6" s="13"/>
      <c r="BF6" s="13"/>
      <c r="BG6" s="13"/>
      <c r="BH6" s="13"/>
      <c r="BI6" s="13"/>
      <c r="BJ6" s="13"/>
      <c r="BK6" s="13"/>
      <c r="BL6" s="13"/>
      <c r="BM6" s="13"/>
      <c r="BN6" s="13"/>
    </row>
    <row r="7" spans="1:66" x14ac:dyDescent="0.25">
      <c r="A7" s="22">
        <v>5</v>
      </c>
      <c r="B7" s="23">
        <v>1225.7238532488134</v>
      </c>
      <c r="C7" s="24">
        <v>615.14507506133157</v>
      </c>
      <c r="F7" s="43"/>
      <c r="I7" s="33" t="s">
        <v>27</v>
      </c>
      <c r="J7" s="34">
        <v>1960.6771783932707</v>
      </c>
      <c r="K7" s="35" t="s">
        <v>27</v>
      </c>
      <c r="L7" s="36">
        <v>1005.7016438612959</v>
      </c>
      <c r="M7" s="25"/>
      <c r="N7" s="44"/>
      <c r="AH7" s="16">
        <v>325</v>
      </c>
      <c r="AI7" s="16"/>
      <c r="AJ7" s="16"/>
      <c r="AK7" s="16">
        <v>250</v>
      </c>
      <c r="AL7" s="16">
        <v>0</v>
      </c>
      <c r="AM7" s="16">
        <v>6</v>
      </c>
      <c r="AN7" s="16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</row>
    <row r="8" spans="1:66" ht="16.5" thickBot="1" x14ac:dyDescent="0.3">
      <c r="A8" s="22">
        <v>6</v>
      </c>
      <c r="B8" s="23">
        <v>1147.6468206115885</v>
      </c>
      <c r="C8" s="24">
        <v>539.16037647413134</v>
      </c>
      <c r="F8" s="43"/>
      <c r="I8" s="45" t="s">
        <v>28</v>
      </c>
      <c r="J8" s="46">
        <v>579.82144534943484</v>
      </c>
      <c r="K8" s="47" t="s">
        <v>28</v>
      </c>
      <c r="L8" s="48">
        <v>238.28072908421356</v>
      </c>
      <c r="M8" s="49"/>
      <c r="N8" s="50"/>
      <c r="AH8" s="16">
        <v>350</v>
      </c>
      <c r="AI8" s="16"/>
      <c r="AJ8" s="16"/>
      <c r="AK8" s="16">
        <v>275</v>
      </c>
      <c r="AL8" s="16">
        <v>0</v>
      </c>
      <c r="AM8" s="16">
        <v>6</v>
      </c>
      <c r="AN8" s="16"/>
      <c r="BC8" s="13"/>
      <c r="BD8" s="13"/>
      <c r="BE8" s="13"/>
      <c r="BF8" s="13"/>
      <c r="BG8" s="13"/>
      <c r="BH8" s="13"/>
      <c r="BI8" s="13"/>
      <c r="BJ8" s="13"/>
      <c r="BK8" s="13"/>
      <c r="BL8" s="13"/>
      <c r="BM8" s="13"/>
      <c r="BN8" s="13"/>
    </row>
    <row r="9" spans="1:66" x14ac:dyDescent="0.25">
      <c r="A9" s="22">
        <v>7</v>
      </c>
      <c r="B9" s="23">
        <v>914.962197177657</v>
      </c>
      <c r="C9" s="24">
        <v>463.10017301251088</v>
      </c>
      <c r="F9" s="43"/>
      <c r="I9" s="31"/>
      <c r="J9" s="51"/>
      <c r="K9" s="31"/>
      <c r="L9" s="31"/>
      <c r="M9" s="31"/>
      <c r="N9" s="31"/>
      <c r="AH9" s="16">
        <v>375</v>
      </c>
      <c r="AI9" s="16"/>
      <c r="AJ9" s="16"/>
      <c r="AK9" s="16">
        <v>275</v>
      </c>
      <c r="AL9" s="16">
        <v>0</v>
      </c>
      <c r="AM9" s="16">
        <v>15</v>
      </c>
      <c r="AN9" s="16"/>
      <c r="BC9" s="13"/>
      <c r="BD9" s="13"/>
      <c r="BE9" s="13"/>
      <c r="BF9" s="13"/>
      <c r="BG9" s="13"/>
      <c r="BH9" s="13"/>
      <c r="BI9" s="13"/>
      <c r="BJ9" s="13"/>
      <c r="BK9" s="13"/>
      <c r="BL9" s="13"/>
      <c r="BM9" s="13"/>
      <c r="BN9" s="13"/>
    </row>
    <row r="10" spans="1:66" x14ac:dyDescent="0.25">
      <c r="A10" s="22">
        <v>8</v>
      </c>
      <c r="B10" s="23">
        <v>989.65619982538317</v>
      </c>
      <c r="C10" s="24">
        <v>407.97591972392047</v>
      </c>
      <c r="F10" s="43"/>
      <c r="I10" s="25"/>
      <c r="J10" s="51"/>
      <c r="K10" s="31"/>
      <c r="L10" s="31"/>
      <c r="M10" s="31"/>
      <c r="N10" s="31"/>
      <c r="P10" s="30"/>
      <c r="AH10" s="16">
        <v>400</v>
      </c>
      <c r="AI10" s="16"/>
      <c r="AJ10" s="16"/>
      <c r="AK10" s="16">
        <v>300</v>
      </c>
      <c r="AL10" s="16">
        <v>0</v>
      </c>
      <c r="AM10" s="16">
        <v>15</v>
      </c>
      <c r="AN10" s="16"/>
      <c r="BC10" s="13"/>
      <c r="BD10" s="13"/>
      <c r="BE10" s="13"/>
      <c r="BF10" s="13"/>
      <c r="BG10" s="13"/>
      <c r="BH10" s="13"/>
      <c r="BI10" s="13"/>
      <c r="BJ10" s="13"/>
      <c r="BK10" s="13"/>
      <c r="BL10" s="13"/>
      <c r="BM10" s="13"/>
      <c r="BN10" s="13"/>
    </row>
    <row r="11" spans="1:66" x14ac:dyDescent="0.25">
      <c r="A11" s="22">
        <v>9</v>
      </c>
      <c r="B11" s="23">
        <v>1133.4855985515271</v>
      </c>
      <c r="C11" s="24">
        <v>606.94415844285891</v>
      </c>
      <c r="I11" s="31"/>
      <c r="J11" s="51"/>
      <c r="K11" s="31"/>
      <c r="L11" s="31"/>
      <c r="M11" s="31"/>
      <c r="N11" s="31"/>
      <c r="P11" s="30"/>
      <c r="AH11" s="16">
        <v>425</v>
      </c>
      <c r="AI11" s="16"/>
      <c r="AJ11" s="16"/>
      <c r="AK11" s="16">
        <v>300</v>
      </c>
      <c r="AL11" s="16">
        <v>0</v>
      </c>
      <c r="AM11" s="16">
        <v>67</v>
      </c>
      <c r="AN11" s="16"/>
      <c r="BC11" s="13"/>
      <c r="BD11" s="13"/>
      <c r="BE11" s="13"/>
      <c r="BF11" s="13"/>
      <c r="BG11" s="13"/>
      <c r="BH11" s="13"/>
      <c r="BI11" s="13"/>
      <c r="BJ11" s="13"/>
      <c r="BK11" s="13"/>
      <c r="BL11" s="13"/>
      <c r="BM11" s="13"/>
      <c r="BN11" s="13"/>
    </row>
    <row r="12" spans="1:66" x14ac:dyDescent="0.25">
      <c r="A12" s="22">
        <v>10</v>
      </c>
      <c r="B12" s="23">
        <v>1332.6921996393696</v>
      </c>
      <c r="C12" s="24">
        <v>643.36670494481496</v>
      </c>
      <c r="I12" s="31"/>
      <c r="J12" s="31"/>
      <c r="K12" s="31"/>
      <c r="L12" s="31"/>
      <c r="M12" s="31"/>
      <c r="N12" s="31"/>
      <c r="P12" s="30"/>
      <c r="AH12" s="16">
        <v>450</v>
      </c>
      <c r="AI12" s="16"/>
      <c r="AJ12" s="16"/>
      <c r="AK12" s="16">
        <v>325</v>
      </c>
      <c r="AL12" s="16">
        <v>0</v>
      </c>
      <c r="AM12" s="16">
        <v>67</v>
      </c>
      <c r="AN12" s="16"/>
      <c r="BC12" s="13"/>
      <c r="BD12" s="13"/>
      <c r="BE12" s="13"/>
      <c r="BF12" s="13"/>
      <c r="BG12" s="13"/>
      <c r="BH12" s="13"/>
      <c r="BI12" s="13"/>
      <c r="BJ12" s="13"/>
      <c r="BK12" s="13"/>
      <c r="BL12" s="13"/>
      <c r="BM12" s="13"/>
      <c r="BN12" s="13"/>
    </row>
    <row r="13" spans="1:66" x14ac:dyDescent="0.25">
      <c r="A13" s="22">
        <v>11</v>
      </c>
      <c r="B13" s="23">
        <v>968.8236258700498</v>
      </c>
      <c r="C13" s="24">
        <v>486.71071331483569</v>
      </c>
      <c r="I13" s="31"/>
      <c r="J13" s="31"/>
      <c r="K13" s="31"/>
      <c r="L13" s="31"/>
      <c r="M13" s="31"/>
      <c r="N13" s="31"/>
      <c r="AH13" s="16">
        <v>475</v>
      </c>
      <c r="AI13" s="16"/>
      <c r="AJ13" s="16"/>
      <c r="AK13" s="16">
        <v>325</v>
      </c>
      <c r="AL13" s="16">
        <v>0</v>
      </c>
      <c r="AM13" s="16">
        <v>170</v>
      </c>
      <c r="AN13" s="16"/>
      <c r="BC13" s="13"/>
      <c r="BD13" s="13"/>
      <c r="BE13" s="13"/>
      <c r="BF13" s="13"/>
      <c r="BG13" s="13"/>
      <c r="BH13" s="13"/>
      <c r="BI13" s="13"/>
      <c r="BJ13" s="13"/>
      <c r="BK13" s="13"/>
      <c r="BL13" s="13"/>
      <c r="BM13" s="13"/>
      <c r="BN13" s="13"/>
    </row>
    <row r="14" spans="1:66" x14ac:dyDescent="0.25">
      <c r="A14" s="22">
        <v>12</v>
      </c>
      <c r="B14" s="23">
        <v>1503.3679088081244</v>
      </c>
      <c r="C14" s="24">
        <v>512.3167934599245</v>
      </c>
      <c r="E14" s="52"/>
      <c r="I14" s="31"/>
      <c r="J14" s="31"/>
      <c r="K14" s="31"/>
      <c r="L14" s="31"/>
      <c r="M14" s="31"/>
      <c r="N14" s="31"/>
      <c r="AH14" s="16">
        <v>500</v>
      </c>
      <c r="AI14" s="16"/>
      <c r="AJ14" s="16"/>
      <c r="AK14" s="16">
        <v>350</v>
      </c>
      <c r="AL14" s="16">
        <v>0</v>
      </c>
      <c r="AM14" s="16">
        <v>170</v>
      </c>
      <c r="AN14" s="16"/>
      <c r="BC14" s="13"/>
      <c r="BD14" s="13"/>
      <c r="BE14" s="13"/>
      <c r="BF14" s="13"/>
      <c r="BG14" s="13"/>
      <c r="BH14" s="13"/>
      <c r="BI14" s="13"/>
      <c r="BJ14" s="13"/>
      <c r="BK14" s="13"/>
      <c r="BL14" s="13"/>
      <c r="BM14" s="13"/>
      <c r="BN14" s="13"/>
    </row>
    <row r="15" spans="1:66" x14ac:dyDescent="0.25">
      <c r="A15" s="22">
        <v>13</v>
      </c>
      <c r="B15" s="23">
        <v>1009.7121180701084</v>
      </c>
      <c r="C15" s="24">
        <v>522.89915833980217</v>
      </c>
      <c r="E15" s="52"/>
      <c r="I15" s="31"/>
      <c r="J15" s="31"/>
      <c r="K15" s="31"/>
      <c r="L15" s="31"/>
      <c r="M15" s="31"/>
      <c r="N15" s="31"/>
      <c r="AH15" s="16">
        <v>525</v>
      </c>
      <c r="AI15" s="16"/>
      <c r="AJ15" s="16"/>
      <c r="AK15" s="16">
        <v>350</v>
      </c>
      <c r="AL15" s="16">
        <v>0</v>
      </c>
      <c r="AM15" s="16">
        <v>320</v>
      </c>
      <c r="AN15" s="16"/>
      <c r="BC15" s="13"/>
      <c r="BD15" s="13"/>
      <c r="BE15" s="13"/>
      <c r="BF15" s="13"/>
      <c r="BG15" s="13"/>
      <c r="BH15" s="13"/>
      <c r="BI15" s="13"/>
      <c r="BJ15" s="13"/>
      <c r="BK15" s="13"/>
      <c r="BL15" s="13"/>
      <c r="BM15" s="13"/>
      <c r="BN15" s="13"/>
    </row>
    <row r="16" spans="1:66" x14ac:dyDescent="0.25">
      <c r="A16" s="22">
        <v>14</v>
      </c>
      <c r="B16" s="23">
        <v>1155.9269805119768</v>
      </c>
      <c r="C16" s="24">
        <v>528.71201516634505</v>
      </c>
      <c r="E16" s="52"/>
      <c r="I16" s="31"/>
      <c r="J16" s="31"/>
      <c r="K16" s="31"/>
      <c r="L16" s="31"/>
      <c r="M16" s="31"/>
      <c r="N16" s="31"/>
      <c r="AH16" s="16">
        <v>550</v>
      </c>
      <c r="AI16" s="16"/>
      <c r="AJ16" s="16"/>
      <c r="AK16" s="16">
        <v>375</v>
      </c>
      <c r="AL16" s="16">
        <v>0</v>
      </c>
      <c r="AM16" s="16">
        <v>320</v>
      </c>
      <c r="AN16" s="16"/>
      <c r="BC16" s="13"/>
      <c r="BD16" s="13"/>
      <c r="BE16" s="13"/>
      <c r="BF16" s="13"/>
      <c r="BG16" s="13"/>
      <c r="BH16" s="13"/>
      <c r="BI16" s="13"/>
      <c r="BJ16" s="13"/>
      <c r="BK16" s="13"/>
      <c r="BL16" s="13"/>
      <c r="BM16" s="13"/>
      <c r="BN16" s="13"/>
    </row>
    <row r="17" spans="1:66" x14ac:dyDescent="0.25">
      <c r="A17" s="22">
        <v>15</v>
      </c>
      <c r="B17" s="23">
        <v>797.74567200291767</v>
      </c>
      <c r="C17" s="24">
        <v>607.17326315882462</v>
      </c>
      <c r="I17" s="31"/>
      <c r="J17" s="31"/>
      <c r="K17" s="31"/>
      <c r="L17" s="31"/>
      <c r="M17" s="31"/>
      <c r="N17" s="31"/>
      <c r="AH17" s="16">
        <v>575</v>
      </c>
      <c r="AI17" s="16"/>
      <c r="AJ17" s="16"/>
      <c r="AK17" s="16">
        <v>375</v>
      </c>
      <c r="AL17" s="16">
        <v>0</v>
      </c>
      <c r="AM17" s="16">
        <v>529</v>
      </c>
      <c r="AN17" s="16"/>
      <c r="BC17" s="13"/>
      <c r="BD17" s="13"/>
      <c r="BE17" s="13"/>
      <c r="BF17" s="13"/>
      <c r="BG17" s="13"/>
      <c r="BH17" s="13"/>
      <c r="BI17" s="13"/>
      <c r="BJ17" s="13"/>
      <c r="BK17" s="13"/>
      <c r="BL17" s="13"/>
      <c r="BM17" s="13"/>
      <c r="BN17" s="13"/>
    </row>
    <row r="18" spans="1:66" x14ac:dyDescent="0.25">
      <c r="A18" s="22">
        <v>16</v>
      </c>
      <c r="B18" s="23">
        <v>998.0467014638042</v>
      </c>
      <c r="C18" s="24">
        <v>428.94988709142251</v>
      </c>
      <c r="I18" s="31"/>
      <c r="J18" s="31"/>
      <c r="K18" s="31"/>
      <c r="L18" s="31"/>
      <c r="M18" s="31"/>
      <c r="N18" s="31"/>
      <c r="AH18" s="16">
        <v>600</v>
      </c>
      <c r="AI18" s="16"/>
      <c r="AJ18" s="16"/>
      <c r="AK18" s="16">
        <v>400</v>
      </c>
      <c r="AL18" s="16">
        <v>0</v>
      </c>
      <c r="AM18" s="16">
        <v>529</v>
      </c>
      <c r="AN18" s="16"/>
      <c r="BC18" s="13"/>
      <c r="BD18" s="13"/>
      <c r="BE18" s="13"/>
      <c r="BF18" s="13"/>
      <c r="BG18" s="13"/>
      <c r="BH18" s="13"/>
      <c r="BI18" s="13"/>
      <c r="BJ18" s="13"/>
      <c r="BK18" s="13"/>
      <c r="BL18" s="13"/>
      <c r="BM18" s="13"/>
      <c r="BN18" s="13"/>
    </row>
    <row r="19" spans="1:66" x14ac:dyDescent="0.25">
      <c r="A19" s="22">
        <v>17</v>
      </c>
      <c r="B19" s="23">
        <v>1182.6079777190619</v>
      </c>
      <c r="C19" s="24">
        <v>498.79789252391123</v>
      </c>
      <c r="F19" s="53">
        <v>1</v>
      </c>
      <c r="I19" s="31"/>
      <c r="J19" s="31"/>
      <c r="K19" s="31"/>
      <c r="L19" s="31"/>
      <c r="M19" s="31"/>
      <c r="N19" s="31"/>
      <c r="AH19" s="16">
        <v>625</v>
      </c>
      <c r="AI19" s="16"/>
      <c r="AJ19" s="16"/>
      <c r="AK19" s="16">
        <v>400</v>
      </c>
      <c r="AL19" s="16">
        <v>0</v>
      </c>
      <c r="AM19" s="16">
        <v>839</v>
      </c>
      <c r="AN19" s="16"/>
      <c r="BC19" s="13"/>
      <c r="BD19" s="13"/>
      <c r="BE19" s="13"/>
      <c r="BF19" s="13"/>
      <c r="BG19" s="13"/>
      <c r="BH19" s="13"/>
      <c r="BI19" s="13"/>
      <c r="BJ19" s="13"/>
      <c r="BK19" s="13"/>
      <c r="BL19" s="13"/>
      <c r="BM19" s="13"/>
      <c r="BN19" s="13"/>
    </row>
    <row r="20" spans="1:66" x14ac:dyDescent="0.25">
      <c r="A20" s="22">
        <v>18</v>
      </c>
      <c r="B20" s="23">
        <v>894.94647826061259</v>
      </c>
      <c r="C20" s="24">
        <v>573.88599365522759</v>
      </c>
      <c r="I20" s="31"/>
      <c r="J20" s="31"/>
      <c r="K20" s="31"/>
      <c r="L20" s="31"/>
      <c r="M20" s="31"/>
      <c r="N20" s="31"/>
      <c r="AH20" s="16">
        <v>650</v>
      </c>
      <c r="AI20" s="16"/>
      <c r="AJ20" s="16"/>
      <c r="AK20" s="16">
        <v>425</v>
      </c>
      <c r="AL20" s="16">
        <v>0</v>
      </c>
      <c r="AM20" s="16">
        <v>839</v>
      </c>
      <c r="AN20" s="16"/>
      <c r="BC20" s="13"/>
      <c r="BD20" s="13"/>
      <c r="BE20" s="13"/>
      <c r="BF20" s="13"/>
      <c r="BG20" s="13"/>
      <c r="BH20" s="13"/>
      <c r="BI20" s="13"/>
      <c r="BJ20" s="13"/>
      <c r="BK20" s="13"/>
      <c r="BL20" s="13"/>
      <c r="BM20" s="13"/>
      <c r="BN20" s="13"/>
    </row>
    <row r="21" spans="1:66" x14ac:dyDescent="0.25">
      <c r="A21" s="22">
        <v>19</v>
      </c>
      <c r="B21" s="23">
        <v>990.70801083465676</v>
      </c>
      <c r="C21" s="24">
        <v>481.6125493792033</v>
      </c>
      <c r="I21" s="31"/>
      <c r="J21" s="31"/>
      <c r="K21" s="31"/>
      <c r="L21" s="31"/>
      <c r="M21" s="31"/>
      <c r="N21" s="31"/>
      <c r="AH21" s="16">
        <v>675</v>
      </c>
      <c r="AI21" s="16"/>
      <c r="AJ21" s="16"/>
      <c r="AK21" s="16">
        <v>425</v>
      </c>
      <c r="AL21" s="16">
        <v>0</v>
      </c>
      <c r="AM21" s="16">
        <v>966</v>
      </c>
      <c r="AN21" s="16"/>
      <c r="BC21" s="13"/>
      <c r="BD21" s="13"/>
      <c r="BE21" s="13"/>
      <c r="BF21" s="13"/>
      <c r="BG21" s="13"/>
      <c r="BH21" s="13"/>
      <c r="BI21" s="13"/>
      <c r="BJ21" s="13"/>
      <c r="BK21" s="13"/>
      <c r="BL21" s="13"/>
      <c r="BM21" s="13"/>
      <c r="BN21" s="13"/>
    </row>
    <row r="22" spans="1:66" x14ac:dyDescent="0.25">
      <c r="A22" s="22">
        <v>20</v>
      </c>
      <c r="B22" s="23">
        <v>1024.7299982403924</v>
      </c>
      <c r="C22" s="24">
        <v>447.24080047501513</v>
      </c>
      <c r="I22" s="31"/>
      <c r="J22" s="31"/>
      <c r="K22" s="31"/>
      <c r="L22" s="31"/>
      <c r="M22" s="31"/>
      <c r="N22" s="31"/>
      <c r="AH22" s="16">
        <v>700</v>
      </c>
      <c r="AI22" s="16"/>
      <c r="AJ22" s="16"/>
      <c r="AK22" s="16">
        <v>450</v>
      </c>
      <c r="AL22" s="16">
        <v>0</v>
      </c>
      <c r="AM22" s="16">
        <v>966</v>
      </c>
      <c r="AN22" s="16"/>
      <c r="BC22" s="13"/>
      <c r="BD22" s="13"/>
      <c r="BE22" s="13"/>
      <c r="BF22" s="13"/>
      <c r="BG22" s="13"/>
      <c r="BH22" s="13"/>
      <c r="BI22" s="13"/>
      <c r="BJ22" s="13"/>
      <c r="BK22" s="13"/>
      <c r="BL22" s="13"/>
      <c r="BM22" s="13"/>
      <c r="BN22" s="13"/>
    </row>
    <row r="23" spans="1:66" x14ac:dyDescent="0.25">
      <c r="A23" s="22">
        <v>21</v>
      </c>
      <c r="B23" s="23">
        <v>1234.3566248215468</v>
      </c>
      <c r="C23" s="24">
        <v>701.89184943692248</v>
      </c>
      <c r="AH23" s="16">
        <v>725</v>
      </c>
      <c r="AI23" s="16"/>
      <c r="AJ23" s="16"/>
      <c r="AK23" s="16">
        <v>450</v>
      </c>
      <c r="AL23" s="16">
        <v>0</v>
      </c>
      <c r="AM23" s="16">
        <v>1167</v>
      </c>
      <c r="AN23" s="16"/>
      <c r="BC23" s="13"/>
      <c r="BD23" s="13"/>
      <c r="BE23" s="13"/>
      <c r="BF23" s="13"/>
      <c r="BG23" s="13"/>
      <c r="BH23" s="13"/>
      <c r="BI23" s="13"/>
      <c r="BJ23" s="13"/>
      <c r="BK23" s="13"/>
      <c r="BL23" s="13"/>
      <c r="BM23" s="13"/>
      <c r="BN23" s="13"/>
    </row>
    <row r="24" spans="1:66" x14ac:dyDescent="0.25">
      <c r="A24" s="22">
        <v>22</v>
      </c>
      <c r="B24" s="23">
        <v>1503.3454805355036</v>
      </c>
      <c r="C24" s="24">
        <v>604.08050221286658</v>
      </c>
      <c r="I24" s="54"/>
      <c r="AH24" s="16">
        <v>750</v>
      </c>
      <c r="AI24" s="16"/>
      <c r="AJ24" s="16"/>
      <c r="AK24" s="16">
        <v>475</v>
      </c>
      <c r="AL24" s="16">
        <v>0</v>
      </c>
      <c r="AM24" s="16">
        <v>1167</v>
      </c>
      <c r="AN24" s="16"/>
      <c r="BC24" s="13"/>
      <c r="BD24" s="13"/>
      <c r="BE24" s="13"/>
      <c r="BF24" s="13"/>
      <c r="BG24" s="13"/>
      <c r="BH24" s="13"/>
      <c r="BI24" s="13"/>
      <c r="BJ24" s="13"/>
      <c r="BK24" s="13"/>
      <c r="BL24" s="13"/>
      <c r="BM24" s="13"/>
      <c r="BN24" s="13"/>
    </row>
    <row r="25" spans="1:66" x14ac:dyDescent="0.25">
      <c r="A25" s="22">
        <v>23</v>
      </c>
      <c r="B25" s="23">
        <v>1166.2048400180856</v>
      </c>
      <c r="C25" s="24">
        <v>627.37159669924949</v>
      </c>
      <c r="AH25" s="16">
        <v>775</v>
      </c>
      <c r="AI25" s="16"/>
      <c r="AJ25" s="16"/>
      <c r="AK25" s="16">
        <v>475</v>
      </c>
      <c r="AL25" s="16">
        <v>0</v>
      </c>
      <c r="AM25" s="16">
        <v>1159</v>
      </c>
      <c r="AN25" s="16"/>
      <c r="BC25" s="13"/>
      <c r="BD25" s="13"/>
      <c r="BE25" s="13"/>
      <c r="BF25" s="13"/>
      <c r="BG25" s="13"/>
      <c r="BH25" s="13"/>
      <c r="BI25" s="13"/>
      <c r="BJ25" s="13"/>
      <c r="BK25" s="13"/>
      <c r="BL25" s="13"/>
      <c r="BM25" s="13"/>
      <c r="BN25" s="13"/>
    </row>
    <row r="26" spans="1:66" x14ac:dyDescent="0.25">
      <c r="A26" s="22">
        <v>24</v>
      </c>
      <c r="B26" s="23">
        <v>1276.5459865238811</v>
      </c>
      <c r="C26" s="24">
        <v>488.26771433233546</v>
      </c>
      <c r="AH26" s="16">
        <v>800</v>
      </c>
      <c r="AI26" s="16"/>
      <c r="AJ26" s="16"/>
      <c r="AK26" s="16">
        <v>500</v>
      </c>
      <c r="AL26" s="16">
        <v>0</v>
      </c>
      <c r="AM26" s="16">
        <v>1159</v>
      </c>
      <c r="AN26" s="16"/>
      <c r="BC26" s="13"/>
      <c r="BD26" s="13"/>
      <c r="BE26" s="13"/>
      <c r="BF26" s="13"/>
      <c r="BG26" s="13"/>
      <c r="BH26" s="13"/>
      <c r="BI26" s="13"/>
      <c r="BJ26" s="13"/>
      <c r="BK26" s="13"/>
      <c r="BL26" s="13"/>
      <c r="BM26" s="13"/>
      <c r="BN26" s="13"/>
    </row>
    <row r="27" spans="1:66" x14ac:dyDescent="0.25">
      <c r="A27" s="22">
        <v>25</v>
      </c>
      <c r="B27" s="23">
        <v>1312.465824667029</v>
      </c>
      <c r="C27" s="24">
        <v>513.7287927674148</v>
      </c>
      <c r="AH27" s="16">
        <v>825</v>
      </c>
      <c r="AI27" s="16"/>
      <c r="AJ27" s="16"/>
      <c r="AK27" s="16">
        <v>500</v>
      </c>
      <c r="AL27" s="16">
        <v>0</v>
      </c>
      <c r="AM27" s="16">
        <v>1113</v>
      </c>
      <c r="AN27" s="16"/>
      <c r="BC27" s="13"/>
      <c r="BD27" s="13"/>
      <c r="BE27" s="13"/>
      <c r="BF27" s="13"/>
      <c r="BG27" s="13"/>
      <c r="BH27" s="13"/>
      <c r="BI27" s="13"/>
      <c r="BJ27" s="13"/>
      <c r="BK27" s="13"/>
      <c r="BL27" s="13"/>
      <c r="BM27" s="13"/>
      <c r="BN27" s="13"/>
    </row>
    <row r="28" spans="1:66" x14ac:dyDescent="0.25">
      <c r="A28" s="22">
        <v>26</v>
      </c>
      <c r="B28" s="23">
        <v>1193.7298225008851</v>
      </c>
      <c r="C28" s="24">
        <v>407.47869948053443</v>
      </c>
      <c r="AH28" s="16">
        <v>850</v>
      </c>
      <c r="AI28" s="16"/>
      <c r="AJ28" s="16"/>
      <c r="AK28" s="16">
        <v>525</v>
      </c>
      <c r="AL28" s="16">
        <v>0</v>
      </c>
      <c r="AM28" s="16">
        <v>1113</v>
      </c>
      <c r="AN28" s="16"/>
      <c r="BC28" s="13"/>
      <c r="BD28" s="13"/>
      <c r="BE28" s="13"/>
      <c r="BF28" s="13"/>
      <c r="BG28" s="13"/>
      <c r="BH28" s="13"/>
      <c r="BI28" s="13"/>
      <c r="BJ28" s="13"/>
      <c r="BK28" s="13"/>
      <c r="BL28" s="13"/>
      <c r="BM28" s="13"/>
      <c r="BN28" s="13"/>
    </row>
    <row r="29" spans="1:66" x14ac:dyDescent="0.25">
      <c r="A29" s="22">
        <v>27</v>
      </c>
      <c r="B29" s="23">
        <v>1021.8431463743282</v>
      </c>
      <c r="C29" s="24">
        <v>483.57683355603206</v>
      </c>
      <c r="AH29" s="16">
        <v>875</v>
      </c>
      <c r="AI29" s="16"/>
      <c r="AJ29" s="16"/>
      <c r="AK29" s="16">
        <v>525</v>
      </c>
      <c r="AL29" s="16">
        <v>0</v>
      </c>
      <c r="AM29" s="16">
        <v>945</v>
      </c>
      <c r="AN29" s="16"/>
      <c r="BC29" s="13"/>
      <c r="BD29" s="13"/>
      <c r="BE29" s="13"/>
      <c r="BF29" s="13"/>
      <c r="BG29" s="13"/>
      <c r="BH29" s="13"/>
      <c r="BI29" s="13"/>
      <c r="BJ29" s="13"/>
      <c r="BK29" s="13"/>
      <c r="BL29" s="13"/>
      <c r="BM29" s="13"/>
      <c r="BN29" s="13"/>
    </row>
    <row r="30" spans="1:66" x14ac:dyDescent="0.25">
      <c r="A30" s="22">
        <v>28</v>
      </c>
      <c r="B30" s="23">
        <v>861.80642363966592</v>
      </c>
      <c r="C30" s="24">
        <v>303.45235032649816</v>
      </c>
      <c r="AH30" s="16">
        <v>900</v>
      </c>
      <c r="AI30" s="16"/>
      <c r="AJ30" s="16"/>
      <c r="AK30" s="16">
        <v>550</v>
      </c>
      <c r="AL30" s="16">
        <v>0</v>
      </c>
      <c r="AM30" s="16">
        <v>945</v>
      </c>
      <c r="AN30" s="16"/>
      <c r="BC30" s="13"/>
      <c r="BD30" s="13"/>
      <c r="BE30" s="13"/>
      <c r="BF30" s="13"/>
      <c r="BG30" s="13"/>
      <c r="BH30" s="13"/>
      <c r="BI30" s="13"/>
      <c r="BJ30" s="13"/>
      <c r="BK30" s="13"/>
      <c r="BL30" s="13"/>
      <c r="BM30" s="13"/>
      <c r="BN30" s="13"/>
    </row>
    <row r="31" spans="1:66" x14ac:dyDescent="0.25">
      <c r="A31" s="22">
        <v>29</v>
      </c>
      <c r="B31" s="23">
        <v>1154.3074357936127</v>
      </c>
      <c r="C31" s="24">
        <v>410.19517276666681</v>
      </c>
      <c r="AH31" s="16">
        <v>925</v>
      </c>
      <c r="AI31" s="16"/>
      <c r="AJ31" s="16"/>
      <c r="AK31" s="16">
        <v>550</v>
      </c>
      <c r="AL31" s="16">
        <v>0</v>
      </c>
      <c r="AM31" s="16">
        <v>794</v>
      </c>
      <c r="AN31" s="16"/>
      <c r="BC31" s="13"/>
      <c r="BD31" s="13"/>
      <c r="BE31" s="13"/>
      <c r="BF31" s="13"/>
      <c r="BG31" s="13"/>
      <c r="BH31" s="13"/>
      <c r="BI31" s="13"/>
      <c r="BJ31" s="13"/>
      <c r="BK31" s="13"/>
      <c r="BL31" s="13"/>
      <c r="BM31" s="13"/>
      <c r="BN31" s="13"/>
    </row>
    <row r="32" spans="1:66" x14ac:dyDescent="0.25">
      <c r="A32" s="22">
        <v>30</v>
      </c>
      <c r="B32" s="23">
        <v>1018.1641627199882</v>
      </c>
      <c r="C32" s="24">
        <v>399.51301812262386</v>
      </c>
      <c r="AH32" s="16">
        <v>950</v>
      </c>
      <c r="AI32" s="16"/>
      <c r="AJ32" s="16"/>
      <c r="AK32" s="16">
        <v>575</v>
      </c>
      <c r="AL32" s="16">
        <v>0</v>
      </c>
      <c r="AM32" s="16">
        <v>794</v>
      </c>
      <c r="AN32" s="16"/>
      <c r="BC32" s="13"/>
      <c r="BD32" s="13"/>
      <c r="BE32" s="13"/>
      <c r="BF32" s="13"/>
      <c r="BG32" s="13"/>
      <c r="BH32" s="13"/>
      <c r="BI32" s="13"/>
      <c r="BJ32" s="13"/>
      <c r="BK32" s="13"/>
      <c r="BL32" s="13"/>
      <c r="BM32" s="13"/>
      <c r="BN32" s="13"/>
    </row>
    <row r="33" spans="1:66" x14ac:dyDescent="0.25">
      <c r="A33" s="22">
        <v>31</v>
      </c>
      <c r="B33" s="23">
        <v>1117.1014716968702</v>
      </c>
      <c r="C33" s="24">
        <v>525.15432807390482</v>
      </c>
      <c r="AH33" s="16">
        <v>975</v>
      </c>
      <c r="AI33" s="16"/>
      <c r="AJ33" s="16"/>
      <c r="AK33" s="16">
        <v>575</v>
      </c>
      <c r="AL33" s="16">
        <v>1</v>
      </c>
      <c r="AM33" s="16">
        <v>583</v>
      </c>
      <c r="AN33" s="16"/>
      <c r="BC33" s="13"/>
      <c r="BD33" s="13"/>
      <c r="BE33" s="13"/>
      <c r="BF33" s="13"/>
      <c r="BG33" s="13"/>
      <c r="BH33" s="13"/>
      <c r="BI33" s="13"/>
      <c r="BJ33" s="13"/>
      <c r="BK33" s="13"/>
      <c r="BL33" s="13"/>
      <c r="BM33" s="13"/>
      <c r="BN33" s="13"/>
    </row>
    <row r="34" spans="1:66" x14ac:dyDescent="0.25">
      <c r="A34" s="22">
        <v>32</v>
      </c>
      <c r="B34" s="23">
        <v>955.65414988753059</v>
      </c>
      <c r="C34" s="24">
        <v>525.53002970350292</v>
      </c>
      <c r="AH34" s="16">
        <v>1000</v>
      </c>
      <c r="AI34" s="16"/>
      <c r="AJ34" s="16"/>
      <c r="AK34" s="16">
        <v>600</v>
      </c>
      <c r="AL34" s="16">
        <v>1</v>
      </c>
      <c r="AM34" s="16">
        <v>583</v>
      </c>
      <c r="AN34" s="16"/>
      <c r="BC34" s="13"/>
      <c r="BD34" s="13"/>
      <c r="BE34" s="13"/>
      <c r="BF34" s="13"/>
      <c r="BG34" s="13"/>
      <c r="BH34" s="13"/>
      <c r="BI34" s="13"/>
      <c r="BJ34" s="13"/>
      <c r="BK34" s="13"/>
      <c r="BL34" s="13"/>
      <c r="BM34" s="13"/>
      <c r="BN34" s="13"/>
    </row>
    <row r="35" spans="1:66" x14ac:dyDescent="0.25">
      <c r="A35" s="22">
        <v>33</v>
      </c>
      <c r="B35" s="23">
        <v>1091.5347586953405</v>
      </c>
      <c r="C35" s="24">
        <v>514.32447539582256</v>
      </c>
      <c r="AH35" s="16">
        <v>1025</v>
      </c>
      <c r="AI35" s="16"/>
      <c r="AJ35" s="16"/>
      <c r="AK35" s="16">
        <v>600</v>
      </c>
      <c r="AL35" s="16">
        <v>3</v>
      </c>
      <c r="AM35" s="16">
        <v>445</v>
      </c>
      <c r="AN35" s="16"/>
      <c r="BC35" s="13"/>
      <c r="BD35" s="13"/>
      <c r="BE35" s="13"/>
      <c r="BF35" s="13"/>
      <c r="BG35" s="13"/>
      <c r="BH35" s="13"/>
      <c r="BI35" s="13"/>
      <c r="BJ35" s="13"/>
      <c r="BK35" s="13"/>
      <c r="BL35" s="13"/>
      <c r="BM35" s="13"/>
      <c r="BN35" s="13"/>
    </row>
    <row r="36" spans="1:66" x14ac:dyDescent="0.25">
      <c r="A36" s="22">
        <v>34</v>
      </c>
      <c r="B36" s="23">
        <v>1211.7152849584902</v>
      </c>
      <c r="C36" s="24">
        <v>661.72952253791993</v>
      </c>
      <c r="AH36" s="16">
        <v>1050</v>
      </c>
      <c r="AI36" s="16"/>
      <c r="AJ36" s="16"/>
      <c r="AK36" s="16">
        <v>625</v>
      </c>
      <c r="AL36" s="16">
        <v>3</v>
      </c>
      <c r="AM36" s="16">
        <v>445</v>
      </c>
      <c r="AN36" s="16"/>
      <c r="BC36" s="13"/>
      <c r="BD36" s="13"/>
      <c r="BE36" s="13"/>
      <c r="BF36" s="13"/>
      <c r="BG36" s="13"/>
      <c r="BH36" s="13"/>
      <c r="BI36" s="13"/>
      <c r="BJ36" s="13"/>
      <c r="BK36" s="13"/>
      <c r="BL36" s="13"/>
      <c r="BM36" s="13"/>
      <c r="BN36" s="13"/>
    </row>
    <row r="37" spans="1:66" x14ac:dyDescent="0.25">
      <c r="A37" s="22">
        <v>35</v>
      </c>
      <c r="B37" s="23">
        <v>1329.3655229054161</v>
      </c>
      <c r="C37" s="24">
        <v>408.84912368465183</v>
      </c>
      <c r="AH37" s="16">
        <v>1075</v>
      </c>
      <c r="AI37" s="16"/>
      <c r="AJ37" s="16"/>
      <c r="AK37" s="16">
        <v>625</v>
      </c>
      <c r="AL37" s="16">
        <v>3</v>
      </c>
      <c r="AM37" s="16">
        <v>325</v>
      </c>
      <c r="AN37" s="16"/>
      <c r="BC37" s="13"/>
      <c r="BD37" s="13"/>
      <c r="BE37" s="13"/>
      <c r="BF37" s="13"/>
      <c r="BG37" s="13"/>
      <c r="BH37" s="13"/>
      <c r="BI37" s="13"/>
      <c r="BJ37" s="13"/>
      <c r="BK37" s="13"/>
      <c r="BL37" s="13"/>
      <c r="BM37" s="13"/>
      <c r="BN37" s="13"/>
    </row>
    <row r="38" spans="1:66" x14ac:dyDescent="0.25">
      <c r="A38" s="22">
        <v>36</v>
      </c>
      <c r="B38" s="23">
        <v>1121.4894830863982</v>
      </c>
      <c r="C38" s="24">
        <v>612.42454644384236</v>
      </c>
      <c r="AH38" s="16">
        <v>1100</v>
      </c>
      <c r="AI38" s="16"/>
      <c r="AJ38" s="16"/>
      <c r="AK38" s="16">
        <v>650</v>
      </c>
      <c r="AL38" s="16">
        <v>3</v>
      </c>
      <c r="AM38" s="16">
        <v>325</v>
      </c>
      <c r="AN38" s="16"/>
      <c r="BC38" s="13"/>
      <c r="BD38" s="13"/>
      <c r="BE38" s="13"/>
      <c r="BF38" s="13"/>
      <c r="BG38" s="13"/>
      <c r="BH38" s="13"/>
      <c r="BI38" s="13"/>
      <c r="BJ38" s="13"/>
      <c r="BK38" s="13"/>
      <c r="BL38" s="13"/>
      <c r="BM38" s="13"/>
      <c r="BN38" s="13"/>
    </row>
    <row r="39" spans="1:66" x14ac:dyDescent="0.25">
      <c r="A39" s="22">
        <v>37</v>
      </c>
      <c r="B39" s="23">
        <v>905.47218776936313</v>
      </c>
      <c r="C39" s="24">
        <v>403.80218690576106</v>
      </c>
      <c r="AH39" s="16">
        <v>1125</v>
      </c>
      <c r="AI39" s="16"/>
      <c r="AJ39" s="16"/>
      <c r="AK39" s="16">
        <v>650</v>
      </c>
      <c r="AL39" s="16">
        <v>5</v>
      </c>
      <c r="AM39" s="16">
        <v>206</v>
      </c>
      <c r="AN39" s="16"/>
      <c r="BC39" s="13"/>
      <c r="BD39" s="13"/>
      <c r="BE39" s="13"/>
      <c r="BF39" s="13"/>
      <c r="BG39" s="13"/>
      <c r="BH39" s="13"/>
      <c r="BI39" s="13"/>
      <c r="BJ39" s="13"/>
      <c r="BK39" s="13"/>
      <c r="BL39" s="13"/>
      <c r="BM39" s="13"/>
      <c r="BN39" s="13"/>
    </row>
    <row r="40" spans="1:66" x14ac:dyDescent="0.25">
      <c r="A40" s="22">
        <v>38</v>
      </c>
      <c r="B40" s="23">
        <v>1128.9103185833437</v>
      </c>
      <c r="C40" s="24">
        <v>546.01347456844962</v>
      </c>
      <c r="AH40" s="16">
        <v>1150</v>
      </c>
      <c r="AI40" s="16"/>
      <c r="AJ40" s="16"/>
      <c r="AK40" s="16">
        <v>675</v>
      </c>
      <c r="AL40" s="16">
        <v>5</v>
      </c>
      <c r="AM40" s="16">
        <v>206</v>
      </c>
      <c r="AN40" s="16"/>
      <c r="BC40" s="13"/>
      <c r="BD40" s="13"/>
      <c r="BE40" s="13"/>
      <c r="BF40" s="13"/>
      <c r="BG40" s="13"/>
      <c r="BH40" s="13"/>
      <c r="BI40" s="13"/>
      <c r="BJ40" s="13"/>
      <c r="BK40" s="13"/>
      <c r="BL40" s="13"/>
      <c r="BM40" s="13"/>
      <c r="BN40" s="13"/>
    </row>
    <row r="41" spans="1:66" x14ac:dyDescent="0.25">
      <c r="A41" s="22">
        <v>39</v>
      </c>
      <c r="B41" s="23">
        <v>1060.5855662492636</v>
      </c>
      <c r="C41" s="24">
        <v>518.56562592539331</v>
      </c>
      <c r="AH41" s="16">
        <v>1175</v>
      </c>
      <c r="AI41" s="16"/>
      <c r="AJ41" s="16"/>
      <c r="AK41" s="16">
        <v>675</v>
      </c>
      <c r="AL41" s="16">
        <v>12</v>
      </c>
      <c r="AM41" s="16">
        <v>134</v>
      </c>
      <c r="AN41" s="16"/>
      <c r="BC41" s="13"/>
      <c r="BD41" s="13"/>
      <c r="BE41" s="13"/>
      <c r="BF41" s="13"/>
      <c r="BG41" s="13"/>
      <c r="BH41" s="13"/>
      <c r="BI41" s="13"/>
      <c r="BJ41" s="13"/>
      <c r="BK41" s="13"/>
      <c r="BL41" s="13"/>
      <c r="BM41" s="13"/>
      <c r="BN41" s="13"/>
    </row>
    <row r="42" spans="1:66" x14ac:dyDescent="0.25">
      <c r="A42" s="22">
        <v>40</v>
      </c>
      <c r="B42" s="23">
        <v>1164.4602725092368</v>
      </c>
      <c r="C42" s="24">
        <v>451.61824168776258</v>
      </c>
      <c r="AH42" s="16">
        <v>1200</v>
      </c>
      <c r="AI42" s="16"/>
      <c r="AJ42" s="16"/>
      <c r="AK42" s="16">
        <v>700</v>
      </c>
      <c r="AL42" s="16">
        <v>12</v>
      </c>
      <c r="AM42" s="16">
        <v>134</v>
      </c>
      <c r="AN42" s="16"/>
      <c r="BC42" s="13"/>
      <c r="BD42" s="13"/>
      <c r="BE42" s="13"/>
      <c r="BF42" s="13"/>
      <c r="BG42" s="13"/>
      <c r="BH42" s="13"/>
      <c r="BI42" s="13"/>
      <c r="BJ42" s="13"/>
      <c r="BK42" s="13"/>
      <c r="BL42" s="13"/>
      <c r="BM42" s="13"/>
      <c r="BN42" s="13"/>
    </row>
    <row r="43" spans="1:66" x14ac:dyDescent="0.25">
      <c r="A43" s="22">
        <v>41</v>
      </c>
      <c r="B43" s="23">
        <v>1152.4366767901727</v>
      </c>
      <c r="C43" s="24">
        <v>649.79806263496994</v>
      </c>
      <c r="AH43" s="16">
        <v>1225</v>
      </c>
      <c r="AI43" s="16"/>
      <c r="AJ43" s="16"/>
      <c r="AK43" s="16">
        <v>700</v>
      </c>
      <c r="AL43" s="16">
        <v>15</v>
      </c>
      <c r="AM43" s="16">
        <v>76</v>
      </c>
      <c r="AN43" s="16"/>
      <c r="BC43" s="13"/>
      <c r="BD43" s="13"/>
      <c r="BE43" s="13"/>
      <c r="BF43" s="13"/>
      <c r="BG43" s="13"/>
      <c r="BH43" s="13"/>
      <c r="BI43" s="13"/>
      <c r="BJ43" s="13"/>
      <c r="BK43" s="13"/>
      <c r="BL43" s="13"/>
      <c r="BM43" s="13"/>
      <c r="BN43" s="13"/>
    </row>
    <row r="44" spans="1:66" x14ac:dyDescent="0.25">
      <c r="A44" s="22">
        <v>42</v>
      </c>
      <c r="B44" s="23">
        <v>1416.0550512366235</v>
      </c>
      <c r="C44" s="24">
        <v>584.67950046372107</v>
      </c>
      <c r="AH44" s="16">
        <v>1250</v>
      </c>
      <c r="AI44" s="16"/>
      <c r="AJ44" s="16"/>
      <c r="AK44" s="16">
        <v>725</v>
      </c>
      <c r="AL44" s="16">
        <v>15</v>
      </c>
      <c r="AM44" s="16">
        <v>76</v>
      </c>
      <c r="AN44" s="16"/>
      <c r="BC44" s="13"/>
      <c r="BD44" s="13"/>
      <c r="BE44" s="13"/>
      <c r="BF44" s="13"/>
      <c r="BG44" s="13"/>
      <c r="BH44" s="13"/>
      <c r="BI44" s="13"/>
      <c r="BJ44" s="13"/>
      <c r="BK44" s="13"/>
      <c r="BL44" s="13"/>
      <c r="BM44" s="13"/>
      <c r="BN44" s="13"/>
    </row>
    <row r="45" spans="1:66" x14ac:dyDescent="0.25">
      <c r="A45" s="22">
        <v>43</v>
      </c>
      <c r="B45" s="23">
        <v>1130.9305476459222</v>
      </c>
      <c r="C45" s="24">
        <v>515.8932572112119</v>
      </c>
      <c r="AH45" s="16">
        <v>1275</v>
      </c>
      <c r="AI45" s="16"/>
      <c r="AJ45" s="16"/>
      <c r="AK45" s="16">
        <v>725</v>
      </c>
      <c r="AL45" s="16">
        <v>30</v>
      </c>
      <c r="AM45" s="16">
        <v>54</v>
      </c>
      <c r="AN45" s="16"/>
      <c r="BC45" s="13"/>
      <c r="BD45" s="13"/>
      <c r="BE45" s="13"/>
      <c r="BF45" s="13"/>
      <c r="BG45" s="13"/>
      <c r="BH45" s="13"/>
      <c r="BI45" s="13"/>
      <c r="BJ45" s="13"/>
      <c r="BK45" s="13"/>
      <c r="BL45" s="13"/>
      <c r="BM45" s="13"/>
      <c r="BN45" s="13"/>
    </row>
    <row r="46" spans="1:66" x14ac:dyDescent="0.25">
      <c r="A46" s="22">
        <v>44</v>
      </c>
      <c r="B46" s="23">
        <v>1243.818553473038</v>
      </c>
      <c r="C46" s="24">
        <v>546.04242422660798</v>
      </c>
      <c r="I46" s="54"/>
      <c r="AH46" s="16">
        <v>1300</v>
      </c>
      <c r="AI46" s="16"/>
      <c r="AJ46" s="16"/>
      <c r="AK46" s="16">
        <v>750</v>
      </c>
      <c r="AL46" s="16">
        <v>30</v>
      </c>
      <c r="AM46" s="16">
        <v>54</v>
      </c>
      <c r="AN46" s="16"/>
      <c r="BC46" s="13"/>
      <c r="BD46" s="13"/>
      <c r="BE46" s="13"/>
      <c r="BF46" s="13"/>
      <c r="BG46" s="13"/>
      <c r="BH46" s="13"/>
      <c r="BI46" s="13"/>
      <c r="BJ46" s="13"/>
      <c r="BK46" s="13"/>
      <c r="BL46" s="13"/>
      <c r="BM46" s="13"/>
      <c r="BN46" s="13"/>
    </row>
    <row r="47" spans="1:66" x14ac:dyDescent="0.25">
      <c r="A47" s="22">
        <v>45</v>
      </c>
      <c r="B47" s="23">
        <v>1142.7656003155075</v>
      </c>
      <c r="C47" s="24">
        <v>497.92139166023878</v>
      </c>
      <c r="AH47" s="16">
        <v>1325</v>
      </c>
      <c r="AI47" s="16"/>
      <c r="AJ47" s="16"/>
      <c r="AK47" s="16">
        <v>750</v>
      </c>
      <c r="AL47" s="16">
        <v>45</v>
      </c>
      <c r="AM47" s="16">
        <v>34</v>
      </c>
      <c r="AN47" s="16"/>
      <c r="BC47" s="13"/>
      <c r="BD47" s="13"/>
      <c r="BE47" s="13"/>
      <c r="BF47" s="13"/>
      <c r="BG47" s="13"/>
      <c r="BH47" s="13"/>
      <c r="BI47" s="13"/>
      <c r="BJ47" s="13"/>
      <c r="BK47" s="13"/>
      <c r="BL47" s="13"/>
      <c r="BM47" s="13"/>
      <c r="BN47" s="13"/>
    </row>
    <row r="48" spans="1:66" x14ac:dyDescent="0.25">
      <c r="A48" s="22">
        <v>46</v>
      </c>
      <c r="B48" s="23">
        <v>952.01070762141785</v>
      </c>
      <c r="C48" s="24">
        <v>469.7708475055656</v>
      </c>
      <c r="AH48" s="16">
        <v>1350</v>
      </c>
      <c r="AI48" s="16"/>
      <c r="AJ48" s="16"/>
      <c r="AK48" s="16">
        <v>775</v>
      </c>
      <c r="AL48" s="16">
        <v>45</v>
      </c>
      <c r="AM48" s="16">
        <v>34</v>
      </c>
      <c r="AN48" s="16"/>
      <c r="BC48" s="13"/>
      <c r="BD48" s="13"/>
      <c r="BE48" s="13"/>
      <c r="BF48" s="13"/>
      <c r="BG48" s="13"/>
      <c r="BH48" s="13"/>
      <c r="BI48" s="13"/>
      <c r="BJ48" s="13"/>
      <c r="BK48" s="13"/>
      <c r="BL48" s="13"/>
      <c r="BM48" s="13"/>
      <c r="BN48" s="13"/>
    </row>
    <row r="49" spans="1:66" x14ac:dyDescent="0.25">
      <c r="A49" s="22">
        <v>47</v>
      </c>
      <c r="B49" s="23">
        <v>1055.3469247005642</v>
      </c>
      <c r="C49" s="24">
        <v>585.25433034027265</v>
      </c>
      <c r="AH49" s="16">
        <v>1375</v>
      </c>
      <c r="AI49" s="16"/>
      <c r="AJ49" s="16"/>
      <c r="AK49" s="16">
        <v>775</v>
      </c>
      <c r="AL49" s="16">
        <v>53</v>
      </c>
      <c r="AM49" s="16">
        <v>24</v>
      </c>
      <c r="AN49" s="16"/>
      <c r="BC49" s="13"/>
      <c r="BD49" s="13"/>
      <c r="BE49" s="13"/>
      <c r="BF49" s="13"/>
      <c r="BG49" s="13"/>
      <c r="BH49" s="13"/>
      <c r="BI49" s="13"/>
      <c r="BJ49" s="13"/>
      <c r="BK49" s="13"/>
      <c r="BL49" s="13"/>
      <c r="BM49" s="13"/>
      <c r="BN49" s="13"/>
    </row>
    <row r="50" spans="1:66" x14ac:dyDescent="0.25">
      <c r="A50" s="22">
        <v>48</v>
      </c>
      <c r="B50" s="23">
        <v>1352.6184203708806</v>
      </c>
      <c r="C50" s="24">
        <v>431.7553314067614</v>
      </c>
      <c r="AH50" s="16">
        <v>1400</v>
      </c>
      <c r="AI50" s="16"/>
      <c r="AJ50" s="16"/>
      <c r="AK50" s="16">
        <v>800</v>
      </c>
      <c r="AL50" s="16">
        <v>53</v>
      </c>
      <c r="AM50" s="16">
        <v>24</v>
      </c>
      <c r="AN50" s="16"/>
      <c r="BC50" s="13"/>
      <c r="BD50" s="13"/>
      <c r="BE50" s="13"/>
      <c r="BF50" s="13"/>
      <c r="BG50" s="13"/>
      <c r="BH50" s="13"/>
      <c r="BI50" s="13"/>
      <c r="BJ50" s="13"/>
      <c r="BK50" s="13"/>
      <c r="BL50" s="13"/>
      <c r="BM50" s="13"/>
      <c r="BN50" s="13"/>
    </row>
    <row r="51" spans="1:66" x14ac:dyDescent="0.25">
      <c r="A51" s="22">
        <v>49</v>
      </c>
      <c r="B51" s="23">
        <v>988.66975552111035</v>
      </c>
      <c r="C51" s="24">
        <v>573.35938128697808</v>
      </c>
      <c r="AH51" s="16">
        <v>1425</v>
      </c>
      <c r="AI51" s="16"/>
      <c r="AJ51" s="16"/>
      <c r="AK51" s="16">
        <v>800</v>
      </c>
      <c r="AL51" s="16">
        <v>101</v>
      </c>
      <c r="AM51" s="16">
        <v>13</v>
      </c>
      <c r="AN51" s="16"/>
      <c r="BC51" s="13"/>
      <c r="BD51" s="13"/>
      <c r="BE51" s="13"/>
      <c r="BF51" s="13"/>
      <c r="BG51" s="13"/>
      <c r="BH51" s="13"/>
      <c r="BI51" s="13"/>
      <c r="BJ51" s="13"/>
      <c r="BK51" s="13"/>
      <c r="BL51" s="13"/>
      <c r="BM51" s="13"/>
      <c r="BN51" s="13"/>
    </row>
    <row r="52" spans="1:66" x14ac:dyDescent="0.25">
      <c r="A52" s="22">
        <v>50</v>
      </c>
      <c r="B52" s="23">
        <v>1235.6461244411817</v>
      </c>
      <c r="C52" s="24">
        <v>609.57733200583482</v>
      </c>
      <c r="AH52" s="16">
        <v>1450</v>
      </c>
      <c r="AI52" s="16"/>
      <c r="AJ52" s="16"/>
      <c r="AK52" s="16">
        <v>825</v>
      </c>
      <c r="AL52" s="16">
        <v>101</v>
      </c>
      <c r="AM52" s="16">
        <v>13</v>
      </c>
      <c r="AN52" s="16"/>
      <c r="BC52" s="13"/>
      <c r="BD52" s="13"/>
      <c r="BE52" s="13"/>
      <c r="BF52" s="13"/>
      <c r="BG52" s="13"/>
      <c r="BH52" s="13"/>
      <c r="BI52" s="13"/>
      <c r="BJ52" s="13"/>
      <c r="BK52" s="13"/>
      <c r="BL52" s="13"/>
      <c r="BM52" s="13"/>
      <c r="BN52" s="13"/>
    </row>
    <row r="53" spans="1:66" x14ac:dyDescent="0.25">
      <c r="A53" s="22">
        <v>51</v>
      </c>
      <c r="B53" s="23">
        <v>1021.2483359989081</v>
      </c>
      <c r="C53" s="24">
        <v>389.28360285898572</v>
      </c>
      <c r="AH53" s="16">
        <v>1475</v>
      </c>
      <c r="AI53" s="16"/>
      <c r="AJ53" s="16"/>
      <c r="AK53" s="16">
        <v>825</v>
      </c>
      <c r="AL53" s="16">
        <v>116</v>
      </c>
      <c r="AM53" s="16">
        <v>4</v>
      </c>
      <c r="AN53" s="16"/>
      <c r="BC53" s="13"/>
      <c r="BD53" s="13"/>
      <c r="BE53" s="13"/>
      <c r="BF53" s="13"/>
      <c r="BG53" s="13"/>
      <c r="BH53" s="13"/>
      <c r="BI53" s="13"/>
      <c r="BJ53" s="13"/>
      <c r="BK53" s="13"/>
      <c r="BL53" s="13"/>
      <c r="BM53" s="13"/>
      <c r="BN53" s="13"/>
    </row>
    <row r="54" spans="1:66" x14ac:dyDescent="0.25">
      <c r="A54" s="22">
        <v>52</v>
      </c>
      <c r="B54" s="23">
        <v>1203.6824789511729</v>
      </c>
      <c r="C54" s="24">
        <v>694.77351727861515</v>
      </c>
      <c r="AH54" s="16">
        <v>1500</v>
      </c>
      <c r="AI54" s="16"/>
      <c r="AJ54" s="16"/>
      <c r="AK54" s="16">
        <v>850</v>
      </c>
      <c r="AL54" s="16">
        <v>116</v>
      </c>
      <c r="AM54" s="16">
        <v>4</v>
      </c>
      <c r="AN54" s="16"/>
      <c r="BC54" s="13"/>
      <c r="BD54" s="13"/>
      <c r="BE54" s="13"/>
      <c r="BF54" s="13"/>
      <c r="BG54" s="13"/>
      <c r="BH54" s="13"/>
      <c r="BI54" s="13"/>
      <c r="BJ54" s="13"/>
      <c r="BK54" s="13"/>
      <c r="BL54" s="13"/>
      <c r="BM54" s="13"/>
      <c r="BN54" s="13"/>
    </row>
    <row r="55" spans="1:66" x14ac:dyDescent="0.25">
      <c r="A55" s="22">
        <v>53</v>
      </c>
      <c r="B55" s="23">
        <v>1013.3556300194125</v>
      </c>
      <c r="C55" s="24">
        <v>517.0911767793641</v>
      </c>
      <c r="AH55" s="16">
        <v>1525</v>
      </c>
      <c r="AI55" s="16"/>
      <c r="AJ55" s="16"/>
      <c r="AK55" s="16">
        <v>850</v>
      </c>
      <c r="AL55" s="16">
        <v>169</v>
      </c>
      <c r="AM55" s="16">
        <v>2</v>
      </c>
      <c r="AN55" s="16"/>
      <c r="BC55" s="13"/>
      <c r="BD55" s="13"/>
      <c r="BE55" s="13"/>
      <c r="BF55" s="13"/>
      <c r="BG55" s="13"/>
      <c r="BH55" s="13"/>
      <c r="BI55" s="13"/>
      <c r="BJ55" s="13"/>
      <c r="BK55" s="13"/>
      <c r="BL55" s="13"/>
      <c r="BM55" s="13"/>
      <c r="BN55" s="13"/>
    </row>
    <row r="56" spans="1:66" x14ac:dyDescent="0.25">
      <c r="A56" s="22">
        <v>54</v>
      </c>
      <c r="B56" s="23">
        <v>1239.5030398386816</v>
      </c>
      <c r="C56" s="24">
        <v>370.85143678935049</v>
      </c>
      <c r="AH56" s="16">
        <v>1550</v>
      </c>
      <c r="AI56" s="16"/>
      <c r="AJ56" s="16"/>
      <c r="AK56" s="16">
        <v>875</v>
      </c>
      <c r="AL56" s="16">
        <v>169</v>
      </c>
      <c r="AM56" s="16">
        <v>2</v>
      </c>
      <c r="AN56" s="16"/>
      <c r="BC56" s="13"/>
      <c r="BD56" s="13"/>
      <c r="BE56" s="13"/>
      <c r="BF56" s="13"/>
      <c r="BG56" s="13"/>
      <c r="BH56" s="13"/>
      <c r="BI56" s="13"/>
      <c r="BJ56" s="13"/>
      <c r="BK56" s="13"/>
      <c r="BL56" s="13"/>
      <c r="BM56" s="13"/>
      <c r="BN56" s="13"/>
    </row>
    <row r="57" spans="1:66" x14ac:dyDescent="0.25">
      <c r="A57" s="22">
        <v>55</v>
      </c>
      <c r="B57" s="23">
        <v>805.42427176521949</v>
      </c>
      <c r="C57" s="24">
        <v>483.67570879531092</v>
      </c>
      <c r="AH57" s="16">
        <v>1575</v>
      </c>
      <c r="AI57" s="16"/>
      <c r="AJ57" s="16"/>
      <c r="AK57" s="16">
        <v>875</v>
      </c>
      <c r="AL57" s="16">
        <v>190</v>
      </c>
      <c r="AM57" s="16">
        <v>2</v>
      </c>
      <c r="AN57" s="16"/>
      <c r="BC57" s="13"/>
      <c r="BD57" s="13"/>
      <c r="BE57" s="13"/>
      <c r="BF57" s="13"/>
      <c r="BG57" s="13"/>
      <c r="BH57" s="13"/>
      <c r="BI57" s="13"/>
      <c r="BJ57" s="13"/>
      <c r="BK57" s="13"/>
      <c r="BL57" s="13"/>
      <c r="BM57" s="13"/>
      <c r="BN57" s="13"/>
    </row>
    <row r="58" spans="1:66" x14ac:dyDescent="0.25">
      <c r="A58" s="22">
        <v>56</v>
      </c>
      <c r="B58" s="23">
        <v>1010.7662341093015</v>
      </c>
      <c r="C58" s="24">
        <v>564.48337333186282</v>
      </c>
      <c r="AH58" s="16">
        <v>1600</v>
      </c>
      <c r="AI58" s="16"/>
      <c r="AJ58" s="16"/>
      <c r="AK58" s="16">
        <v>900</v>
      </c>
      <c r="AL58" s="16">
        <v>190</v>
      </c>
      <c r="AM58" s="16">
        <v>2</v>
      </c>
      <c r="AN58" s="16"/>
      <c r="BC58" s="13"/>
      <c r="BD58" s="13"/>
      <c r="BE58" s="13"/>
      <c r="BF58" s="13"/>
      <c r="BG58" s="13"/>
      <c r="BH58" s="13"/>
      <c r="BI58" s="13"/>
      <c r="BJ58" s="13"/>
      <c r="BK58" s="13"/>
      <c r="BL58" s="13"/>
      <c r="BM58" s="13"/>
      <c r="BN58" s="13"/>
    </row>
    <row r="59" spans="1:66" x14ac:dyDescent="0.25">
      <c r="A59" s="22">
        <v>57</v>
      </c>
      <c r="B59" s="23">
        <v>1488.3062186788741</v>
      </c>
      <c r="C59" s="24">
        <v>430.24840297938408</v>
      </c>
      <c r="AH59" s="16">
        <v>1625</v>
      </c>
      <c r="AI59" s="16"/>
      <c r="AJ59" s="16"/>
      <c r="AK59" s="16">
        <v>900</v>
      </c>
      <c r="AL59" s="16">
        <v>234</v>
      </c>
      <c r="AM59" s="16">
        <v>1</v>
      </c>
      <c r="AN59" s="16"/>
      <c r="BC59" s="13"/>
      <c r="BD59" s="13"/>
      <c r="BE59" s="13"/>
      <c r="BF59" s="13"/>
      <c r="BG59" s="13"/>
      <c r="BH59" s="13"/>
      <c r="BI59" s="13"/>
      <c r="BJ59" s="13"/>
      <c r="BK59" s="13"/>
      <c r="BL59" s="13"/>
      <c r="BM59" s="13"/>
      <c r="BN59" s="13"/>
    </row>
    <row r="60" spans="1:66" x14ac:dyDescent="0.25">
      <c r="A60" s="22">
        <v>58</v>
      </c>
      <c r="B60" s="23">
        <v>999.20229738362377</v>
      </c>
      <c r="C60" s="24">
        <v>392.77127664380851</v>
      </c>
      <c r="AH60" s="16">
        <v>1650</v>
      </c>
      <c r="AI60" s="16"/>
      <c r="AJ60" s="16"/>
      <c r="AK60" s="16">
        <v>925</v>
      </c>
      <c r="AL60" s="16">
        <v>234</v>
      </c>
      <c r="AM60" s="16">
        <v>1</v>
      </c>
      <c r="AN60" s="16"/>
      <c r="BC60" s="13"/>
      <c r="BD60" s="13"/>
      <c r="BE60" s="13"/>
      <c r="BF60" s="13"/>
      <c r="BG60" s="13"/>
      <c r="BH60" s="13"/>
      <c r="BI60" s="13"/>
      <c r="BJ60" s="13"/>
      <c r="BK60" s="13"/>
      <c r="BL60" s="13"/>
      <c r="BM60" s="13"/>
      <c r="BN60" s="13"/>
    </row>
    <row r="61" spans="1:66" x14ac:dyDescent="0.25">
      <c r="A61" s="22">
        <v>59</v>
      </c>
      <c r="B61" s="23">
        <v>1391.506421261128</v>
      </c>
      <c r="C61" s="24">
        <v>684.53883618983605</v>
      </c>
      <c r="AH61" s="16">
        <v>1675</v>
      </c>
      <c r="AI61" s="16"/>
      <c r="AJ61" s="16"/>
      <c r="AK61" s="16">
        <v>925</v>
      </c>
      <c r="AL61" s="16">
        <v>335</v>
      </c>
      <c r="AM61" s="16">
        <v>1</v>
      </c>
      <c r="AN61" s="16"/>
      <c r="BC61" s="13"/>
      <c r="BD61" s="13"/>
      <c r="BE61" s="13"/>
      <c r="BF61" s="13"/>
      <c r="BG61" s="13"/>
      <c r="BH61" s="13"/>
      <c r="BI61" s="13"/>
      <c r="BJ61" s="13"/>
      <c r="BK61" s="13"/>
      <c r="BL61" s="13"/>
      <c r="BM61" s="13"/>
      <c r="BN61" s="13"/>
    </row>
    <row r="62" spans="1:66" x14ac:dyDescent="0.25">
      <c r="A62" s="22">
        <v>60</v>
      </c>
      <c r="B62" s="23">
        <v>1278.7720038693221</v>
      </c>
      <c r="C62" s="24">
        <v>599.73462885613617</v>
      </c>
      <c r="AH62" s="16">
        <v>1700</v>
      </c>
      <c r="AI62" s="16"/>
      <c r="AJ62" s="16"/>
      <c r="AK62" s="16">
        <v>950</v>
      </c>
      <c r="AL62" s="16">
        <v>335</v>
      </c>
      <c r="AM62" s="16">
        <v>1</v>
      </c>
      <c r="AN62" s="16"/>
      <c r="BC62" s="13"/>
      <c r="BD62" s="13"/>
      <c r="BE62" s="13"/>
      <c r="BF62" s="13"/>
      <c r="BG62" s="13"/>
      <c r="BH62" s="13"/>
      <c r="BI62" s="13"/>
      <c r="BJ62" s="13"/>
      <c r="BK62" s="13"/>
      <c r="BL62" s="13"/>
      <c r="BM62" s="13"/>
      <c r="BN62" s="13"/>
    </row>
    <row r="63" spans="1:66" x14ac:dyDescent="0.25">
      <c r="A63" s="22">
        <v>61</v>
      </c>
      <c r="B63" s="23">
        <v>1033.7756155664533</v>
      </c>
      <c r="C63" s="24">
        <v>661.03832938305322</v>
      </c>
      <c r="AH63" s="16">
        <v>1725</v>
      </c>
      <c r="AI63" s="16"/>
      <c r="AJ63" s="16"/>
      <c r="AK63" s="16">
        <v>950</v>
      </c>
      <c r="AL63" s="16">
        <v>379</v>
      </c>
      <c r="AM63" s="16">
        <v>2</v>
      </c>
      <c r="AN63" s="16"/>
      <c r="BC63" s="13"/>
      <c r="BD63" s="13"/>
      <c r="BE63" s="13"/>
      <c r="BF63" s="13"/>
      <c r="BG63" s="13"/>
      <c r="BH63" s="13"/>
      <c r="BI63" s="13"/>
      <c r="BJ63" s="13"/>
      <c r="BK63" s="13"/>
      <c r="BL63" s="13"/>
      <c r="BM63" s="13"/>
      <c r="BN63" s="13"/>
    </row>
    <row r="64" spans="1:66" x14ac:dyDescent="0.25">
      <c r="A64" s="22">
        <v>62</v>
      </c>
      <c r="B64" s="23">
        <v>1085.2015434792938</v>
      </c>
      <c r="C64" s="24">
        <v>389.14733647463885</v>
      </c>
      <c r="AH64" s="16">
        <v>1750</v>
      </c>
      <c r="AI64" s="16"/>
      <c r="AJ64" s="16"/>
      <c r="AK64" s="16">
        <v>975</v>
      </c>
      <c r="AL64" s="16">
        <v>379</v>
      </c>
      <c r="AM64" s="16">
        <v>2</v>
      </c>
      <c r="AN64" s="16"/>
      <c r="BC64" s="13"/>
      <c r="BD64" s="13"/>
      <c r="BE64" s="13"/>
      <c r="BF64" s="13"/>
      <c r="BG64" s="13"/>
      <c r="BH64" s="13"/>
      <c r="BI64" s="13"/>
      <c r="BJ64" s="13"/>
      <c r="BK64" s="13"/>
      <c r="BL64" s="13"/>
      <c r="BM64" s="13"/>
      <c r="BN64" s="13"/>
    </row>
    <row r="65" spans="1:66" x14ac:dyDescent="0.25">
      <c r="A65" s="22">
        <v>63</v>
      </c>
      <c r="B65" s="23">
        <v>1040.8386192115322</v>
      </c>
      <c r="C65" s="24">
        <v>448.49541685306849</v>
      </c>
      <c r="AH65" s="16">
        <v>1775</v>
      </c>
      <c r="AI65" s="16"/>
      <c r="AJ65" s="16"/>
      <c r="AK65" s="16">
        <v>975</v>
      </c>
      <c r="AL65" s="16">
        <v>437</v>
      </c>
      <c r="AM65" s="16">
        <v>0</v>
      </c>
      <c r="AN65" s="16"/>
      <c r="BC65" s="13"/>
      <c r="BD65" s="13"/>
      <c r="BE65" s="13"/>
      <c r="BF65" s="13"/>
      <c r="BG65" s="13"/>
      <c r="BH65" s="13"/>
      <c r="BI65" s="13"/>
      <c r="BJ65" s="13"/>
      <c r="BK65" s="13"/>
      <c r="BL65" s="13"/>
      <c r="BM65" s="13"/>
      <c r="BN65" s="13"/>
    </row>
    <row r="66" spans="1:66" x14ac:dyDescent="0.25">
      <c r="A66" s="22">
        <v>64</v>
      </c>
      <c r="B66" s="23">
        <v>1211.7550000744861</v>
      </c>
      <c r="C66" s="24">
        <v>521.36876819820259</v>
      </c>
      <c r="AH66" s="16">
        <v>1800</v>
      </c>
      <c r="AI66" s="16"/>
      <c r="AJ66" s="16"/>
      <c r="AK66" s="16">
        <v>1000</v>
      </c>
      <c r="AL66" s="16">
        <v>437</v>
      </c>
      <c r="AM66" s="16">
        <v>0</v>
      </c>
      <c r="AN66" s="16"/>
      <c r="BC66" s="13"/>
      <c r="BD66" s="13"/>
      <c r="BE66" s="13"/>
      <c r="BF66" s="13"/>
      <c r="BG66" s="13"/>
      <c r="BH66" s="13"/>
      <c r="BI66" s="13"/>
      <c r="BJ66" s="13"/>
      <c r="BK66" s="13"/>
      <c r="BL66" s="13"/>
      <c r="BM66" s="13"/>
      <c r="BN66" s="13"/>
    </row>
    <row r="67" spans="1:66" x14ac:dyDescent="0.25">
      <c r="A67" s="22">
        <v>65</v>
      </c>
      <c r="B67" s="23">
        <v>978.82441495735509</v>
      </c>
      <c r="C67" s="24">
        <v>345.66850964167099</v>
      </c>
      <c r="AH67" s="16">
        <v>1825</v>
      </c>
      <c r="AI67" s="16"/>
      <c r="AJ67" s="16"/>
      <c r="AK67" s="16">
        <v>1000</v>
      </c>
      <c r="AL67" s="16">
        <v>501</v>
      </c>
      <c r="AM67" s="16">
        <v>1</v>
      </c>
      <c r="AN67" s="16"/>
      <c r="BC67" s="13"/>
      <c r="BD67" s="13"/>
      <c r="BE67" s="13"/>
      <c r="BF67" s="13"/>
      <c r="BG67" s="13"/>
      <c r="BH67" s="13"/>
      <c r="BI67" s="13"/>
      <c r="BJ67" s="13"/>
      <c r="BK67" s="13"/>
      <c r="BL67" s="13"/>
      <c r="BM67" s="13"/>
      <c r="BN67" s="13"/>
    </row>
    <row r="68" spans="1:66" x14ac:dyDescent="0.25">
      <c r="A68" s="22">
        <v>66</v>
      </c>
      <c r="B68" s="23">
        <v>861.18630270054155</v>
      </c>
      <c r="C68" s="24">
        <v>446.38937071669494</v>
      </c>
      <c r="AH68" s="13">
        <v>1850</v>
      </c>
      <c r="AK68" s="13">
        <v>1025</v>
      </c>
      <c r="AL68" s="13">
        <v>501</v>
      </c>
      <c r="AM68" s="13">
        <v>1</v>
      </c>
      <c r="BC68" s="13"/>
      <c r="BD68" s="13"/>
      <c r="BE68" s="13"/>
      <c r="BF68" s="13"/>
      <c r="BG68" s="13"/>
      <c r="BH68" s="13"/>
      <c r="BI68" s="13"/>
      <c r="BJ68" s="13"/>
      <c r="BK68" s="13"/>
      <c r="BL68" s="13"/>
      <c r="BM68" s="13"/>
      <c r="BN68" s="13"/>
    </row>
    <row r="69" spans="1:66" x14ac:dyDescent="0.25">
      <c r="A69" s="22">
        <v>67</v>
      </c>
      <c r="B69" s="23">
        <v>837.16482886506799</v>
      </c>
      <c r="C69" s="24">
        <v>403.86924709496344</v>
      </c>
      <c r="AH69" s="13">
        <v>1875</v>
      </c>
      <c r="AK69" s="13">
        <v>1025</v>
      </c>
      <c r="AL69" s="13">
        <v>461</v>
      </c>
      <c r="AM69" s="13">
        <v>0</v>
      </c>
      <c r="BC69" s="13"/>
      <c r="BD69" s="13"/>
      <c r="BE69" s="13"/>
      <c r="BF69" s="13"/>
      <c r="BG69" s="13"/>
      <c r="BH69" s="13"/>
      <c r="BI69" s="13"/>
      <c r="BJ69" s="13"/>
      <c r="BK69" s="13"/>
      <c r="BL69" s="13"/>
      <c r="BM69" s="13"/>
      <c r="BN69" s="13"/>
    </row>
    <row r="70" spans="1:66" x14ac:dyDescent="0.25">
      <c r="A70" s="22">
        <v>68</v>
      </c>
      <c r="B70" s="23">
        <v>1140.7588584614707</v>
      </c>
      <c r="C70" s="24">
        <v>499.51670814186326</v>
      </c>
      <c r="AH70" s="13">
        <v>1900</v>
      </c>
      <c r="AK70" s="13">
        <v>1050</v>
      </c>
      <c r="AL70" s="13">
        <v>461</v>
      </c>
      <c r="BC70" s="13"/>
      <c r="BD70" s="13"/>
      <c r="BE70" s="13"/>
      <c r="BF70" s="13"/>
      <c r="BG70" s="13"/>
      <c r="BH70" s="13"/>
      <c r="BI70" s="13"/>
      <c r="BJ70" s="13"/>
      <c r="BK70" s="13"/>
      <c r="BL70" s="13"/>
      <c r="BM70" s="13"/>
      <c r="BN70" s="13"/>
    </row>
    <row r="71" spans="1:66" x14ac:dyDescent="0.25">
      <c r="A71" s="22">
        <v>69</v>
      </c>
      <c r="B71" s="23">
        <v>1046.6359923989901</v>
      </c>
      <c r="C71" s="24">
        <v>444.44729787401371</v>
      </c>
      <c r="AH71" s="13">
        <v>1925</v>
      </c>
      <c r="AK71" s="13">
        <v>1050</v>
      </c>
      <c r="AL71" s="13">
        <v>507</v>
      </c>
      <c r="BC71" s="13"/>
      <c r="BD71" s="13"/>
      <c r="BE71" s="13"/>
      <c r="BF71" s="13"/>
      <c r="BG71" s="13"/>
      <c r="BH71" s="13"/>
      <c r="BI71" s="13"/>
      <c r="BJ71" s="13"/>
      <c r="BK71" s="13"/>
      <c r="BL71" s="13"/>
      <c r="BM71" s="13"/>
      <c r="BN71" s="13"/>
    </row>
    <row r="72" spans="1:66" x14ac:dyDescent="0.25">
      <c r="A72" s="22">
        <v>70</v>
      </c>
      <c r="B72" s="23">
        <v>1241.5252293795447</v>
      </c>
      <c r="C72" s="24">
        <v>402.7079501370539</v>
      </c>
      <c r="AH72" s="13">
        <v>1950</v>
      </c>
      <c r="AK72" s="13">
        <v>1075</v>
      </c>
      <c r="AL72" s="13">
        <v>507</v>
      </c>
      <c r="BC72" s="13"/>
      <c r="BD72" s="13"/>
      <c r="BE72" s="13"/>
      <c r="BF72" s="13"/>
      <c r="BG72" s="13"/>
      <c r="BH72" s="13"/>
      <c r="BI72" s="13"/>
      <c r="BJ72" s="13"/>
      <c r="BK72" s="13"/>
      <c r="BL72" s="13"/>
      <c r="BM72" s="13"/>
      <c r="BN72" s="13"/>
    </row>
    <row r="73" spans="1:66" x14ac:dyDescent="0.25">
      <c r="A73" s="22">
        <v>71</v>
      </c>
      <c r="B73" s="23">
        <v>1132.1722294419776</v>
      </c>
      <c r="C73" s="24">
        <v>397.82230354409683</v>
      </c>
      <c r="AH73" s="13">
        <v>1975</v>
      </c>
      <c r="AK73" s="13">
        <v>1075</v>
      </c>
      <c r="AL73" s="13">
        <v>561</v>
      </c>
      <c r="BC73" s="13"/>
      <c r="BD73" s="13"/>
      <c r="BE73" s="13"/>
      <c r="BF73" s="13"/>
      <c r="BG73" s="13"/>
      <c r="BH73" s="13"/>
      <c r="BI73" s="13"/>
      <c r="BJ73" s="13"/>
      <c r="BK73" s="13"/>
      <c r="BL73" s="13"/>
      <c r="BM73" s="13"/>
      <c r="BN73" s="13"/>
    </row>
    <row r="74" spans="1:66" x14ac:dyDescent="0.25">
      <c r="A74" s="22">
        <v>72</v>
      </c>
      <c r="B74" s="23">
        <v>1240.3582721763282</v>
      </c>
      <c r="C74" s="24">
        <v>417.58592418514166</v>
      </c>
      <c r="AK74" s="13">
        <v>1100</v>
      </c>
      <c r="AL74" s="13">
        <v>561</v>
      </c>
      <c r="BC74" s="13"/>
      <c r="BD74" s="13"/>
      <c r="BE74" s="13"/>
      <c r="BF74" s="13"/>
      <c r="BG74" s="13"/>
      <c r="BH74" s="13"/>
      <c r="BI74" s="13"/>
      <c r="BJ74" s="13"/>
      <c r="BK74" s="13"/>
      <c r="BL74" s="13"/>
      <c r="BM74" s="13"/>
      <c r="BN74" s="13"/>
    </row>
    <row r="75" spans="1:66" x14ac:dyDescent="0.25">
      <c r="A75" s="22">
        <v>73</v>
      </c>
      <c r="B75" s="23">
        <v>1271.6848976622966</v>
      </c>
      <c r="C75" s="24">
        <v>422.29822524085085</v>
      </c>
      <c r="AK75" s="13">
        <v>1100</v>
      </c>
      <c r="AL75" s="13">
        <v>524</v>
      </c>
      <c r="BC75" s="13"/>
      <c r="BD75" s="13"/>
      <c r="BE75" s="13"/>
      <c r="BF75" s="13"/>
      <c r="BG75" s="13"/>
      <c r="BH75" s="13"/>
      <c r="BI75" s="13"/>
      <c r="BJ75" s="13"/>
      <c r="BK75" s="13"/>
      <c r="BL75" s="13"/>
      <c r="BM75" s="13"/>
      <c r="BN75" s="13"/>
    </row>
    <row r="76" spans="1:66" x14ac:dyDescent="0.25">
      <c r="A76" s="22">
        <v>74</v>
      </c>
      <c r="B76" s="23">
        <v>1075.2663796256852</v>
      </c>
      <c r="C76" s="24">
        <v>426.02858602492137</v>
      </c>
      <c r="AK76" s="13">
        <v>1125</v>
      </c>
      <c r="AL76" s="13">
        <v>524</v>
      </c>
      <c r="BC76" s="13"/>
      <c r="BD76" s="13"/>
      <c r="BE76" s="13"/>
      <c r="BF76" s="13"/>
      <c r="BG76" s="13"/>
      <c r="BH76" s="13"/>
      <c r="BI76" s="13"/>
      <c r="BJ76" s="13"/>
      <c r="BK76" s="13"/>
      <c r="BL76" s="13"/>
      <c r="BM76" s="13"/>
      <c r="BN76" s="13"/>
    </row>
    <row r="77" spans="1:66" x14ac:dyDescent="0.25">
      <c r="A77" s="22">
        <v>75</v>
      </c>
      <c r="B77" s="23">
        <v>1033.0650130806896</v>
      </c>
      <c r="C77" s="24">
        <v>511.94224352923572</v>
      </c>
      <c r="AK77" s="13">
        <v>1125</v>
      </c>
      <c r="AL77" s="13">
        <v>531</v>
      </c>
      <c r="BC77" s="13"/>
      <c r="BD77" s="13"/>
      <c r="BE77" s="13"/>
      <c r="BF77" s="13"/>
      <c r="BG77" s="13"/>
      <c r="BH77" s="13"/>
      <c r="BI77" s="13"/>
      <c r="BJ77" s="13"/>
      <c r="BK77" s="13"/>
      <c r="BL77" s="13"/>
      <c r="BM77" s="13"/>
      <c r="BN77" s="13"/>
    </row>
    <row r="78" spans="1:66" x14ac:dyDescent="0.25">
      <c r="A78" s="22">
        <v>76</v>
      </c>
      <c r="B78" s="23">
        <v>990.93685336168028</v>
      </c>
      <c r="C78" s="24">
        <v>555.01681839607068</v>
      </c>
      <c r="AK78" s="13">
        <v>1150</v>
      </c>
      <c r="AL78" s="13">
        <v>531</v>
      </c>
      <c r="BC78" s="13"/>
      <c r="BD78" s="13"/>
      <c r="BE78" s="13"/>
      <c r="BF78" s="13"/>
      <c r="BG78" s="13"/>
      <c r="BH78" s="13"/>
      <c r="BI78" s="13"/>
      <c r="BJ78" s="13"/>
      <c r="BK78" s="13"/>
      <c r="BL78" s="13"/>
      <c r="BM78" s="13"/>
      <c r="BN78" s="13"/>
    </row>
    <row r="79" spans="1:66" x14ac:dyDescent="0.25">
      <c r="A79" s="22">
        <v>77</v>
      </c>
      <c r="B79" s="23">
        <v>1559.2873321067789</v>
      </c>
      <c r="C79" s="24">
        <v>377.43501100565953</v>
      </c>
      <c r="AK79" s="13">
        <v>1150</v>
      </c>
      <c r="AL79" s="13">
        <v>556</v>
      </c>
      <c r="BC79" s="13"/>
      <c r="BD79" s="13"/>
      <c r="BE79" s="13"/>
      <c r="BF79" s="13"/>
      <c r="BG79" s="13"/>
      <c r="BH79" s="13"/>
      <c r="BI79" s="13"/>
      <c r="BJ79" s="13"/>
      <c r="BK79" s="13"/>
      <c r="BL79" s="13"/>
      <c r="BM79" s="13"/>
      <c r="BN79" s="13"/>
    </row>
    <row r="80" spans="1:66" x14ac:dyDescent="0.25">
      <c r="A80" s="22">
        <v>78</v>
      </c>
      <c r="B80" s="23">
        <v>1136.0867574355839</v>
      </c>
      <c r="C80" s="24">
        <v>529.15695003024882</v>
      </c>
      <c r="AK80" s="13">
        <v>1175</v>
      </c>
      <c r="AL80" s="13">
        <v>556</v>
      </c>
      <c r="BC80" s="13"/>
      <c r="BD80" s="13"/>
      <c r="BE80" s="13"/>
      <c r="BF80" s="13"/>
      <c r="BG80" s="13"/>
      <c r="BH80" s="13"/>
      <c r="BI80" s="13"/>
      <c r="BJ80" s="13"/>
      <c r="BK80" s="13"/>
      <c r="BL80" s="13"/>
      <c r="BM80" s="13"/>
      <c r="BN80" s="13"/>
    </row>
    <row r="81" spans="1:66" x14ac:dyDescent="0.25">
      <c r="A81" s="22">
        <v>79</v>
      </c>
      <c r="B81" s="23">
        <v>1190.2539868375804</v>
      </c>
      <c r="C81" s="24">
        <v>441.81814450933626</v>
      </c>
      <c r="AK81" s="13">
        <v>1175</v>
      </c>
      <c r="AL81" s="13">
        <v>490</v>
      </c>
      <c r="BC81" s="13"/>
      <c r="BD81" s="13"/>
      <c r="BE81" s="13"/>
      <c r="BF81" s="13"/>
      <c r="BG81" s="13"/>
      <c r="BH81" s="13"/>
      <c r="BI81" s="13"/>
      <c r="BJ81" s="13"/>
      <c r="BK81" s="13"/>
      <c r="BL81" s="13"/>
      <c r="BM81" s="13"/>
      <c r="BN81" s="13"/>
    </row>
    <row r="82" spans="1:66" x14ac:dyDescent="0.25">
      <c r="A82" s="22">
        <v>80</v>
      </c>
      <c r="B82" s="23">
        <v>1955.2779826989793</v>
      </c>
      <c r="C82" s="24">
        <v>487.18945908703</v>
      </c>
      <c r="AK82" s="13">
        <v>1200</v>
      </c>
      <c r="AL82" s="13">
        <v>490</v>
      </c>
      <c r="BC82" s="13"/>
      <c r="BD82" s="13"/>
      <c r="BE82" s="13"/>
      <c r="BF82" s="13"/>
      <c r="BG82" s="13"/>
      <c r="BH82" s="13"/>
      <c r="BI82" s="13"/>
      <c r="BJ82" s="13"/>
      <c r="BK82" s="13"/>
      <c r="BL82" s="13"/>
      <c r="BM82" s="13"/>
      <c r="BN82" s="13"/>
    </row>
    <row r="83" spans="1:66" x14ac:dyDescent="0.25">
      <c r="A83" s="22">
        <v>81</v>
      </c>
      <c r="B83" s="23">
        <v>1243.9543245989585</v>
      </c>
      <c r="C83" s="24">
        <v>569.0196696019816</v>
      </c>
      <c r="AK83" s="13">
        <v>1200</v>
      </c>
      <c r="AL83" s="13">
        <v>499</v>
      </c>
      <c r="BC83" s="13"/>
      <c r="BD83" s="13"/>
      <c r="BE83" s="13"/>
      <c r="BF83" s="13"/>
      <c r="BG83" s="13"/>
      <c r="BH83" s="13"/>
      <c r="BI83" s="13"/>
      <c r="BJ83" s="13"/>
      <c r="BK83" s="13"/>
      <c r="BL83" s="13"/>
      <c r="BM83" s="13"/>
      <c r="BN83" s="13"/>
    </row>
    <row r="84" spans="1:66" x14ac:dyDescent="0.25">
      <c r="A84" s="22">
        <v>82</v>
      </c>
      <c r="B84" s="23">
        <v>1181.4537852179028</v>
      </c>
      <c r="C84" s="24">
        <v>433.48821812678852</v>
      </c>
      <c r="AK84" s="13">
        <v>1225</v>
      </c>
      <c r="AL84" s="13">
        <v>499</v>
      </c>
      <c r="BC84" s="13"/>
      <c r="BD84" s="13"/>
      <c r="BE84" s="13"/>
      <c r="BF84" s="13"/>
      <c r="BG84" s="13"/>
      <c r="BH84" s="13"/>
      <c r="BI84" s="13"/>
      <c r="BJ84" s="13"/>
      <c r="BK84" s="13"/>
      <c r="BL84" s="13"/>
      <c r="BM84" s="13"/>
      <c r="BN84" s="13"/>
    </row>
    <row r="85" spans="1:66" x14ac:dyDescent="0.25">
      <c r="A85" s="22">
        <v>83</v>
      </c>
      <c r="B85" s="23">
        <v>1289.287668220491</v>
      </c>
      <c r="C85" s="24">
        <v>395.33858003970295</v>
      </c>
      <c r="AK85" s="13">
        <v>1225</v>
      </c>
      <c r="AL85" s="13">
        <v>460</v>
      </c>
      <c r="BC85" s="13"/>
      <c r="BD85" s="13"/>
      <c r="BE85" s="13"/>
      <c r="BF85" s="13"/>
      <c r="BG85" s="13"/>
      <c r="BH85" s="13"/>
      <c r="BI85" s="13"/>
      <c r="BJ85" s="13"/>
      <c r="BK85" s="13"/>
      <c r="BL85" s="13"/>
      <c r="BM85" s="13"/>
      <c r="BN85" s="13"/>
    </row>
    <row r="86" spans="1:66" x14ac:dyDescent="0.25">
      <c r="A86" s="22">
        <v>84</v>
      </c>
      <c r="B86" s="23">
        <v>1217.6427897231104</v>
      </c>
      <c r="C86" s="24">
        <v>422.51042318328416</v>
      </c>
      <c r="AK86" s="13">
        <v>1250</v>
      </c>
      <c r="AL86" s="13">
        <v>460</v>
      </c>
      <c r="BC86" s="13"/>
      <c r="BD86" s="13"/>
      <c r="BE86" s="13"/>
      <c r="BF86" s="13"/>
      <c r="BG86" s="13"/>
      <c r="BH86" s="13"/>
      <c r="BI86" s="13"/>
      <c r="BJ86" s="13"/>
      <c r="BK86" s="13"/>
      <c r="BL86" s="13"/>
      <c r="BM86" s="13"/>
      <c r="BN86" s="13"/>
    </row>
    <row r="87" spans="1:66" x14ac:dyDescent="0.25">
      <c r="A87" s="22">
        <v>85</v>
      </c>
      <c r="B87" s="23">
        <v>1134.0494629963796</v>
      </c>
      <c r="C87" s="24">
        <v>458.87495693227726</v>
      </c>
      <c r="AK87" s="13">
        <v>1250</v>
      </c>
      <c r="AL87" s="13">
        <v>434</v>
      </c>
      <c r="BC87" s="13"/>
      <c r="BD87" s="13"/>
      <c r="BE87" s="13"/>
      <c r="BF87" s="13"/>
      <c r="BG87" s="13"/>
      <c r="BH87" s="13"/>
      <c r="BI87" s="13"/>
      <c r="BJ87" s="13"/>
      <c r="BK87" s="13"/>
      <c r="BL87" s="13"/>
      <c r="BM87" s="13"/>
      <c r="BN87" s="13"/>
    </row>
    <row r="88" spans="1:66" x14ac:dyDescent="0.25">
      <c r="A88" s="22">
        <v>86</v>
      </c>
      <c r="B88" s="23">
        <v>1362.0675072106869</v>
      </c>
      <c r="C88" s="24">
        <v>620.31425174662081</v>
      </c>
      <c r="AK88" s="13">
        <v>1275</v>
      </c>
      <c r="AL88" s="13">
        <v>434</v>
      </c>
      <c r="BC88" s="13"/>
      <c r="BD88" s="13"/>
      <c r="BE88" s="13"/>
      <c r="BF88" s="13"/>
      <c r="BG88" s="13"/>
      <c r="BH88" s="13"/>
      <c r="BI88" s="13"/>
      <c r="BJ88" s="13"/>
      <c r="BK88" s="13"/>
      <c r="BL88" s="13"/>
      <c r="BM88" s="13"/>
      <c r="BN88" s="13"/>
    </row>
    <row r="89" spans="1:66" x14ac:dyDescent="0.25">
      <c r="A89" s="22">
        <v>87</v>
      </c>
      <c r="B89" s="23">
        <v>1050.9293686958424</v>
      </c>
      <c r="C89" s="24">
        <v>424.88716085857527</v>
      </c>
      <c r="AK89" s="13">
        <v>1275</v>
      </c>
      <c r="AL89" s="13">
        <v>360</v>
      </c>
      <c r="BC89" s="13"/>
      <c r="BD89" s="13"/>
      <c r="BE89" s="13"/>
      <c r="BF89" s="13"/>
      <c r="BG89" s="13"/>
      <c r="BH89" s="13"/>
      <c r="BI89" s="13"/>
      <c r="BJ89" s="13"/>
      <c r="BK89" s="13"/>
      <c r="BL89" s="13"/>
      <c r="BM89" s="13"/>
      <c r="BN89" s="13"/>
    </row>
    <row r="90" spans="1:66" x14ac:dyDescent="0.25">
      <c r="A90" s="22">
        <v>88</v>
      </c>
      <c r="B90" s="23">
        <v>1119.6239713975551</v>
      </c>
      <c r="C90" s="24">
        <v>392.14145555685923</v>
      </c>
      <c r="AK90" s="13">
        <v>1300</v>
      </c>
      <c r="AL90" s="13">
        <v>360</v>
      </c>
      <c r="BC90" s="13"/>
      <c r="BD90" s="13"/>
      <c r="BE90" s="13"/>
      <c r="BF90" s="13"/>
      <c r="BG90" s="13"/>
      <c r="BH90" s="13"/>
      <c r="BI90" s="13"/>
      <c r="BJ90" s="13"/>
      <c r="BK90" s="13"/>
      <c r="BL90" s="13"/>
      <c r="BM90" s="13"/>
      <c r="BN90" s="13"/>
    </row>
    <row r="91" spans="1:66" x14ac:dyDescent="0.25">
      <c r="A91" s="22">
        <v>89</v>
      </c>
      <c r="B91" s="23">
        <v>1228.0648029560825</v>
      </c>
      <c r="C91" s="24">
        <v>330.27723678121362</v>
      </c>
      <c r="AK91" s="13">
        <v>1300</v>
      </c>
      <c r="AL91" s="13">
        <v>280</v>
      </c>
      <c r="BC91" s="13"/>
      <c r="BD91" s="13"/>
      <c r="BE91" s="13"/>
      <c r="BF91" s="13"/>
      <c r="BG91" s="13"/>
      <c r="BH91" s="13"/>
      <c r="BI91" s="13"/>
      <c r="BJ91" s="13"/>
      <c r="BK91" s="13"/>
      <c r="BL91" s="13"/>
      <c r="BM91" s="13"/>
      <c r="BN91" s="13"/>
    </row>
    <row r="92" spans="1:66" x14ac:dyDescent="0.25">
      <c r="A92" s="22">
        <v>90</v>
      </c>
      <c r="B92" s="23">
        <v>1137.5539676233388</v>
      </c>
      <c r="C92" s="24">
        <v>663.46891354101876</v>
      </c>
      <c r="AK92" s="13">
        <v>1325</v>
      </c>
      <c r="AL92" s="13">
        <v>280</v>
      </c>
      <c r="BC92" s="13"/>
      <c r="BD92" s="13"/>
      <c r="BE92" s="13"/>
      <c r="BF92" s="13"/>
      <c r="BG92" s="13"/>
      <c r="BH92" s="13"/>
      <c r="BI92" s="13"/>
      <c r="BJ92" s="13"/>
      <c r="BK92" s="13"/>
      <c r="BL92" s="13"/>
      <c r="BM92" s="13"/>
      <c r="BN92" s="13"/>
    </row>
    <row r="93" spans="1:66" x14ac:dyDescent="0.25">
      <c r="A93" s="22">
        <v>91</v>
      </c>
      <c r="B93" s="23">
        <v>1343.4492454945585</v>
      </c>
      <c r="C93" s="24">
        <v>480.82030975275256</v>
      </c>
      <c r="AK93" s="13">
        <v>1325</v>
      </c>
      <c r="AL93" s="13">
        <v>294</v>
      </c>
      <c r="BC93" s="13"/>
      <c r="BD93" s="13"/>
      <c r="BE93" s="13"/>
      <c r="BF93" s="13"/>
      <c r="BG93" s="13"/>
      <c r="BH93" s="13"/>
      <c r="BI93" s="13"/>
      <c r="BJ93" s="13"/>
      <c r="BK93" s="13"/>
      <c r="BL93" s="13"/>
      <c r="BM93" s="13"/>
      <c r="BN93" s="13"/>
    </row>
    <row r="94" spans="1:66" x14ac:dyDescent="0.25">
      <c r="A94" s="22">
        <v>92</v>
      </c>
      <c r="B94" s="23">
        <v>1005.0879652600564</v>
      </c>
      <c r="C94" s="24">
        <v>548.07579005694106</v>
      </c>
      <c r="AK94" s="13">
        <v>1350</v>
      </c>
      <c r="AL94" s="13">
        <v>294</v>
      </c>
      <c r="BC94" s="13"/>
      <c r="BD94" s="13"/>
      <c r="BE94" s="13"/>
      <c r="BF94" s="13"/>
      <c r="BG94" s="13"/>
      <c r="BH94" s="13"/>
      <c r="BI94" s="13"/>
      <c r="BJ94" s="13"/>
      <c r="BK94" s="13"/>
      <c r="BL94" s="13"/>
      <c r="BM94" s="13"/>
      <c r="BN94" s="13"/>
    </row>
    <row r="95" spans="1:66" x14ac:dyDescent="0.25">
      <c r="A95" s="22">
        <v>93</v>
      </c>
      <c r="B95" s="23">
        <v>1137.065371755838</v>
      </c>
      <c r="C95" s="24">
        <v>360.21657499261426</v>
      </c>
      <c r="AK95" s="13">
        <v>1350</v>
      </c>
      <c r="AL95" s="13">
        <v>237</v>
      </c>
      <c r="BC95" s="13"/>
      <c r="BD95" s="13"/>
      <c r="BE95" s="13"/>
      <c r="BF95" s="13"/>
      <c r="BG95" s="13"/>
      <c r="BH95" s="13"/>
      <c r="BI95" s="13"/>
      <c r="BJ95" s="13"/>
      <c r="BK95" s="13"/>
      <c r="BL95" s="13"/>
      <c r="BM95" s="13"/>
      <c r="BN95" s="13"/>
    </row>
    <row r="96" spans="1:66" x14ac:dyDescent="0.25">
      <c r="A96" s="22">
        <v>94</v>
      </c>
      <c r="B96" s="23">
        <v>1517.9127213020417</v>
      </c>
      <c r="C96" s="24">
        <v>475.76677353807742</v>
      </c>
      <c r="AK96" s="13">
        <v>1375</v>
      </c>
      <c r="AL96" s="13">
        <v>237</v>
      </c>
      <c r="BC96" s="13"/>
      <c r="BD96" s="13"/>
      <c r="BE96" s="13"/>
      <c r="BF96" s="13"/>
      <c r="BG96" s="13"/>
      <c r="BH96" s="13"/>
      <c r="BI96" s="13"/>
      <c r="BJ96" s="13"/>
      <c r="BK96" s="13"/>
      <c r="BL96" s="13"/>
      <c r="BM96" s="13"/>
      <c r="BN96" s="13"/>
    </row>
    <row r="97" spans="1:66" x14ac:dyDescent="0.25">
      <c r="A97" s="22">
        <v>95</v>
      </c>
      <c r="B97" s="23">
        <v>1030.8009590628617</v>
      </c>
      <c r="C97" s="24">
        <v>466.26374950536103</v>
      </c>
      <c r="AK97" s="13">
        <v>1375</v>
      </c>
      <c r="AL97" s="13">
        <v>213</v>
      </c>
      <c r="BC97" s="13"/>
      <c r="BD97" s="13"/>
      <c r="BE97" s="13"/>
      <c r="BF97" s="13"/>
      <c r="BG97" s="13"/>
      <c r="BH97" s="13"/>
      <c r="BI97" s="13"/>
      <c r="BJ97" s="13"/>
      <c r="BK97" s="13"/>
      <c r="BL97" s="13"/>
      <c r="BM97" s="13"/>
      <c r="BN97" s="13"/>
    </row>
    <row r="98" spans="1:66" x14ac:dyDescent="0.25">
      <c r="A98" s="22">
        <v>96</v>
      </c>
      <c r="B98" s="23">
        <v>1261.7139296274195</v>
      </c>
      <c r="C98" s="24">
        <v>458.75386821252715</v>
      </c>
      <c r="AK98" s="13">
        <v>1400</v>
      </c>
      <c r="AL98" s="13">
        <v>213</v>
      </c>
      <c r="BC98" s="13"/>
      <c r="BD98" s="13"/>
      <c r="BE98" s="13"/>
      <c r="BF98" s="13"/>
      <c r="BG98" s="13"/>
      <c r="BH98" s="13"/>
      <c r="BI98" s="13"/>
      <c r="BJ98" s="13"/>
      <c r="BK98" s="13"/>
      <c r="BL98" s="13"/>
      <c r="BM98" s="13"/>
      <c r="BN98" s="13"/>
    </row>
    <row r="99" spans="1:66" x14ac:dyDescent="0.25">
      <c r="A99" s="22">
        <v>97</v>
      </c>
      <c r="B99" s="23">
        <v>987.99774487985565</v>
      </c>
      <c r="C99" s="24">
        <v>397.81090510299725</v>
      </c>
      <c r="AK99" s="13">
        <v>1400</v>
      </c>
      <c r="AL99" s="13">
        <v>181</v>
      </c>
      <c r="BC99" s="13"/>
      <c r="BD99" s="13"/>
      <c r="BE99" s="13"/>
      <c r="BF99" s="13"/>
      <c r="BG99" s="13"/>
      <c r="BH99" s="13"/>
      <c r="BI99" s="13"/>
      <c r="BJ99" s="13"/>
      <c r="BK99" s="13"/>
      <c r="BL99" s="13"/>
      <c r="BM99" s="13"/>
      <c r="BN99" s="13"/>
    </row>
    <row r="100" spans="1:66" x14ac:dyDescent="0.25">
      <c r="A100" s="22">
        <v>98</v>
      </c>
      <c r="B100" s="23">
        <v>1064.3772429620665</v>
      </c>
      <c r="C100" s="24">
        <v>596.03144980367404</v>
      </c>
      <c r="AK100" s="13">
        <v>1425</v>
      </c>
      <c r="AL100" s="13">
        <v>181</v>
      </c>
      <c r="BC100" s="13"/>
      <c r="BD100" s="13"/>
      <c r="BE100" s="13"/>
      <c r="BF100" s="13"/>
      <c r="BG100" s="13"/>
      <c r="BH100" s="13"/>
      <c r="BI100" s="13"/>
      <c r="BJ100" s="13"/>
      <c r="BK100" s="13"/>
      <c r="BL100" s="13"/>
      <c r="BM100" s="13"/>
      <c r="BN100" s="13"/>
    </row>
    <row r="101" spans="1:66" x14ac:dyDescent="0.25">
      <c r="A101" s="22">
        <v>99</v>
      </c>
      <c r="B101" s="23">
        <v>1292.6859673529427</v>
      </c>
      <c r="C101" s="24">
        <v>341.60557582991851</v>
      </c>
      <c r="AK101" s="13">
        <v>1425</v>
      </c>
      <c r="AL101" s="13">
        <v>157</v>
      </c>
      <c r="BC101" s="13"/>
      <c r="BD101" s="13"/>
      <c r="BE101" s="13"/>
      <c r="BF101" s="13"/>
      <c r="BG101" s="13"/>
      <c r="BH101" s="13"/>
      <c r="BI101" s="13"/>
      <c r="BJ101" s="13"/>
      <c r="BK101" s="13"/>
      <c r="BL101" s="13"/>
      <c r="BM101" s="13"/>
      <c r="BN101" s="13"/>
    </row>
    <row r="102" spans="1:66" x14ac:dyDescent="0.25">
      <c r="A102" s="22">
        <v>100</v>
      </c>
      <c r="B102" s="23">
        <v>1359.4812083621798</v>
      </c>
      <c r="C102" s="24">
        <v>493.61727761379888</v>
      </c>
      <c r="AK102" s="13">
        <v>1450</v>
      </c>
      <c r="AL102" s="13">
        <v>157</v>
      </c>
      <c r="BC102" s="13"/>
      <c r="BD102" s="13"/>
      <c r="BE102" s="13"/>
      <c r="BF102" s="13"/>
      <c r="BG102" s="13"/>
      <c r="BH102" s="13"/>
      <c r="BI102" s="13"/>
      <c r="BJ102" s="13"/>
      <c r="BK102" s="13"/>
      <c r="BL102" s="13"/>
      <c r="BM102" s="13"/>
      <c r="BN102" s="13"/>
    </row>
    <row r="103" spans="1:66" x14ac:dyDescent="0.25">
      <c r="A103" s="55" t="s">
        <v>29</v>
      </c>
      <c r="AK103" s="13">
        <v>1450</v>
      </c>
      <c r="AL103" s="13">
        <v>102</v>
      </c>
    </row>
    <row r="104" spans="1:66" x14ac:dyDescent="0.25">
      <c r="AK104" s="13">
        <v>1475</v>
      </c>
      <c r="AL104" s="13">
        <v>102</v>
      </c>
    </row>
    <row r="105" spans="1:66" x14ac:dyDescent="0.25">
      <c r="AK105" s="13">
        <v>1475</v>
      </c>
      <c r="AL105" s="13">
        <v>115</v>
      </c>
    </row>
    <row r="106" spans="1:66" x14ac:dyDescent="0.25">
      <c r="AK106" s="13">
        <v>1500</v>
      </c>
      <c r="AL106" s="13">
        <v>115</v>
      </c>
    </row>
    <row r="107" spans="1:66" x14ac:dyDescent="0.25">
      <c r="AK107" s="13">
        <v>1500</v>
      </c>
      <c r="AL107" s="13">
        <v>79</v>
      </c>
    </row>
    <row r="108" spans="1:66" x14ac:dyDescent="0.25">
      <c r="AK108" s="13">
        <v>1525</v>
      </c>
      <c r="AL108" s="13">
        <v>79</v>
      </c>
    </row>
    <row r="109" spans="1:66" x14ac:dyDescent="0.25">
      <c r="AK109" s="13">
        <v>1525</v>
      </c>
      <c r="AL109" s="13">
        <v>67</v>
      </c>
    </row>
    <row r="110" spans="1:66" x14ac:dyDescent="0.25">
      <c r="AK110" s="13">
        <v>1550</v>
      </c>
      <c r="AL110" s="13">
        <v>67</v>
      </c>
    </row>
    <row r="111" spans="1:66" x14ac:dyDescent="0.25">
      <c r="AK111" s="13">
        <v>1550</v>
      </c>
      <c r="AL111" s="13">
        <v>50</v>
      </c>
    </row>
    <row r="112" spans="1:66" x14ac:dyDescent="0.25">
      <c r="AK112" s="13">
        <v>1575</v>
      </c>
      <c r="AL112" s="13">
        <v>50</v>
      </c>
    </row>
    <row r="113" spans="37:38" x14ac:dyDescent="0.25">
      <c r="AK113" s="13">
        <v>1575</v>
      </c>
      <c r="AL113" s="13">
        <v>55</v>
      </c>
    </row>
    <row r="114" spans="37:38" x14ac:dyDescent="0.25">
      <c r="AK114" s="13">
        <v>1600</v>
      </c>
      <c r="AL114" s="13">
        <v>55</v>
      </c>
    </row>
    <row r="115" spans="37:38" x14ac:dyDescent="0.25">
      <c r="AK115" s="13">
        <v>1600</v>
      </c>
      <c r="AL115" s="13">
        <v>29</v>
      </c>
    </row>
    <row r="116" spans="37:38" x14ac:dyDescent="0.25">
      <c r="AK116" s="13">
        <v>1625</v>
      </c>
      <c r="AL116" s="13">
        <v>29</v>
      </c>
    </row>
    <row r="117" spans="37:38" x14ac:dyDescent="0.25">
      <c r="AK117" s="13">
        <v>1625</v>
      </c>
      <c r="AL117" s="13">
        <v>32</v>
      </c>
    </row>
    <row r="118" spans="37:38" x14ac:dyDescent="0.25">
      <c r="AK118" s="13">
        <v>1650</v>
      </c>
      <c r="AL118" s="13">
        <v>32</v>
      </c>
    </row>
    <row r="119" spans="37:38" x14ac:dyDescent="0.25">
      <c r="AK119" s="13">
        <v>1650</v>
      </c>
      <c r="AL119" s="13">
        <v>22</v>
      </c>
    </row>
    <row r="120" spans="37:38" x14ac:dyDescent="0.25">
      <c r="AK120" s="13">
        <v>1675</v>
      </c>
      <c r="AL120" s="13">
        <v>22</v>
      </c>
    </row>
    <row r="121" spans="37:38" x14ac:dyDescent="0.25">
      <c r="AK121" s="13">
        <v>1675</v>
      </c>
      <c r="AL121" s="13">
        <v>21</v>
      </c>
    </row>
    <row r="122" spans="37:38" x14ac:dyDescent="0.25">
      <c r="AK122" s="13">
        <v>1700</v>
      </c>
      <c r="AL122" s="13">
        <v>21</v>
      </c>
    </row>
    <row r="123" spans="37:38" x14ac:dyDescent="0.25">
      <c r="AK123" s="13">
        <v>1700</v>
      </c>
      <c r="AL123" s="13">
        <v>11</v>
      </c>
    </row>
    <row r="124" spans="37:38" x14ac:dyDescent="0.25">
      <c r="AK124" s="13">
        <v>1725</v>
      </c>
      <c r="AL124" s="13">
        <v>11</v>
      </c>
    </row>
    <row r="125" spans="37:38" x14ac:dyDescent="0.25">
      <c r="AK125" s="13">
        <v>1725</v>
      </c>
      <c r="AL125" s="13">
        <v>9</v>
      </c>
    </row>
    <row r="126" spans="37:38" x14ac:dyDescent="0.25">
      <c r="AK126" s="13">
        <v>1750</v>
      </c>
      <c r="AL126" s="13">
        <v>9</v>
      </c>
    </row>
    <row r="127" spans="37:38" x14ac:dyDescent="0.25">
      <c r="AK127" s="13">
        <v>1750</v>
      </c>
      <c r="AL127" s="13">
        <v>9</v>
      </c>
    </row>
    <row r="128" spans="37:38" x14ac:dyDescent="0.25">
      <c r="AK128" s="13">
        <v>1775</v>
      </c>
      <c r="AL128" s="13">
        <v>9</v>
      </c>
    </row>
    <row r="129" spans="37:38" x14ac:dyDescent="0.25">
      <c r="AK129" s="13">
        <v>1775</v>
      </c>
      <c r="AL129" s="13">
        <v>8</v>
      </c>
    </row>
    <row r="130" spans="37:38" x14ac:dyDescent="0.25">
      <c r="AK130" s="13">
        <v>1800</v>
      </c>
      <c r="AL130" s="13">
        <v>8</v>
      </c>
    </row>
    <row r="131" spans="37:38" x14ac:dyDescent="0.25">
      <c r="AK131" s="13">
        <v>1800</v>
      </c>
      <c r="AL131" s="13">
        <v>5</v>
      </c>
    </row>
    <row r="132" spans="37:38" x14ac:dyDescent="0.25">
      <c r="AK132" s="13">
        <v>1825</v>
      </c>
      <c r="AL132" s="13">
        <v>5</v>
      </c>
    </row>
    <row r="133" spans="37:38" x14ac:dyDescent="0.25">
      <c r="AK133" s="13">
        <v>1825</v>
      </c>
      <c r="AL133" s="13">
        <v>5</v>
      </c>
    </row>
    <row r="134" spans="37:38" x14ac:dyDescent="0.25">
      <c r="AK134" s="13">
        <v>1850</v>
      </c>
      <c r="AL134" s="13">
        <v>5</v>
      </c>
    </row>
    <row r="135" spans="37:38" x14ac:dyDescent="0.25">
      <c r="AK135" s="13">
        <v>1850</v>
      </c>
      <c r="AL135" s="13">
        <v>2</v>
      </c>
    </row>
    <row r="136" spans="37:38" x14ac:dyDescent="0.25">
      <c r="AK136" s="13">
        <v>1875</v>
      </c>
      <c r="AL136" s="13">
        <v>2</v>
      </c>
    </row>
    <row r="137" spans="37:38" x14ac:dyDescent="0.25">
      <c r="AK137" s="13">
        <v>1875</v>
      </c>
      <c r="AL137" s="13">
        <v>1</v>
      </c>
    </row>
    <row r="138" spans="37:38" x14ac:dyDescent="0.25">
      <c r="AK138" s="13">
        <v>1900</v>
      </c>
      <c r="AL138" s="13">
        <v>1</v>
      </c>
    </row>
    <row r="139" spans="37:38" x14ac:dyDescent="0.25">
      <c r="AK139" s="13">
        <v>1900</v>
      </c>
      <c r="AL139" s="13">
        <v>0</v>
      </c>
    </row>
    <row r="140" spans="37:38" x14ac:dyDescent="0.25">
      <c r="AK140" s="13">
        <v>1925</v>
      </c>
      <c r="AL140" s="13">
        <v>0</v>
      </c>
    </row>
    <row r="141" spans="37:38" x14ac:dyDescent="0.25">
      <c r="AK141" s="13">
        <v>1925</v>
      </c>
      <c r="AL141" s="13">
        <v>2</v>
      </c>
    </row>
    <row r="142" spans="37:38" x14ac:dyDescent="0.25">
      <c r="AK142" s="13">
        <v>1950</v>
      </c>
      <c r="AL142" s="13">
        <v>2</v>
      </c>
    </row>
    <row r="143" spans="37:38" x14ac:dyDescent="0.25">
      <c r="AK143" s="13">
        <v>1950</v>
      </c>
      <c r="AL143" s="13">
        <v>2</v>
      </c>
    </row>
    <row r="144" spans="37:38" x14ac:dyDescent="0.25">
      <c r="AK144" s="13">
        <v>1975</v>
      </c>
      <c r="AL144" s="13">
        <v>2</v>
      </c>
    </row>
    <row r="145" spans="37:38" x14ac:dyDescent="0.25">
      <c r="AK145" s="13">
        <v>1975</v>
      </c>
      <c r="AL145" s="13">
        <v>0</v>
      </c>
    </row>
  </sheetData>
  <dataConsolidate/>
  <mergeCells count="4">
    <mergeCell ref="F2:G2"/>
    <mergeCell ref="I4:J4"/>
    <mergeCell ref="K4:L4"/>
    <mergeCell ref="M4:N4"/>
  </mergeCells>
  <pageMargins left="0.75" right="0.75" top="1" bottom="1" header="0.5" footer="0.5"/>
  <pageSetup orientation="portrait" horizontalDpi="200" verticalDpi="200"/>
  <headerFooter alignWithMargins="0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N827"/>
  <sheetViews>
    <sheetView showGridLines="0" workbookViewId="0">
      <selection activeCell="F20" sqref="F20"/>
    </sheetView>
  </sheetViews>
  <sheetFormatPr defaultRowHeight="15.75" x14ac:dyDescent="0.25"/>
  <cols>
    <col min="1" max="1" width="8" style="22" customWidth="1"/>
    <col min="2" max="2" width="10.625" style="11" customWidth="1"/>
    <col min="3" max="3" width="10.625" style="12" customWidth="1"/>
    <col min="4" max="4" width="7.625" style="13" customWidth="1"/>
    <col min="5" max="5" width="7.625" style="14" customWidth="1"/>
    <col min="6" max="6" width="11.625" style="15" customWidth="1"/>
    <col min="7" max="7" width="9" style="14"/>
    <col min="8" max="8" width="6.625" style="14" customWidth="1"/>
    <col min="9" max="14" width="10.125" style="14" customWidth="1"/>
    <col min="15" max="17" width="9" style="14"/>
    <col min="18" max="19" width="9" style="13"/>
    <col min="20" max="20" width="14.25" style="13" customWidth="1"/>
    <col min="21" max="22" width="11.25" style="13" customWidth="1"/>
    <col min="23" max="54" width="9" style="13"/>
    <col min="55" max="256" width="9" style="14"/>
    <col min="257" max="257" width="8" style="14" customWidth="1"/>
    <col min="258" max="259" width="10.625" style="14" customWidth="1"/>
    <col min="260" max="261" width="7.625" style="14" customWidth="1"/>
    <col min="262" max="262" width="11.625" style="14" customWidth="1"/>
    <col min="263" max="263" width="9" style="14"/>
    <col min="264" max="264" width="6.625" style="14" customWidth="1"/>
    <col min="265" max="270" width="10.125" style="14" customWidth="1"/>
    <col min="271" max="275" width="9" style="14"/>
    <col min="276" max="276" width="14.25" style="14" customWidth="1"/>
    <col min="277" max="278" width="11.25" style="14" customWidth="1"/>
    <col min="279" max="512" width="9" style="14"/>
    <col min="513" max="513" width="8" style="14" customWidth="1"/>
    <col min="514" max="515" width="10.625" style="14" customWidth="1"/>
    <col min="516" max="517" width="7.625" style="14" customWidth="1"/>
    <col min="518" max="518" width="11.625" style="14" customWidth="1"/>
    <col min="519" max="519" width="9" style="14"/>
    <col min="520" max="520" width="6.625" style="14" customWidth="1"/>
    <col min="521" max="526" width="10.125" style="14" customWidth="1"/>
    <col min="527" max="531" width="9" style="14"/>
    <col min="532" max="532" width="14.25" style="14" customWidth="1"/>
    <col min="533" max="534" width="11.25" style="14" customWidth="1"/>
    <col min="535" max="768" width="9" style="14"/>
    <col min="769" max="769" width="8" style="14" customWidth="1"/>
    <col min="770" max="771" width="10.625" style="14" customWidth="1"/>
    <col min="772" max="773" width="7.625" style="14" customWidth="1"/>
    <col min="774" max="774" width="11.625" style="14" customWidth="1"/>
    <col min="775" max="775" width="9" style="14"/>
    <col min="776" max="776" width="6.625" style="14" customWidth="1"/>
    <col min="777" max="782" width="10.125" style="14" customWidth="1"/>
    <col min="783" max="787" width="9" style="14"/>
    <col min="788" max="788" width="14.25" style="14" customWidth="1"/>
    <col min="789" max="790" width="11.25" style="14" customWidth="1"/>
    <col min="791" max="1024" width="9" style="14"/>
    <col min="1025" max="1025" width="8" style="14" customWidth="1"/>
    <col min="1026" max="1027" width="10.625" style="14" customWidth="1"/>
    <col min="1028" max="1029" width="7.625" style="14" customWidth="1"/>
    <col min="1030" max="1030" width="11.625" style="14" customWidth="1"/>
    <col min="1031" max="1031" width="9" style="14"/>
    <col min="1032" max="1032" width="6.625" style="14" customWidth="1"/>
    <col min="1033" max="1038" width="10.125" style="14" customWidth="1"/>
    <col min="1039" max="1043" width="9" style="14"/>
    <col min="1044" max="1044" width="14.25" style="14" customWidth="1"/>
    <col min="1045" max="1046" width="11.25" style="14" customWidth="1"/>
    <col min="1047" max="1280" width="9" style="14"/>
    <col min="1281" max="1281" width="8" style="14" customWidth="1"/>
    <col min="1282" max="1283" width="10.625" style="14" customWidth="1"/>
    <col min="1284" max="1285" width="7.625" style="14" customWidth="1"/>
    <col min="1286" max="1286" width="11.625" style="14" customWidth="1"/>
    <col min="1287" max="1287" width="9" style="14"/>
    <col min="1288" max="1288" width="6.625" style="14" customWidth="1"/>
    <col min="1289" max="1294" width="10.125" style="14" customWidth="1"/>
    <col min="1295" max="1299" width="9" style="14"/>
    <col min="1300" max="1300" width="14.25" style="14" customWidth="1"/>
    <col min="1301" max="1302" width="11.25" style="14" customWidth="1"/>
    <col min="1303" max="1536" width="9" style="14"/>
    <col min="1537" max="1537" width="8" style="14" customWidth="1"/>
    <col min="1538" max="1539" width="10.625" style="14" customWidth="1"/>
    <col min="1540" max="1541" width="7.625" style="14" customWidth="1"/>
    <col min="1542" max="1542" width="11.625" style="14" customWidth="1"/>
    <col min="1543" max="1543" width="9" style="14"/>
    <col min="1544" max="1544" width="6.625" style="14" customWidth="1"/>
    <col min="1545" max="1550" width="10.125" style="14" customWidth="1"/>
    <col min="1551" max="1555" width="9" style="14"/>
    <col min="1556" max="1556" width="14.25" style="14" customWidth="1"/>
    <col min="1557" max="1558" width="11.25" style="14" customWidth="1"/>
    <col min="1559" max="1792" width="9" style="14"/>
    <col min="1793" max="1793" width="8" style="14" customWidth="1"/>
    <col min="1794" max="1795" width="10.625" style="14" customWidth="1"/>
    <col min="1796" max="1797" width="7.625" style="14" customWidth="1"/>
    <col min="1798" max="1798" width="11.625" style="14" customWidth="1"/>
    <col min="1799" max="1799" width="9" style="14"/>
    <col min="1800" max="1800" width="6.625" style="14" customWidth="1"/>
    <col min="1801" max="1806" width="10.125" style="14" customWidth="1"/>
    <col min="1807" max="1811" width="9" style="14"/>
    <col min="1812" max="1812" width="14.25" style="14" customWidth="1"/>
    <col min="1813" max="1814" width="11.25" style="14" customWidth="1"/>
    <col min="1815" max="2048" width="9" style="14"/>
    <col min="2049" max="2049" width="8" style="14" customWidth="1"/>
    <col min="2050" max="2051" width="10.625" style="14" customWidth="1"/>
    <col min="2052" max="2053" width="7.625" style="14" customWidth="1"/>
    <col min="2054" max="2054" width="11.625" style="14" customWidth="1"/>
    <col min="2055" max="2055" width="9" style="14"/>
    <col min="2056" max="2056" width="6.625" style="14" customWidth="1"/>
    <col min="2057" max="2062" width="10.125" style="14" customWidth="1"/>
    <col min="2063" max="2067" width="9" style="14"/>
    <col min="2068" max="2068" width="14.25" style="14" customWidth="1"/>
    <col min="2069" max="2070" width="11.25" style="14" customWidth="1"/>
    <col min="2071" max="2304" width="9" style="14"/>
    <col min="2305" max="2305" width="8" style="14" customWidth="1"/>
    <col min="2306" max="2307" width="10.625" style="14" customWidth="1"/>
    <col min="2308" max="2309" width="7.625" style="14" customWidth="1"/>
    <col min="2310" max="2310" width="11.625" style="14" customWidth="1"/>
    <col min="2311" max="2311" width="9" style="14"/>
    <col min="2312" max="2312" width="6.625" style="14" customWidth="1"/>
    <col min="2313" max="2318" width="10.125" style="14" customWidth="1"/>
    <col min="2319" max="2323" width="9" style="14"/>
    <col min="2324" max="2324" width="14.25" style="14" customWidth="1"/>
    <col min="2325" max="2326" width="11.25" style="14" customWidth="1"/>
    <col min="2327" max="2560" width="9" style="14"/>
    <col min="2561" max="2561" width="8" style="14" customWidth="1"/>
    <col min="2562" max="2563" width="10.625" style="14" customWidth="1"/>
    <col min="2564" max="2565" width="7.625" style="14" customWidth="1"/>
    <col min="2566" max="2566" width="11.625" style="14" customWidth="1"/>
    <col min="2567" max="2567" width="9" style="14"/>
    <col min="2568" max="2568" width="6.625" style="14" customWidth="1"/>
    <col min="2569" max="2574" width="10.125" style="14" customWidth="1"/>
    <col min="2575" max="2579" width="9" style="14"/>
    <col min="2580" max="2580" width="14.25" style="14" customWidth="1"/>
    <col min="2581" max="2582" width="11.25" style="14" customWidth="1"/>
    <col min="2583" max="2816" width="9" style="14"/>
    <col min="2817" max="2817" width="8" style="14" customWidth="1"/>
    <col min="2818" max="2819" width="10.625" style="14" customWidth="1"/>
    <col min="2820" max="2821" width="7.625" style="14" customWidth="1"/>
    <col min="2822" max="2822" width="11.625" style="14" customWidth="1"/>
    <col min="2823" max="2823" width="9" style="14"/>
    <col min="2824" max="2824" width="6.625" style="14" customWidth="1"/>
    <col min="2825" max="2830" width="10.125" style="14" customWidth="1"/>
    <col min="2831" max="2835" width="9" style="14"/>
    <col min="2836" max="2836" width="14.25" style="14" customWidth="1"/>
    <col min="2837" max="2838" width="11.25" style="14" customWidth="1"/>
    <col min="2839" max="3072" width="9" style="14"/>
    <col min="3073" max="3073" width="8" style="14" customWidth="1"/>
    <col min="3074" max="3075" width="10.625" style="14" customWidth="1"/>
    <col min="3076" max="3077" width="7.625" style="14" customWidth="1"/>
    <col min="3078" max="3078" width="11.625" style="14" customWidth="1"/>
    <col min="3079" max="3079" width="9" style="14"/>
    <col min="3080" max="3080" width="6.625" style="14" customWidth="1"/>
    <col min="3081" max="3086" width="10.125" style="14" customWidth="1"/>
    <col min="3087" max="3091" width="9" style="14"/>
    <col min="3092" max="3092" width="14.25" style="14" customWidth="1"/>
    <col min="3093" max="3094" width="11.25" style="14" customWidth="1"/>
    <col min="3095" max="3328" width="9" style="14"/>
    <col min="3329" max="3329" width="8" style="14" customWidth="1"/>
    <col min="3330" max="3331" width="10.625" style="14" customWidth="1"/>
    <col min="3332" max="3333" width="7.625" style="14" customWidth="1"/>
    <col min="3334" max="3334" width="11.625" style="14" customWidth="1"/>
    <col min="3335" max="3335" width="9" style="14"/>
    <col min="3336" max="3336" width="6.625" style="14" customWidth="1"/>
    <col min="3337" max="3342" width="10.125" style="14" customWidth="1"/>
    <col min="3343" max="3347" width="9" style="14"/>
    <col min="3348" max="3348" width="14.25" style="14" customWidth="1"/>
    <col min="3349" max="3350" width="11.25" style="14" customWidth="1"/>
    <col min="3351" max="3584" width="9" style="14"/>
    <col min="3585" max="3585" width="8" style="14" customWidth="1"/>
    <col min="3586" max="3587" width="10.625" style="14" customWidth="1"/>
    <col min="3588" max="3589" width="7.625" style="14" customWidth="1"/>
    <col min="3590" max="3590" width="11.625" style="14" customWidth="1"/>
    <col min="3591" max="3591" width="9" style="14"/>
    <col min="3592" max="3592" width="6.625" style="14" customWidth="1"/>
    <col min="3593" max="3598" width="10.125" style="14" customWidth="1"/>
    <col min="3599" max="3603" width="9" style="14"/>
    <col min="3604" max="3604" width="14.25" style="14" customWidth="1"/>
    <col min="3605" max="3606" width="11.25" style="14" customWidth="1"/>
    <col min="3607" max="3840" width="9" style="14"/>
    <col min="3841" max="3841" width="8" style="14" customWidth="1"/>
    <col min="3842" max="3843" width="10.625" style="14" customWidth="1"/>
    <col min="3844" max="3845" width="7.625" style="14" customWidth="1"/>
    <col min="3846" max="3846" width="11.625" style="14" customWidth="1"/>
    <col min="3847" max="3847" width="9" style="14"/>
    <col min="3848" max="3848" width="6.625" style="14" customWidth="1"/>
    <col min="3849" max="3854" width="10.125" style="14" customWidth="1"/>
    <col min="3855" max="3859" width="9" style="14"/>
    <col min="3860" max="3860" width="14.25" style="14" customWidth="1"/>
    <col min="3861" max="3862" width="11.25" style="14" customWidth="1"/>
    <col min="3863" max="4096" width="9" style="14"/>
    <col min="4097" max="4097" width="8" style="14" customWidth="1"/>
    <col min="4098" max="4099" width="10.625" style="14" customWidth="1"/>
    <col min="4100" max="4101" width="7.625" style="14" customWidth="1"/>
    <col min="4102" max="4102" width="11.625" style="14" customWidth="1"/>
    <col min="4103" max="4103" width="9" style="14"/>
    <col min="4104" max="4104" width="6.625" style="14" customWidth="1"/>
    <col min="4105" max="4110" width="10.125" style="14" customWidth="1"/>
    <col min="4111" max="4115" width="9" style="14"/>
    <col min="4116" max="4116" width="14.25" style="14" customWidth="1"/>
    <col min="4117" max="4118" width="11.25" style="14" customWidth="1"/>
    <col min="4119" max="4352" width="9" style="14"/>
    <col min="4353" max="4353" width="8" style="14" customWidth="1"/>
    <col min="4354" max="4355" width="10.625" style="14" customWidth="1"/>
    <col min="4356" max="4357" width="7.625" style="14" customWidth="1"/>
    <col min="4358" max="4358" width="11.625" style="14" customWidth="1"/>
    <col min="4359" max="4359" width="9" style="14"/>
    <col min="4360" max="4360" width="6.625" style="14" customWidth="1"/>
    <col min="4361" max="4366" width="10.125" style="14" customWidth="1"/>
    <col min="4367" max="4371" width="9" style="14"/>
    <col min="4372" max="4372" width="14.25" style="14" customWidth="1"/>
    <col min="4373" max="4374" width="11.25" style="14" customWidth="1"/>
    <col min="4375" max="4608" width="9" style="14"/>
    <col min="4609" max="4609" width="8" style="14" customWidth="1"/>
    <col min="4610" max="4611" width="10.625" style="14" customWidth="1"/>
    <col min="4612" max="4613" width="7.625" style="14" customWidth="1"/>
    <col min="4614" max="4614" width="11.625" style="14" customWidth="1"/>
    <col min="4615" max="4615" width="9" style="14"/>
    <col min="4616" max="4616" width="6.625" style="14" customWidth="1"/>
    <col min="4617" max="4622" width="10.125" style="14" customWidth="1"/>
    <col min="4623" max="4627" width="9" style="14"/>
    <col min="4628" max="4628" width="14.25" style="14" customWidth="1"/>
    <col min="4629" max="4630" width="11.25" style="14" customWidth="1"/>
    <col min="4631" max="4864" width="9" style="14"/>
    <col min="4865" max="4865" width="8" style="14" customWidth="1"/>
    <col min="4866" max="4867" width="10.625" style="14" customWidth="1"/>
    <col min="4868" max="4869" width="7.625" style="14" customWidth="1"/>
    <col min="4870" max="4870" width="11.625" style="14" customWidth="1"/>
    <col min="4871" max="4871" width="9" style="14"/>
    <col min="4872" max="4872" width="6.625" style="14" customWidth="1"/>
    <col min="4873" max="4878" width="10.125" style="14" customWidth="1"/>
    <col min="4879" max="4883" width="9" style="14"/>
    <col min="4884" max="4884" width="14.25" style="14" customWidth="1"/>
    <col min="4885" max="4886" width="11.25" style="14" customWidth="1"/>
    <col min="4887" max="5120" width="9" style="14"/>
    <col min="5121" max="5121" width="8" style="14" customWidth="1"/>
    <col min="5122" max="5123" width="10.625" style="14" customWidth="1"/>
    <col min="5124" max="5125" width="7.625" style="14" customWidth="1"/>
    <col min="5126" max="5126" width="11.625" style="14" customWidth="1"/>
    <col min="5127" max="5127" width="9" style="14"/>
    <col min="5128" max="5128" width="6.625" style="14" customWidth="1"/>
    <col min="5129" max="5134" width="10.125" style="14" customWidth="1"/>
    <col min="5135" max="5139" width="9" style="14"/>
    <col min="5140" max="5140" width="14.25" style="14" customWidth="1"/>
    <col min="5141" max="5142" width="11.25" style="14" customWidth="1"/>
    <col min="5143" max="5376" width="9" style="14"/>
    <col min="5377" max="5377" width="8" style="14" customWidth="1"/>
    <col min="5378" max="5379" width="10.625" style="14" customWidth="1"/>
    <col min="5380" max="5381" width="7.625" style="14" customWidth="1"/>
    <col min="5382" max="5382" width="11.625" style="14" customWidth="1"/>
    <col min="5383" max="5383" width="9" style="14"/>
    <col min="5384" max="5384" width="6.625" style="14" customWidth="1"/>
    <col min="5385" max="5390" width="10.125" style="14" customWidth="1"/>
    <col min="5391" max="5395" width="9" style="14"/>
    <col min="5396" max="5396" width="14.25" style="14" customWidth="1"/>
    <col min="5397" max="5398" width="11.25" style="14" customWidth="1"/>
    <col min="5399" max="5632" width="9" style="14"/>
    <col min="5633" max="5633" width="8" style="14" customWidth="1"/>
    <col min="5634" max="5635" width="10.625" style="14" customWidth="1"/>
    <col min="5636" max="5637" width="7.625" style="14" customWidth="1"/>
    <col min="5638" max="5638" width="11.625" style="14" customWidth="1"/>
    <col min="5639" max="5639" width="9" style="14"/>
    <col min="5640" max="5640" width="6.625" style="14" customWidth="1"/>
    <col min="5641" max="5646" width="10.125" style="14" customWidth="1"/>
    <col min="5647" max="5651" width="9" style="14"/>
    <col min="5652" max="5652" width="14.25" style="14" customWidth="1"/>
    <col min="5653" max="5654" width="11.25" style="14" customWidth="1"/>
    <col min="5655" max="5888" width="9" style="14"/>
    <col min="5889" max="5889" width="8" style="14" customWidth="1"/>
    <col min="5890" max="5891" width="10.625" style="14" customWidth="1"/>
    <col min="5892" max="5893" width="7.625" style="14" customWidth="1"/>
    <col min="5894" max="5894" width="11.625" style="14" customWidth="1"/>
    <col min="5895" max="5895" width="9" style="14"/>
    <col min="5896" max="5896" width="6.625" style="14" customWidth="1"/>
    <col min="5897" max="5902" width="10.125" style="14" customWidth="1"/>
    <col min="5903" max="5907" width="9" style="14"/>
    <col min="5908" max="5908" width="14.25" style="14" customWidth="1"/>
    <col min="5909" max="5910" width="11.25" style="14" customWidth="1"/>
    <col min="5911" max="6144" width="9" style="14"/>
    <col min="6145" max="6145" width="8" style="14" customWidth="1"/>
    <col min="6146" max="6147" width="10.625" style="14" customWidth="1"/>
    <col min="6148" max="6149" width="7.625" style="14" customWidth="1"/>
    <col min="6150" max="6150" width="11.625" style="14" customWidth="1"/>
    <col min="6151" max="6151" width="9" style="14"/>
    <col min="6152" max="6152" width="6.625" style="14" customWidth="1"/>
    <col min="6153" max="6158" width="10.125" style="14" customWidth="1"/>
    <col min="6159" max="6163" width="9" style="14"/>
    <col min="6164" max="6164" width="14.25" style="14" customWidth="1"/>
    <col min="6165" max="6166" width="11.25" style="14" customWidth="1"/>
    <col min="6167" max="6400" width="9" style="14"/>
    <col min="6401" max="6401" width="8" style="14" customWidth="1"/>
    <col min="6402" max="6403" width="10.625" style="14" customWidth="1"/>
    <col min="6404" max="6405" width="7.625" style="14" customWidth="1"/>
    <col min="6406" max="6406" width="11.625" style="14" customWidth="1"/>
    <col min="6407" max="6407" width="9" style="14"/>
    <col min="6408" max="6408" width="6.625" style="14" customWidth="1"/>
    <col min="6409" max="6414" width="10.125" style="14" customWidth="1"/>
    <col min="6415" max="6419" width="9" style="14"/>
    <col min="6420" max="6420" width="14.25" style="14" customWidth="1"/>
    <col min="6421" max="6422" width="11.25" style="14" customWidth="1"/>
    <col min="6423" max="6656" width="9" style="14"/>
    <col min="6657" max="6657" width="8" style="14" customWidth="1"/>
    <col min="6658" max="6659" width="10.625" style="14" customWidth="1"/>
    <col min="6660" max="6661" width="7.625" style="14" customWidth="1"/>
    <col min="6662" max="6662" width="11.625" style="14" customWidth="1"/>
    <col min="6663" max="6663" width="9" style="14"/>
    <col min="6664" max="6664" width="6.625" style="14" customWidth="1"/>
    <col min="6665" max="6670" width="10.125" style="14" customWidth="1"/>
    <col min="6671" max="6675" width="9" style="14"/>
    <col min="6676" max="6676" width="14.25" style="14" customWidth="1"/>
    <col min="6677" max="6678" width="11.25" style="14" customWidth="1"/>
    <col min="6679" max="6912" width="9" style="14"/>
    <col min="6913" max="6913" width="8" style="14" customWidth="1"/>
    <col min="6914" max="6915" width="10.625" style="14" customWidth="1"/>
    <col min="6916" max="6917" width="7.625" style="14" customWidth="1"/>
    <col min="6918" max="6918" width="11.625" style="14" customWidth="1"/>
    <col min="6919" max="6919" width="9" style="14"/>
    <col min="6920" max="6920" width="6.625" style="14" customWidth="1"/>
    <col min="6921" max="6926" width="10.125" style="14" customWidth="1"/>
    <col min="6927" max="6931" width="9" style="14"/>
    <col min="6932" max="6932" width="14.25" style="14" customWidth="1"/>
    <col min="6933" max="6934" width="11.25" style="14" customWidth="1"/>
    <col min="6935" max="7168" width="9" style="14"/>
    <col min="7169" max="7169" width="8" style="14" customWidth="1"/>
    <col min="7170" max="7171" width="10.625" style="14" customWidth="1"/>
    <col min="7172" max="7173" width="7.625" style="14" customWidth="1"/>
    <col min="7174" max="7174" width="11.625" style="14" customWidth="1"/>
    <col min="7175" max="7175" width="9" style="14"/>
    <col min="7176" max="7176" width="6.625" style="14" customWidth="1"/>
    <col min="7177" max="7182" width="10.125" style="14" customWidth="1"/>
    <col min="7183" max="7187" width="9" style="14"/>
    <col min="7188" max="7188" width="14.25" style="14" customWidth="1"/>
    <col min="7189" max="7190" width="11.25" style="14" customWidth="1"/>
    <col min="7191" max="7424" width="9" style="14"/>
    <col min="7425" max="7425" width="8" style="14" customWidth="1"/>
    <col min="7426" max="7427" width="10.625" style="14" customWidth="1"/>
    <col min="7428" max="7429" width="7.625" style="14" customWidth="1"/>
    <col min="7430" max="7430" width="11.625" style="14" customWidth="1"/>
    <col min="7431" max="7431" width="9" style="14"/>
    <col min="7432" max="7432" width="6.625" style="14" customWidth="1"/>
    <col min="7433" max="7438" width="10.125" style="14" customWidth="1"/>
    <col min="7439" max="7443" width="9" style="14"/>
    <col min="7444" max="7444" width="14.25" style="14" customWidth="1"/>
    <col min="7445" max="7446" width="11.25" style="14" customWidth="1"/>
    <col min="7447" max="7680" width="9" style="14"/>
    <col min="7681" max="7681" width="8" style="14" customWidth="1"/>
    <col min="7682" max="7683" width="10.625" style="14" customWidth="1"/>
    <col min="7684" max="7685" width="7.625" style="14" customWidth="1"/>
    <col min="7686" max="7686" width="11.625" style="14" customWidth="1"/>
    <col min="7687" max="7687" width="9" style="14"/>
    <col min="7688" max="7688" width="6.625" style="14" customWidth="1"/>
    <col min="7689" max="7694" width="10.125" style="14" customWidth="1"/>
    <col min="7695" max="7699" width="9" style="14"/>
    <col min="7700" max="7700" width="14.25" style="14" customWidth="1"/>
    <col min="7701" max="7702" width="11.25" style="14" customWidth="1"/>
    <col min="7703" max="7936" width="9" style="14"/>
    <col min="7937" max="7937" width="8" style="14" customWidth="1"/>
    <col min="7938" max="7939" width="10.625" style="14" customWidth="1"/>
    <col min="7940" max="7941" width="7.625" style="14" customWidth="1"/>
    <col min="7942" max="7942" width="11.625" style="14" customWidth="1"/>
    <col min="7943" max="7943" width="9" style="14"/>
    <col min="7944" max="7944" width="6.625" style="14" customWidth="1"/>
    <col min="7945" max="7950" width="10.125" style="14" customWidth="1"/>
    <col min="7951" max="7955" width="9" style="14"/>
    <col min="7956" max="7956" width="14.25" style="14" customWidth="1"/>
    <col min="7957" max="7958" width="11.25" style="14" customWidth="1"/>
    <col min="7959" max="8192" width="9" style="14"/>
    <col min="8193" max="8193" width="8" style="14" customWidth="1"/>
    <col min="8194" max="8195" width="10.625" style="14" customWidth="1"/>
    <col min="8196" max="8197" width="7.625" style="14" customWidth="1"/>
    <col min="8198" max="8198" width="11.625" style="14" customWidth="1"/>
    <col min="8199" max="8199" width="9" style="14"/>
    <col min="8200" max="8200" width="6.625" style="14" customWidth="1"/>
    <col min="8201" max="8206" width="10.125" style="14" customWidth="1"/>
    <col min="8207" max="8211" width="9" style="14"/>
    <col min="8212" max="8212" width="14.25" style="14" customWidth="1"/>
    <col min="8213" max="8214" width="11.25" style="14" customWidth="1"/>
    <col min="8215" max="8448" width="9" style="14"/>
    <col min="8449" max="8449" width="8" style="14" customWidth="1"/>
    <col min="8450" max="8451" width="10.625" style="14" customWidth="1"/>
    <col min="8452" max="8453" width="7.625" style="14" customWidth="1"/>
    <col min="8454" max="8454" width="11.625" style="14" customWidth="1"/>
    <col min="8455" max="8455" width="9" style="14"/>
    <col min="8456" max="8456" width="6.625" style="14" customWidth="1"/>
    <col min="8457" max="8462" width="10.125" style="14" customWidth="1"/>
    <col min="8463" max="8467" width="9" style="14"/>
    <col min="8468" max="8468" width="14.25" style="14" customWidth="1"/>
    <col min="8469" max="8470" width="11.25" style="14" customWidth="1"/>
    <col min="8471" max="8704" width="9" style="14"/>
    <col min="8705" max="8705" width="8" style="14" customWidth="1"/>
    <col min="8706" max="8707" width="10.625" style="14" customWidth="1"/>
    <col min="8708" max="8709" width="7.625" style="14" customWidth="1"/>
    <col min="8710" max="8710" width="11.625" style="14" customWidth="1"/>
    <col min="8711" max="8711" width="9" style="14"/>
    <col min="8712" max="8712" width="6.625" style="14" customWidth="1"/>
    <col min="8713" max="8718" width="10.125" style="14" customWidth="1"/>
    <col min="8719" max="8723" width="9" style="14"/>
    <col min="8724" max="8724" width="14.25" style="14" customWidth="1"/>
    <col min="8725" max="8726" width="11.25" style="14" customWidth="1"/>
    <col min="8727" max="8960" width="9" style="14"/>
    <col min="8961" max="8961" width="8" style="14" customWidth="1"/>
    <col min="8962" max="8963" width="10.625" style="14" customWidth="1"/>
    <col min="8964" max="8965" width="7.625" style="14" customWidth="1"/>
    <col min="8966" max="8966" width="11.625" style="14" customWidth="1"/>
    <col min="8967" max="8967" width="9" style="14"/>
    <col min="8968" max="8968" width="6.625" style="14" customWidth="1"/>
    <col min="8969" max="8974" width="10.125" style="14" customWidth="1"/>
    <col min="8975" max="8979" width="9" style="14"/>
    <col min="8980" max="8980" width="14.25" style="14" customWidth="1"/>
    <col min="8981" max="8982" width="11.25" style="14" customWidth="1"/>
    <col min="8983" max="9216" width="9" style="14"/>
    <col min="9217" max="9217" width="8" style="14" customWidth="1"/>
    <col min="9218" max="9219" width="10.625" style="14" customWidth="1"/>
    <col min="9220" max="9221" width="7.625" style="14" customWidth="1"/>
    <col min="9222" max="9222" width="11.625" style="14" customWidth="1"/>
    <col min="9223" max="9223" width="9" style="14"/>
    <col min="9224" max="9224" width="6.625" style="14" customWidth="1"/>
    <col min="9225" max="9230" width="10.125" style="14" customWidth="1"/>
    <col min="9231" max="9235" width="9" style="14"/>
    <col min="9236" max="9236" width="14.25" style="14" customWidth="1"/>
    <col min="9237" max="9238" width="11.25" style="14" customWidth="1"/>
    <col min="9239" max="9472" width="9" style="14"/>
    <col min="9473" max="9473" width="8" style="14" customWidth="1"/>
    <col min="9474" max="9475" width="10.625" style="14" customWidth="1"/>
    <col min="9476" max="9477" width="7.625" style="14" customWidth="1"/>
    <col min="9478" max="9478" width="11.625" style="14" customWidth="1"/>
    <col min="9479" max="9479" width="9" style="14"/>
    <col min="9480" max="9480" width="6.625" style="14" customWidth="1"/>
    <col min="9481" max="9486" width="10.125" style="14" customWidth="1"/>
    <col min="9487" max="9491" width="9" style="14"/>
    <col min="9492" max="9492" width="14.25" style="14" customWidth="1"/>
    <col min="9493" max="9494" width="11.25" style="14" customWidth="1"/>
    <col min="9495" max="9728" width="9" style="14"/>
    <col min="9729" max="9729" width="8" style="14" customWidth="1"/>
    <col min="9730" max="9731" width="10.625" style="14" customWidth="1"/>
    <col min="9732" max="9733" width="7.625" style="14" customWidth="1"/>
    <col min="9734" max="9734" width="11.625" style="14" customWidth="1"/>
    <col min="9735" max="9735" width="9" style="14"/>
    <col min="9736" max="9736" width="6.625" style="14" customWidth="1"/>
    <col min="9737" max="9742" width="10.125" style="14" customWidth="1"/>
    <col min="9743" max="9747" width="9" style="14"/>
    <col min="9748" max="9748" width="14.25" style="14" customWidth="1"/>
    <col min="9749" max="9750" width="11.25" style="14" customWidth="1"/>
    <col min="9751" max="9984" width="9" style="14"/>
    <col min="9985" max="9985" width="8" style="14" customWidth="1"/>
    <col min="9986" max="9987" width="10.625" style="14" customWidth="1"/>
    <col min="9988" max="9989" width="7.625" style="14" customWidth="1"/>
    <col min="9990" max="9990" width="11.625" style="14" customWidth="1"/>
    <col min="9991" max="9991" width="9" style="14"/>
    <col min="9992" max="9992" width="6.625" style="14" customWidth="1"/>
    <col min="9993" max="9998" width="10.125" style="14" customWidth="1"/>
    <col min="9999" max="10003" width="9" style="14"/>
    <col min="10004" max="10004" width="14.25" style="14" customWidth="1"/>
    <col min="10005" max="10006" width="11.25" style="14" customWidth="1"/>
    <col min="10007" max="10240" width="9" style="14"/>
    <col min="10241" max="10241" width="8" style="14" customWidth="1"/>
    <col min="10242" max="10243" width="10.625" style="14" customWidth="1"/>
    <col min="10244" max="10245" width="7.625" style="14" customWidth="1"/>
    <col min="10246" max="10246" width="11.625" style="14" customWidth="1"/>
    <col min="10247" max="10247" width="9" style="14"/>
    <col min="10248" max="10248" width="6.625" style="14" customWidth="1"/>
    <col min="10249" max="10254" width="10.125" style="14" customWidth="1"/>
    <col min="10255" max="10259" width="9" style="14"/>
    <col min="10260" max="10260" width="14.25" style="14" customWidth="1"/>
    <col min="10261" max="10262" width="11.25" style="14" customWidth="1"/>
    <col min="10263" max="10496" width="9" style="14"/>
    <col min="10497" max="10497" width="8" style="14" customWidth="1"/>
    <col min="10498" max="10499" width="10.625" style="14" customWidth="1"/>
    <col min="10500" max="10501" width="7.625" style="14" customWidth="1"/>
    <col min="10502" max="10502" width="11.625" style="14" customWidth="1"/>
    <col min="10503" max="10503" width="9" style="14"/>
    <col min="10504" max="10504" width="6.625" style="14" customWidth="1"/>
    <col min="10505" max="10510" width="10.125" style="14" customWidth="1"/>
    <col min="10511" max="10515" width="9" style="14"/>
    <col min="10516" max="10516" width="14.25" style="14" customWidth="1"/>
    <col min="10517" max="10518" width="11.25" style="14" customWidth="1"/>
    <col min="10519" max="10752" width="9" style="14"/>
    <col min="10753" max="10753" width="8" style="14" customWidth="1"/>
    <col min="10754" max="10755" width="10.625" style="14" customWidth="1"/>
    <col min="10756" max="10757" width="7.625" style="14" customWidth="1"/>
    <col min="10758" max="10758" width="11.625" style="14" customWidth="1"/>
    <col min="10759" max="10759" width="9" style="14"/>
    <col min="10760" max="10760" width="6.625" style="14" customWidth="1"/>
    <col min="10761" max="10766" width="10.125" style="14" customWidth="1"/>
    <col min="10767" max="10771" width="9" style="14"/>
    <col min="10772" max="10772" width="14.25" style="14" customWidth="1"/>
    <col min="10773" max="10774" width="11.25" style="14" customWidth="1"/>
    <col min="10775" max="11008" width="9" style="14"/>
    <col min="11009" max="11009" width="8" style="14" customWidth="1"/>
    <col min="11010" max="11011" width="10.625" style="14" customWidth="1"/>
    <col min="11012" max="11013" width="7.625" style="14" customWidth="1"/>
    <col min="11014" max="11014" width="11.625" style="14" customWidth="1"/>
    <col min="11015" max="11015" width="9" style="14"/>
    <col min="11016" max="11016" width="6.625" style="14" customWidth="1"/>
    <col min="11017" max="11022" width="10.125" style="14" customWidth="1"/>
    <col min="11023" max="11027" width="9" style="14"/>
    <col min="11028" max="11028" width="14.25" style="14" customWidth="1"/>
    <col min="11029" max="11030" width="11.25" style="14" customWidth="1"/>
    <col min="11031" max="11264" width="9" style="14"/>
    <col min="11265" max="11265" width="8" style="14" customWidth="1"/>
    <col min="11266" max="11267" width="10.625" style="14" customWidth="1"/>
    <col min="11268" max="11269" width="7.625" style="14" customWidth="1"/>
    <col min="11270" max="11270" width="11.625" style="14" customWidth="1"/>
    <col min="11271" max="11271" width="9" style="14"/>
    <col min="11272" max="11272" width="6.625" style="14" customWidth="1"/>
    <col min="11273" max="11278" width="10.125" style="14" customWidth="1"/>
    <col min="11279" max="11283" width="9" style="14"/>
    <col min="11284" max="11284" width="14.25" style="14" customWidth="1"/>
    <col min="11285" max="11286" width="11.25" style="14" customWidth="1"/>
    <col min="11287" max="11520" width="9" style="14"/>
    <col min="11521" max="11521" width="8" style="14" customWidth="1"/>
    <col min="11522" max="11523" width="10.625" style="14" customWidth="1"/>
    <col min="11524" max="11525" width="7.625" style="14" customWidth="1"/>
    <col min="11526" max="11526" width="11.625" style="14" customWidth="1"/>
    <col min="11527" max="11527" width="9" style="14"/>
    <col min="11528" max="11528" width="6.625" style="14" customWidth="1"/>
    <col min="11529" max="11534" width="10.125" style="14" customWidth="1"/>
    <col min="11535" max="11539" width="9" style="14"/>
    <col min="11540" max="11540" width="14.25" style="14" customWidth="1"/>
    <col min="11541" max="11542" width="11.25" style="14" customWidth="1"/>
    <col min="11543" max="11776" width="9" style="14"/>
    <col min="11777" max="11777" width="8" style="14" customWidth="1"/>
    <col min="11778" max="11779" width="10.625" style="14" customWidth="1"/>
    <col min="11780" max="11781" width="7.625" style="14" customWidth="1"/>
    <col min="11782" max="11782" width="11.625" style="14" customWidth="1"/>
    <col min="11783" max="11783" width="9" style="14"/>
    <col min="11784" max="11784" width="6.625" style="14" customWidth="1"/>
    <col min="11785" max="11790" width="10.125" style="14" customWidth="1"/>
    <col min="11791" max="11795" width="9" style="14"/>
    <col min="11796" max="11796" width="14.25" style="14" customWidth="1"/>
    <col min="11797" max="11798" width="11.25" style="14" customWidth="1"/>
    <col min="11799" max="12032" width="9" style="14"/>
    <col min="12033" max="12033" width="8" style="14" customWidth="1"/>
    <col min="12034" max="12035" width="10.625" style="14" customWidth="1"/>
    <col min="12036" max="12037" width="7.625" style="14" customWidth="1"/>
    <col min="12038" max="12038" width="11.625" style="14" customWidth="1"/>
    <col min="12039" max="12039" width="9" style="14"/>
    <col min="12040" max="12040" width="6.625" style="14" customWidth="1"/>
    <col min="12041" max="12046" width="10.125" style="14" customWidth="1"/>
    <col min="12047" max="12051" width="9" style="14"/>
    <col min="12052" max="12052" width="14.25" style="14" customWidth="1"/>
    <col min="12053" max="12054" width="11.25" style="14" customWidth="1"/>
    <col min="12055" max="12288" width="9" style="14"/>
    <col min="12289" max="12289" width="8" style="14" customWidth="1"/>
    <col min="12290" max="12291" width="10.625" style="14" customWidth="1"/>
    <col min="12292" max="12293" width="7.625" style="14" customWidth="1"/>
    <col min="12294" max="12294" width="11.625" style="14" customWidth="1"/>
    <col min="12295" max="12295" width="9" style="14"/>
    <col min="12296" max="12296" width="6.625" style="14" customWidth="1"/>
    <col min="12297" max="12302" width="10.125" style="14" customWidth="1"/>
    <col min="12303" max="12307" width="9" style="14"/>
    <col min="12308" max="12308" width="14.25" style="14" customWidth="1"/>
    <col min="12309" max="12310" width="11.25" style="14" customWidth="1"/>
    <col min="12311" max="12544" width="9" style="14"/>
    <col min="12545" max="12545" width="8" style="14" customWidth="1"/>
    <col min="12546" max="12547" width="10.625" style="14" customWidth="1"/>
    <col min="12548" max="12549" width="7.625" style="14" customWidth="1"/>
    <col min="12550" max="12550" width="11.625" style="14" customWidth="1"/>
    <col min="12551" max="12551" width="9" style="14"/>
    <col min="12552" max="12552" width="6.625" style="14" customWidth="1"/>
    <col min="12553" max="12558" width="10.125" style="14" customWidth="1"/>
    <col min="12559" max="12563" width="9" style="14"/>
    <col min="12564" max="12564" width="14.25" style="14" customWidth="1"/>
    <col min="12565" max="12566" width="11.25" style="14" customWidth="1"/>
    <col min="12567" max="12800" width="9" style="14"/>
    <col min="12801" max="12801" width="8" style="14" customWidth="1"/>
    <col min="12802" max="12803" width="10.625" style="14" customWidth="1"/>
    <col min="12804" max="12805" width="7.625" style="14" customWidth="1"/>
    <col min="12806" max="12806" width="11.625" style="14" customWidth="1"/>
    <col min="12807" max="12807" width="9" style="14"/>
    <col min="12808" max="12808" width="6.625" style="14" customWidth="1"/>
    <col min="12809" max="12814" width="10.125" style="14" customWidth="1"/>
    <col min="12815" max="12819" width="9" style="14"/>
    <col min="12820" max="12820" width="14.25" style="14" customWidth="1"/>
    <col min="12821" max="12822" width="11.25" style="14" customWidth="1"/>
    <col min="12823" max="13056" width="9" style="14"/>
    <col min="13057" max="13057" width="8" style="14" customWidth="1"/>
    <col min="13058" max="13059" width="10.625" style="14" customWidth="1"/>
    <col min="13060" max="13061" width="7.625" style="14" customWidth="1"/>
    <col min="13062" max="13062" width="11.625" style="14" customWidth="1"/>
    <col min="13063" max="13063" width="9" style="14"/>
    <col min="13064" max="13064" width="6.625" style="14" customWidth="1"/>
    <col min="13065" max="13070" width="10.125" style="14" customWidth="1"/>
    <col min="13071" max="13075" width="9" style="14"/>
    <col min="13076" max="13076" width="14.25" style="14" customWidth="1"/>
    <col min="13077" max="13078" width="11.25" style="14" customWidth="1"/>
    <col min="13079" max="13312" width="9" style="14"/>
    <col min="13313" max="13313" width="8" style="14" customWidth="1"/>
    <col min="13314" max="13315" width="10.625" style="14" customWidth="1"/>
    <col min="13316" max="13317" width="7.625" style="14" customWidth="1"/>
    <col min="13318" max="13318" width="11.625" style="14" customWidth="1"/>
    <col min="13319" max="13319" width="9" style="14"/>
    <col min="13320" max="13320" width="6.625" style="14" customWidth="1"/>
    <col min="13321" max="13326" width="10.125" style="14" customWidth="1"/>
    <col min="13327" max="13331" width="9" style="14"/>
    <col min="13332" max="13332" width="14.25" style="14" customWidth="1"/>
    <col min="13333" max="13334" width="11.25" style="14" customWidth="1"/>
    <col min="13335" max="13568" width="9" style="14"/>
    <col min="13569" max="13569" width="8" style="14" customWidth="1"/>
    <col min="13570" max="13571" width="10.625" style="14" customWidth="1"/>
    <col min="13572" max="13573" width="7.625" style="14" customWidth="1"/>
    <col min="13574" max="13574" width="11.625" style="14" customWidth="1"/>
    <col min="13575" max="13575" width="9" style="14"/>
    <col min="13576" max="13576" width="6.625" style="14" customWidth="1"/>
    <col min="13577" max="13582" width="10.125" style="14" customWidth="1"/>
    <col min="13583" max="13587" width="9" style="14"/>
    <col min="13588" max="13588" width="14.25" style="14" customWidth="1"/>
    <col min="13589" max="13590" width="11.25" style="14" customWidth="1"/>
    <col min="13591" max="13824" width="9" style="14"/>
    <col min="13825" max="13825" width="8" style="14" customWidth="1"/>
    <col min="13826" max="13827" width="10.625" style="14" customWidth="1"/>
    <col min="13828" max="13829" width="7.625" style="14" customWidth="1"/>
    <col min="13830" max="13830" width="11.625" style="14" customWidth="1"/>
    <col min="13831" max="13831" width="9" style="14"/>
    <col min="13832" max="13832" width="6.625" style="14" customWidth="1"/>
    <col min="13833" max="13838" width="10.125" style="14" customWidth="1"/>
    <col min="13839" max="13843" width="9" style="14"/>
    <col min="13844" max="13844" width="14.25" style="14" customWidth="1"/>
    <col min="13845" max="13846" width="11.25" style="14" customWidth="1"/>
    <col min="13847" max="14080" width="9" style="14"/>
    <col min="14081" max="14081" width="8" style="14" customWidth="1"/>
    <col min="14082" max="14083" width="10.625" style="14" customWidth="1"/>
    <col min="14084" max="14085" width="7.625" style="14" customWidth="1"/>
    <col min="14086" max="14086" width="11.625" style="14" customWidth="1"/>
    <col min="14087" max="14087" width="9" style="14"/>
    <col min="14088" max="14088" width="6.625" style="14" customWidth="1"/>
    <col min="14089" max="14094" width="10.125" style="14" customWidth="1"/>
    <col min="14095" max="14099" width="9" style="14"/>
    <col min="14100" max="14100" width="14.25" style="14" customWidth="1"/>
    <col min="14101" max="14102" width="11.25" style="14" customWidth="1"/>
    <col min="14103" max="14336" width="9" style="14"/>
    <col min="14337" max="14337" width="8" style="14" customWidth="1"/>
    <col min="14338" max="14339" width="10.625" style="14" customWidth="1"/>
    <col min="14340" max="14341" width="7.625" style="14" customWidth="1"/>
    <col min="14342" max="14342" width="11.625" style="14" customWidth="1"/>
    <col min="14343" max="14343" width="9" style="14"/>
    <col min="14344" max="14344" width="6.625" style="14" customWidth="1"/>
    <col min="14345" max="14350" width="10.125" style="14" customWidth="1"/>
    <col min="14351" max="14355" width="9" style="14"/>
    <col min="14356" max="14356" width="14.25" style="14" customWidth="1"/>
    <col min="14357" max="14358" width="11.25" style="14" customWidth="1"/>
    <col min="14359" max="14592" width="9" style="14"/>
    <col min="14593" max="14593" width="8" style="14" customWidth="1"/>
    <col min="14594" max="14595" width="10.625" style="14" customWidth="1"/>
    <col min="14596" max="14597" width="7.625" style="14" customWidth="1"/>
    <col min="14598" max="14598" width="11.625" style="14" customWidth="1"/>
    <col min="14599" max="14599" width="9" style="14"/>
    <col min="14600" max="14600" width="6.625" style="14" customWidth="1"/>
    <col min="14601" max="14606" width="10.125" style="14" customWidth="1"/>
    <col min="14607" max="14611" width="9" style="14"/>
    <col min="14612" max="14612" width="14.25" style="14" customWidth="1"/>
    <col min="14613" max="14614" width="11.25" style="14" customWidth="1"/>
    <col min="14615" max="14848" width="9" style="14"/>
    <col min="14849" max="14849" width="8" style="14" customWidth="1"/>
    <col min="14850" max="14851" width="10.625" style="14" customWidth="1"/>
    <col min="14852" max="14853" width="7.625" style="14" customWidth="1"/>
    <col min="14854" max="14854" width="11.625" style="14" customWidth="1"/>
    <col min="14855" max="14855" width="9" style="14"/>
    <col min="14856" max="14856" width="6.625" style="14" customWidth="1"/>
    <col min="14857" max="14862" width="10.125" style="14" customWidth="1"/>
    <col min="14863" max="14867" width="9" style="14"/>
    <col min="14868" max="14868" width="14.25" style="14" customWidth="1"/>
    <col min="14869" max="14870" width="11.25" style="14" customWidth="1"/>
    <col min="14871" max="15104" width="9" style="14"/>
    <col min="15105" max="15105" width="8" style="14" customWidth="1"/>
    <col min="15106" max="15107" width="10.625" style="14" customWidth="1"/>
    <col min="15108" max="15109" width="7.625" style="14" customWidth="1"/>
    <col min="15110" max="15110" width="11.625" style="14" customWidth="1"/>
    <col min="15111" max="15111" width="9" style="14"/>
    <col min="15112" max="15112" width="6.625" style="14" customWidth="1"/>
    <col min="15113" max="15118" width="10.125" style="14" customWidth="1"/>
    <col min="15119" max="15123" width="9" style="14"/>
    <col min="15124" max="15124" width="14.25" style="14" customWidth="1"/>
    <col min="15125" max="15126" width="11.25" style="14" customWidth="1"/>
    <col min="15127" max="15360" width="9" style="14"/>
    <col min="15361" max="15361" width="8" style="14" customWidth="1"/>
    <col min="15362" max="15363" width="10.625" style="14" customWidth="1"/>
    <col min="15364" max="15365" width="7.625" style="14" customWidth="1"/>
    <col min="15366" max="15366" width="11.625" style="14" customWidth="1"/>
    <col min="15367" max="15367" width="9" style="14"/>
    <col min="15368" max="15368" width="6.625" style="14" customWidth="1"/>
    <col min="15369" max="15374" width="10.125" style="14" customWidth="1"/>
    <col min="15375" max="15379" width="9" style="14"/>
    <col min="15380" max="15380" width="14.25" style="14" customWidth="1"/>
    <col min="15381" max="15382" width="11.25" style="14" customWidth="1"/>
    <col min="15383" max="15616" width="9" style="14"/>
    <col min="15617" max="15617" width="8" style="14" customWidth="1"/>
    <col min="15618" max="15619" width="10.625" style="14" customWidth="1"/>
    <col min="15620" max="15621" width="7.625" style="14" customWidth="1"/>
    <col min="15622" max="15622" width="11.625" style="14" customWidth="1"/>
    <col min="15623" max="15623" width="9" style="14"/>
    <col min="15624" max="15624" width="6.625" style="14" customWidth="1"/>
    <col min="15625" max="15630" width="10.125" style="14" customWidth="1"/>
    <col min="15631" max="15635" width="9" style="14"/>
    <col min="15636" max="15636" width="14.25" style="14" customWidth="1"/>
    <col min="15637" max="15638" width="11.25" style="14" customWidth="1"/>
    <col min="15639" max="15872" width="9" style="14"/>
    <col min="15873" max="15873" width="8" style="14" customWidth="1"/>
    <col min="15874" max="15875" width="10.625" style="14" customWidth="1"/>
    <col min="15876" max="15877" width="7.625" style="14" customWidth="1"/>
    <col min="15878" max="15878" width="11.625" style="14" customWidth="1"/>
    <col min="15879" max="15879" width="9" style="14"/>
    <col min="15880" max="15880" width="6.625" style="14" customWidth="1"/>
    <col min="15881" max="15886" width="10.125" style="14" customWidth="1"/>
    <col min="15887" max="15891" width="9" style="14"/>
    <col min="15892" max="15892" width="14.25" style="14" customWidth="1"/>
    <col min="15893" max="15894" width="11.25" style="14" customWidth="1"/>
    <col min="15895" max="16128" width="9" style="14"/>
    <col min="16129" max="16129" width="8" style="14" customWidth="1"/>
    <col min="16130" max="16131" width="10.625" style="14" customWidth="1"/>
    <col min="16132" max="16133" width="7.625" style="14" customWidth="1"/>
    <col min="16134" max="16134" width="11.625" style="14" customWidth="1"/>
    <col min="16135" max="16135" width="9" style="14"/>
    <col min="16136" max="16136" width="6.625" style="14" customWidth="1"/>
    <col min="16137" max="16142" width="10.125" style="14" customWidth="1"/>
    <col min="16143" max="16147" width="9" style="14"/>
    <col min="16148" max="16148" width="14.25" style="14" customWidth="1"/>
    <col min="16149" max="16150" width="11.25" style="14" customWidth="1"/>
    <col min="16151" max="16384" width="9" style="14"/>
  </cols>
  <sheetData>
    <row r="1" spans="1:66" ht="31.5" thickBot="1" x14ac:dyDescent="0.5">
      <c r="A1" s="10" t="s">
        <v>19</v>
      </c>
      <c r="I1" s="13"/>
      <c r="J1" s="13"/>
      <c r="K1" s="13"/>
      <c r="L1" s="13"/>
      <c r="M1" s="13"/>
      <c r="N1" s="13"/>
      <c r="O1" s="13"/>
      <c r="Q1" s="13"/>
      <c r="AH1" s="16"/>
      <c r="AI1" s="16"/>
      <c r="AJ1" s="16"/>
      <c r="AK1" s="16"/>
      <c r="AL1" s="58" t="s">
        <v>60</v>
      </c>
      <c r="AM1" s="58" t="s">
        <v>61</v>
      </c>
      <c r="AN1" s="16"/>
      <c r="BC1" s="13"/>
      <c r="BD1" s="13"/>
      <c r="BE1" s="13"/>
      <c r="BF1" s="13"/>
      <c r="BG1" s="13"/>
      <c r="BH1" s="13"/>
      <c r="BI1" s="13"/>
      <c r="BJ1" s="13"/>
      <c r="BK1" s="13"/>
      <c r="BL1" s="13"/>
      <c r="BM1" s="13"/>
      <c r="BN1" s="13"/>
    </row>
    <row r="2" spans="1:66" s="20" customFormat="1" ht="39.75" customHeight="1" thickBot="1" x14ac:dyDescent="0.35">
      <c r="A2" s="17" t="s">
        <v>20</v>
      </c>
      <c r="B2" s="56" t="s">
        <v>60</v>
      </c>
      <c r="C2" s="57" t="s">
        <v>61</v>
      </c>
      <c r="D2" s="13"/>
      <c r="E2" s="19"/>
      <c r="F2" s="59" t="s">
        <v>21</v>
      </c>
      <c r="G2" s="60"/>
      <c r="I2" s="21"/>
      <c r="J2" s="21"/>
      <c r="K2" s="21"/>
      <c r="L2" s="21"/>
      <c r="M2" s="21"/>
      <c r="N2" s="21"/>
      <c r="O2" s="21"/>
      <c r="Q2" s="21"/>
      <c r="R2" s="13"/>
      <c r="S2" s="13"/>
      <c r="T2" s="13"/>
      <c r="U2" s="13"/>
      <c r="V2" s="13"/>
      <c r="W2" s="21"/>
      <c r="X2" s="21"/>
      <c r="Y2" s="13"/>
      <c r="Z2" s="13"/>
      <c r="AA2" s="13"/>
      <c r="AB2" s="13"/>
      <c r="AC2" s="13"/>
      <c r="AD2" s="13"/>
      <c r="AE2" s="13"/>
      <c r="AF2" s="13"/>
      <c r="AG2" s="13"/>
      <c r="AH2" s="16">
        <v>120</v>
      </c>
      <c r="AI2" s="16"/>
      <c r="AJ2" s="16"/>
      <c r="AK2" s="16">
        <v>120</v>
      </c>
      <c r="AL2" s="16">
        <v>0</v>
      </c>
      <c r="AM2" s="16">
        <v>0</v>
      </c>
      <c r="AN2" s="16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21"/>
      <c r="BD2" s="21"/>
      <c r="BE2" s="21"/>
      <c r="BF2" s="21"/>
      <c r="BG2" s="21"/>
      <c r="BH2" s="21"/>
      <c r="BI2" s="21"/>
      <c r="BJ2" s="21"/>
      <c r="BK2" s="21"/>
      <c r="BL2" s="21"/>
      <c r="BM2" s="21"/>
      <c r="BN2" s="21"/>
    </row>
    <row r="3" spans="1:66" ht="16.5" thickBot="1" x14ac:dyDescent="0.3">
      <c r="A3" s="22">
        <v>1</v>
      </c>
      <c r="B3" s="23">
        <v>4196.1567136119011</v>
      </c>
      <c r="C3" s="24">
        <v>231.93849771037455</v>
      </c>
      <c r="E3" s="25"/>
      <c r="F3" s="26">
        <v>10000</v>
      </c>
      <c r="G3" s="27" t="s">
        <v>22</v>
      </c>
      <c r="AH3" s="16">
        <v>130</v>
      </c>
      <c r="AI3" s="16"/>
      <c r="AJ3" s="16"/>
      <c r="AK3" s="16">
        <v>120</v>
      </c>
      <c r="AL3" s="16">
        <v>0</v>
      </c>
      <c r="AM3" s="16">
        <v>2</v>
      </c>
      <c r="AN3" s="16"/>
      <c r="BC3" s="13"/>
      <c r="BD3" s="13"/>
      <c r="BE3" s="13"/>
      <c r="BF3" s="13"/>
      <c r="BG3" s="13"/>
      <c r="BH3" s="13"/>
      <c r="BI3" s="13"/>
      <c r="BJ3" s="13"/>
      <c r="BK3" s="13"/>
      <c r="BL3" s="13"/>
      <c r="BM3" s="13"/>
      <c r="BN3" s="13"/>
    </row>
    <row r="4" spans="1:66" ht="16.5" thickBot="1" x14ac:dyDescent="0.3">
      <c r="A4" s="22">
        <v>2</v>
      </c>
      <c r="B4" s="23">
        <v>4197.7064745157295</v>
      </c>
      <c r="C4" s="24">
        <v>221.93645868824095</v>
      </c>
      <c r="E4" s="25"/>
      <c r="F4" s="28">
        <v>76.000000163912773</v>
      </c>
      <c r="G4" s="29" t="s">
        <v>23</v>
      </c>
      <c r="I4" s="61" t="s">
        <v>36</v>
      </c>
      <c r="J4" s="62"/>
      <c r="K4" s="63" t="s">
        <v>37</v>
      </c>
      <c r="L4" s="64"/>
      <c r="M4" s="65" t="s">
        <v>24</v>
      </c>
      <c r="N4" s="66"/>
      <c r="P4" s="30"/>
      <c r="AH4" s="16">
        <v>140</v>
      </c>
      <c r="AI4" s="16"/>
      <c r="AJ4" s="16"/>
      <c r="AK4" s="16">
        <v>130</v>
      </c>
      <c r="AL4" s="16">
        <v>0</v>
      </c>
      <c r="AM4" s="16">
        <v>2</v>
      </c>
      <c r="AN4" s="16"/>
      <c r="BC4" s="13"/>
      <c r="BD4" s="13"/>
      <c r="BE4" s="13"/>
      <c r="BF4" s="13"/>
      <c r="BG4" s="13"/>
      <c r="BH4" s="13"/>
      <c r="BI4" s="13"/>
      <c r="BJ4" s="13"/>
      <c r="BK4" s="13"/>
      <c r="BL4" s="13"/>
      <c r="BM4" s="13"/>
      <c r="BN4" s="13"/>
    </row>
    <row r="5" spans="1:66" x14ac:dyDescent="0.25">
      <c r="A5" s="22">
        <v>3</v>
      </c>
      <c r="B5" s="23">
        <v>4195.9522593677675</v>
      </c>
      <c r="C5" s="24">
        <v>247.6127985621786</v>
      </c>
      <c r="E5" s="31"/>
      <c r="F5" s="32"/>
      <c r="G5" s="31"/>
      <c r="I5" s="33" t="s">
        <v>25</v>
      </c>
      <c r="J5" s="34">
        <v>4204.8688371775215</v>
      </c>
      <c r="K5" s="35" t="s">
        <v>25</v>
      </c>
      <c r="L5" s="36">
        <v>251.45594607190873</v>
      </c>
      <c r="M5" s="37"/>
      <c r="N5" s="38"/>
      <c r="P5" s="30"/>
      <c r="AH5" s="16">
        <v>150</v>
      </c>
      <c r="AI5" s="16"/>
      <c r="AJ5" s="16"/>
      <c r="AK5" s="16">
        <v>130</v>
      </c>
      <c r="AL5" s="16">
        <v>0</v>
      </c>
      <c r="AM5" s="16">
        <v>1</v>
      </c>
      <c r="AN5" s="16"/>
      <c r="BC5" s="13"/>
      <c r="BD5" s="13"/>
      <c r="BE5" s="13"/>
      <c r="BF5" s="13"/>
      <c r="BG5" s="13"/>
      <c r="BH5" s="13"/>
      <c r="BI5" s="13"/>
      <c r="BJ5" s="13"/>
      <c r="BK5" s="13"/>
      <c r="BL5" s="13"/>
      <c r="BM5" s="13"/>
      <c r="BN5" s="13"/>
    </row>
    <row r="6" spans="1:66" x14ac:dyDescent="0.25">
      <c r="A6" s="22">
        <v>4</v>
      </c>
      <c r="B6" s="23">
        <v>4215.2332839814626</v>
      </c>
      <c r="C6" s="24">
        <v>321.27850765002034</v>
      </c>
      <c r="I6" s="33" t="s">
        <v>26</v>
      </c>
      <c r="J6" s="39">
        <v>7.5009682111132925</v>
      </c>
      <c r="K6" s="35" t="s">
        <v>26</v>
      </c>
      <c r="L6" s="40">
        <v>46.116605294026932</v>
      </c>
      <c r="M6" s="41"/>
      <c r="N6" s="42"/>
      <c r="AH6" s="16">
        <v>160</v>
      </c>
      <c r="AI6" s="16"/>
      <c r="AJ6" s="16"/>
      <c r="AK6" s="16">
        <v>140</v>
      </c>
      <c r="AL6" s="16">
        <v>0</v>
      </c>
      <c r="AM6" s="16">
        <v>1</v>
      </c>
      <c r="AN6" s="16"/>
      <c r="BC6" s="13"/>
      <c r="BD6" s="13"/>
      <c r="BE6" s="13"/>
      <c r="BF6" s="13"/>
      <c r="BG6" s="13"/>
      <c r="BH6" s="13"/>
      <c r="BI6" s="13"/>
      <c r="BJ6" s="13"/>
      <c r="BK6" s="13"/>
      <c r="BL6" s="13"/>
      <c r="BM6" s="13"/>
      <c r="BN6" s="13"/>
    </row>
    <row r="7" spans="1:66" x14ac:dyDescent="0.25">
      <c r="A7" s="22">
        <v>5</v>
      </c>
      <c r="B7" s="23">
        <v>4208.3580994832437</v>
      </c>
      <c r="C7" s="24">
        <v>273.10887762721489</v>
      </c>
      <c r="F7" s="43"/>
      <c r="I7" s="33" t="s">
        <v>27</v>
      </c>
      <c r="J7" s="34">
        <v>4230.3760352271238</v>
      </c>
      <c r="K7" s="35" t="s">
        <v>27</v>
      </c>
      <c r="L7" s="36">
        <v>477.88386516952585</v>
      </c>
      <c r="M7" s="25"/>
      <c r="N7" s="44"/>
      <c r="AH7" s="16">
        <v>170</v>
      </c>
      <c r="AI7" s="16"/>
      <c r="AJ7" s="16"/>
      <c r="AK7" s="16">
        <v>140</v>
      </c>
      <c r="AL7" s="16">
        <v>0</v>
      </c>
      <c r="AM7" s="16">
        <v>13</v>
      </c>
      <c r="AN7" s="16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</row>
    <row r="8" spans="1:66" ht="16.5" thickBot="1" x14ac:dyDescent="0.3">
      <c r="A8" s="22">
        <v>6</v>
      </c>
      <c r="B8" s="23">
        <v>4196.5019118762684</v>
      </c>
      <c r="C8" s="24">
        <v>240.12258993299335</v>
      </c>
      <c r="F8" s="43"/>
      <c r="I8" s="45" t="s">
        <v>28</v>
      </c>
      <c r="J8" s="46">
        <v>4177.004777436623</v>
      </c>
      <c r="K8" s="47" t="s">
        <v>28</v>
      </c>
      <c r="L8" s="48">
        <v>124.40511193977044</v>
      </c>
      <c r="M8" s="49"/>
      <c r="N8" s="50"/>
      <c r="AH8" s="16">
        <v>180</v>
      </c>
      <c r="AI8" s="16"/>
      <c r="AJ8" s="16"/>
      <c r="AK8" s="16">
        <v>150</v>
      </c>
      <c r="AL8" s="16">
        <v>0</v>
      </c>
      <c r="AM8" s="16">
        <v>13</v>
      </c>
      <c r="AN8" s="16"/>
      <c r="BC8" s="13"/>
      <c r="BD8" s="13"/>
      <c r="BE8" s="13"/>
      <c r="BF8" s="13"/>
      <c r="BG8" s="13"/>
      <c r="BH8" s="13"/>
      <c r="BI8" s="13"/>
      <c r="BJ8" s="13"/>
      <c r="BK8" s="13"/>
      <c r="BL8" s="13"/>
      <c r="BM8" s="13"/>
      <c r="BN8" s="13"/>
    </row>
    <row r="9" spans="1:66" x14ac:dyDescent="0.25">
      <c r="A9" s="22">
        <v>7</v>
      </c>
      <c r="B9" s="23">
        <v>4212.9662098858789</v>
      </c>
      <c r="C9" s="24">
        <v>208.24471094866828</v>
      </c>
      <c r="F9" s="43"/>
      <c r="I9" s="31"/>
      <c r="J9" s="51"/>
      <c r="K9" s="31"/>
      <c r="L9" s="31"/>
      <c r="M9" s="31"/>
      <c r="N9" s="31"/>
      <c r="AH9" s="16">
        <v>190</v>
      </c>
      <c r="AI9" s="16"/>
      <c r="AJ9" s="16"/>
      <c r="AK9" s="16">
        <v>150</v>
      </c>
      <c r="AL9" s="16">
        <v>0</v>
      </c>
      <c r="AM9" s="16">
        <v>47</v>
      </c>
      <c r="AN9" s="16"/>
      <c r="BC9" s="13"/>
      <c r="BD9" s="13"/>
      <c r="BE9" s="13"/>
      <c r="BF9" s="13"/>
      <c r="BG9" s="13"/>
      <c r="BH9" s="13"/>
      <c r="BI9" s="13"/>
      <c r="BJ9" s="13"/>
      <c r="BK9" s="13"/>
      <c r="BL9" s="13"/>
      <c r="BM9" s="13"/>
      <c r="BN9" s="13"/>
    </row>
    <row r="10" spans="1:66" x14ac:dyDescent="0.25">
      <c r="A10" s="22">
        <v>8</v>
      </c>
      <c r="B10" s="23">
        <v>4193.8519148861924</v>
      </c>
      <c r="C10" s="24">
        <v>279.96852040591142</v>
      </c>
      <c r="F10" s="43"/>
      <c r="I10" s="25"/>
      <c r="J10" s="51"/>
      <c r="K10" s="31"/>
      <c r="L10" s="31"/>
      <c r="M10" s="31"/>
      <c r="N10" s="31"/>
      <c r="P10" s="30"/>
      <c r="AH10" s="16">
        <v>200</v>
      </c>
      <c r="AI10" s="16"/>
      <c r="AJ10" s="16"/>
      <c r="AK10" s="16">
        <v>160</v>
      </c>
      <c r="AL10" s="16">
        <v>0</v>
      </c>
      <c r="AM10" s="16">
        <v>47</v>
      </c>
      <c r="AN10" s="16"/>
      <c r="BC10" s="13"/>
      <c r="BD10" s="13"/>
      <c r="BE10" s="13"/>
      <c r="BF10" s="13"/>
      <c r="BG10" s="13"/>
      <c r="BH10" s="13"/>
      <c r="BI10" s="13"/>
      <c r="BJ10" s="13"/>
      <c r="BK10" s="13"/>
      <c r="BL10" s="13"/>
      <c r="BM10" s="13"/>
      <c r="BN10" s="13"/>
    </row>
    <row r="11" spans="1:66" x14ac:dyDescent="0.25">
      <c r="A11" s="22">
        <v>9</v>
      </c>
      <c r="B11" s="23">
        <v>4202.9415602498339</v>
      </c>
      <c r="C11" s="24">
        <v>281.79861537662941</v>
      </c>
      <c r="I11" s="31"/>
      <c r="J11" s="51"/>
      <c r="K11" s="31"/>
      <c r="L11" s="31"/>
      <c r="M11" s="31"/>
      <c r="N11" s="31"/>
      <c r="P11" s="30"/>
      <c r="AH11" s="16">
        <v>210</v>
      </c>
      <c r="AI11" s="16"/>
      <c r="AJ11" s="16"/>
      <c r="AK11" s="16">
        <v>160</v>
      </c>
      <c r="AL11" s="16">
        <v>0</v>
      </c>
      <c r="AM11" s="16">
        <v>103</v>
      </c>
      <c r="AN11" s="16"/>
      <c r="BC11" s="13"/>
      <c r="BD11" s="13"/>
      <c r="BE11" s="13"/>
      <c r="BF11" s="13"/>
      <c r="BG11" s="13"/>
      <c r="BH11" s="13"/>
      <c r="BI11" s="13"/>
      <c r="BJ11" s="13"/>
      <c r="BK11" s="13"/>
      <c r="BL11" s="13"/>
      <c r="BM11" s="13"/>
      <c r="BN11" s="13"/>
    </row>
    <row r="12" spans="1:66" x14ac:dyDescent="0.25">
      <c r="A12" s="22">
        <v>10</v>
      </c>
      <c r="B12" s="23">
        <v>4205.5571561252164</v>
      </c>
      <c r="C12" s="24">
        <v>219.35225052896322</v>
      </c>
      <c r="I12" s="31"/>
      <c r="J12" s="31"/>
      <c r="K12" s="31"/>
      <c r="L12" s="31"/>
      <c r="M12" s="31"/>
      <c r="N12" s="31"/>
      <c r="P12" s="30"/>
      <c r="AH12" s="16">
        <v>220</v>
      </c>
      <c r="AI12" s="16"/>
      <c r="AJ12" s="16"/>
      <c r="AK12" s="16">
        <v>170</v>
      </c>
      <c r="AL12" s="16">
        <v>0</v>
      </c>
      <c r="AM12" s="16">
        <v>103</v>
      </c>
      <c r="AN12" s="16"/>
      <c r="BC12" s="13"/>
      <c r="BD12" s="13"/>
      <c r="BE12" s="13"/>
      <c r="BF12" s="13"/>
      <c r="BG12" s="13"/>
      <c r="BH12" s="13"/>
      <c r="BI12" s="13"/>
      <c r="BJ12" s="13"/>
      <c r="BK12" s="13"/>
      <c r="BL12" s="13"/>
      <c r="BM12" s="13"/>
      <c r="BN12" s="13"/>
    </row>
    <row r="13" spans="1:66" x14ac:dyDescent="0.25">
      <c r="A13" s="22">
        <v>11</v>
      </c>
      <c r="B13" s="23">
        <v>4212.7765658699927</v>
      </c>
      <c r="C13" s="24">
        <v>189.37087605044735</v>
      </c>
      <c r="I13" s="31"/>
      <c r="J13" s="31"/>
      <c r="K13" s="31"/>
      <c r="L13" s="31"/>
      <c r="M13" s="31"/>
      <c r="N13" s="31"/>
      <c r="AH13" s="16">
        <v>230</v>
      </c>
      <c r="AI13" s="16"/>
      <c r="AJ13" s="16"/>
      <c r="AK13" s="16">
        <v>170</v>
      </c>
      <c r="AL13" s="16">
        <v>0</v>
      </c>
      <c r="AM13" s="16">
        <v>201</v>
      </c>
      <c r="AN13" s="16"/>
      <c r="BC13" s="13"/>
      <c r="BD13" s="13"/>
      <c r="BE13" s="13"/>
      <c r="BF13" s="13"/>
      <c r="BG13" s="13"/>
      <c r="BH13" s="13"/>
      <c r="BI13" s="13"/>
      <c r="BJ13" s="13"/>
      <c r="BK13" s="13"/>
      <c r="BL13" s="13"/>
      <c r="BM13" s="13"/>
      <c r="BN13" s="13"/>
    </row>
    <row r="14" spans="1:66" x14ac:dyDescent="0.25">
      <c r="A14" s="22">
        <v>12</v>
      </c>
      <c r="B14" s="23">
        <v>4215.732569275845</v>
      </c>
      <c r="C14" s="24">
        <v>220.74336834770682</v>
      </c>
      <c r="E14" s="52"/>
      <c r="I14" s="31"/>
      <c r="J14" s="31"/>
      <c r="K14" s="31"/>
      <c r="L14" s="31"/>
      <c r="M14" s="31"/>
      <c r="N14" s="31"/>
      <c r="AH14" s="16">
        <v>240</v>
      </c>
      <c r="AI14" s="16"/>
      <c r="AJ14" s="16"/>
      <c r="AK14" s="16">
        <v>180</v>
      </c>
      <c r="AL14" s="16">
        <v>0</v>
      </c>
      <c r="AM14" s="16">
        <v>201</v>
      </c>
      <c r="AN14" s="16"/>
      <c r="BC14" s="13"/>
      <c r="BD14" s="13"/>
      <c r="BE14" s="13"/>
      <c r="BF14" s="13"/>
      <c r="BG14" s="13"/>
      <c r="BH14" s="13"/>
      <c r="BI14" s="13"/>
      <c r="BJ14" s="13"/>
      <c r="BK14" s="13"/>
      <c r="BL14" s="13"/>
      <c r="BM14" s="13"/>
      <c r="BN14" s="13"/>
    </row>
    <row r="15" spans="1:66" x14ac:dyDescent="0.25">
      <c r="A15" s="22">
        <v>13</v>
      </c>
      <c r="B15" s="23">
        <v>4214.87378723032</v>
      </c>
      <c r="C15" s="24">
        <v>234.07822759956758</v>
      </c>
      <c r="E15" s="52"/>
      <c r="I15" s="31"/>
      <c r="J15" s="31"/>
      <c r="K15" s="31"/>
      <c r="L15" s="31"/>
      <c r="M15" s="31"/>
      <c r="N15" s="31"/>
      <c r="AH15" s="16">
        <v>250</v>
      </c>
      <c r="AI15" s="16"/>
      <c r="AJ15" s="16"/>
      <c r="AK15" s="16">
        <v>180</v>
      </c>
      <c r="AL15" s="16">
        <v>0</v>
      </c>
      <c r="AM15" s="16">
        <v>340</v>
      </c>
      <c r="AN15" s="16"/>
      <c r="BC15" s="13"/>
      <c r="BD15" s="13"/>
      <c r="BE15" s="13"/>
      <c r="BF15" s="13"/>
      <c r="BG15" s="13"/>
      <c r="BH15" s="13"/>
      <c r="BI15" s="13"/>
      <c r="BJ15" s="13"/>
      <c r="BK15" s="13"/>
      <c r="BL15" s="13"/>
      <c r="BM15" s="13"/>
      <c r="BN15" s="13"/>
    </row>
    <row r="16" spans="1:66" x14ac:dyDescent="0.25">
      <c r="A16" s="22">
        <v>14</v>
      </c>
      <c r="B16" s="23">
        <v>4198.1721798539611</v>
      </c>
      <c r="C16" s="24">
        <v>231.31212391415482</v>
      </c>
      <c r="E16" s="52"/>
      <c r="I16" s="31"/>
      <c r="J16" s="31"/>
      <c r="K16" s="31"/>
      <c r="L16" s="31"/>
      <c r="M16" s="31"/>
      <c r="N16" s="31"/>
      <c r="AH16" s="16">
        <v>260</v>
      </c>
      <c r="AI16" s="16"/>
      <c r="AJ16" s="16"/>
      <c r="AK16" s="16">
        <v>190</v>
      </c>
      <c r="AL16" s="16">
        <v>0</v>
      </c>
      <c r="AM16" s="16">
        <v>340</v>
      </c>
      <c r="AN16" s="16"/>
      <c r="BC16" s="13"/>
      <c r="BD16" s="13"/>
      <c r="BE16" s="13"/>
      <c r="BF16" s="13"/>
      <c r="BG16" s="13"/>
      <c r="BH16" s="13"/>
      <c r="BI16" s="13"/>
      <c r="BJ16" s="13"/>
      <c r="BK16" s="13"/>
      <c r="BL16" s="13"/>
      <c r="BM16" s="13"/>
      <c r="BN16" s="13"/>
    </row>
    <row r="17" spans="1:66" x14ac:dyDescent="0.25">
      <c r="A17" s="22">
        <v>15</v>
      </c>
      <c r="B17" s="23">
        <v>4203.0099307414021</v>
      </c>
      <c r="C17" s="24">
        <v>311.60347087924947</v>
      </c>
      <c r="I17" s="31"/>
      <c r="J17" s="31"/>
      <c r="K17" s="31"/>
      <c r="L17" s="31"/>
      <c r="M17" s="31"/>
      <c r="N17" s="31"/>
      <c r="AH17" s="16">
        <v>270</v>
      </c>
      <c r="AI17" s="16"/>
      <c r="AJ17" s="16"/>
      <c r="AK17" s="16">
        <v>190</v>
      </c>
      <c r="AL17" s="16">
        <v>0</v>
      </c>
      <c r="AM17" s="16">
        <v>517</v>
      </c>
      <c r="AN17" s="16"/>
      <c r="BC17" s="13"/>
      <c r="BD17" s="13"/>
      <c r="BE17" s="13"/>
      <c r="BF17" s="13"/>
      <c r="BG17" s="13"/>
      <c r="BH17" s="13"/>
      <c r="BI17" s="13"/>
      <c r="BJ17" s="13"/>
      <c r="BK17" s="13"/>
      <c r="BL17" s="13"/>
      <c r="BM17" s="13"/>
      <c r="BN17" s="13"/>
    </row>
    <row r="18" spans="1:66" x14ac:dyDescent="0.25">
      <c r="A18" s="22">
        <v>16</v>
      </c>
      <c r="B18" s="23">
        <v>4202.1200942600008</v>
      </c>
      <c r="C18" s="24">
        <v>239.88891646369302</v>
      </c>
      <c r="I18" s="31"/>
      <c r="J18" s="31"/>
      <c r="K18" s="31"/>
      <c r="L18" s="31"/>
      <c r="M18" s="31"/>
      <c r="N18" s="31"/>
      <c r="AH18" s="16">
        <v>280</v>
      </c>
      <c r="AI18" s="16"/>
      <c r="AJ18" s="16"/>
      <c r="AK18" s="16">
        <v>200</v>
      </c>
      <c r="AL18" s="16">
        <v>0</v>
      </c>
      <c r="AM18" s="16">
        <v>517</v>
      </c>
      <c r="AN18" s="16"/>
      <c r="BC18" s="13"/>
      <c r="BD18" s="13"/>
      <c r="BE18" s="13"/>
      <c r="BF18" s="13"/>
      <c r="BG18" s="13"/>
      <c r="BH18" s="13"/>
      <c r="BI18" s="13"/>
      <c r="BJ18" s="13"/>
      <c r="BK18" s="13"/>
      <c r="BL18" s="13"/>
      <c r="BM18" s="13"/>
      <c r="BN18" s="13"/>
    </row>
    <row r="19" spans="1:66" x14ac:dyDescent="0.25">
      <c r="A19" s="22">
        <v>17</v>
      </c>
      <c r="B19" s="23">
        <v>4200.1203152792741</v>
      </c>
      <c r="C19" s="24">
        <v>325.14320608817144</v>
      </c>
      <c r="F19" s="53">
        <v>1</v>
      </c>
      <c r="I19" s="31"/>
      <c r="J19" s="31"/>
      <c r="K19" s="31"/>
      <c r="L19" s="31"/>
      <c r="M19" s="31"/>
      <c r="N19" s="31"/>
      <c r="AH19" s="16">
        <v>290</v>
      </c>
      <c r="AI19" s="16"/>
      <c r="AJ19" s="16"/>
      <c r="AK19" s="16">
        <v>200</v>
      </c>
      <c r="AL19" s="16">
        <v>0</v>
      </c>
      <c r="AM19" s="16">
        <v>596</v>
      </c>
      <c r="AN19" s="16"/>
      <c r="BC19" s="13"/>
      <c r="BD19" s="13"/>
      <c r="BE19" s="13"/>
      <c r="BF19" s="13"/>
      <c r="BG19" s="13"/>
      <c r="BH19" s="13"/>
      <c r="BI19" s="13"/>
      <c r="BJ19" s="13"/>
      <c r="BK19" s="13"/>
      <c r="BL19" s="13"/>
      <c r="BM19" s="13"/>
      <c r="BN19" s="13"/>
    </row>
    <row r="20" spans="1:66" x14ac:dyDescent="0.25">
      <c r="A20" s="22">
        <v>18</v>
      </c>
      <c r="B20" s="23">
        <v>4185.8308569970659</v>
      </c>
      <c r="C20" s="24">
        <v>332.30804626981751</v>
      </c>
      <c r="I20" s="31"/>
      <c r="J20" s="31"/>
      <c r="K20" s="31"/>
      <c r="L20" s="31"/>
      <c r="M20" s="31"/>
      <c r="N20" s="31"/>
      <c r="AH20" s="16">
        <v>300</v>
      </c>
      <c r="AI20" s="16"/>
      <c r="AJ20" s="16"/>
      <c r="AK20" s="16">
        <v>210</v>
      </c>
      <c r="AL20" s="16">
        <v>0</v>
      </c>
      <c r="AM20" s="16">
        <v>596</v>
      </c>
      <c r="AN20" s="16"/>
      <c r="BC20" s="13"/>
      <c r="BD20" s="13"/>
      <c r="BE20" s="13"/>
      <c r="BF20" s="13"/>
      <c r="BG20" s="13"/>
      <c r="BH20" s="13"/>
      <c r="BI20" s="13"/>
      <c r="BJ20" s="13"/>
      <c r="BK20" s="13"/>
      <c r="BL20" s="13"/>
      <c r="BM20" s="13"/>
      <c r="BN20" s="13"/>
    </row>
    <row r="21" spans="1:66" x14ac:dyDescent="0.25">
      <c r="A21" s="22">
        <v>19</v>
      </c>
      <c r="B21" s="23">
        <v>4203.6324372200961</v>
      </c>
      <c r="C21" s="24">
        <v>262.65186777818332</v>
      </c>
      <c r="I21" s="31"/>
      <c r="J21" s="31"/>
      <c r="K21" s="31"/>
      <c r="L21" s="31"/>
      <c r="M21" s="31"/>
      <c r="N21" s="31"/>
      <c r="AH21" s="16">
        <v>310</v>
      </c>
      <c r="AI21" s="16"/>
      <c r="AJ21" s="16"/>
      <c r="AK21" s="16">
        <v>210</v>
      </c>
      <c r="AL21" s="16">
        <v>0</v>
      </c>
      <c r="AM21" s="16">
        <v>736</v>
      </c>
      <c r="AN21" s="16"/>
      <c r="BC21" s="13"/>
      <c r="BD21" s="13"/>
      <c r="BE21" s="13"/>
      <c r="BF21" s="13"/>
      <c r="BG21" s="13"/>
      <c r="BH21" s="13"/>
      <c r="BI21" s="13"/>
      <c r="BJ21" s="13"/>
      <c r="BK21" s="13"/>
      <c r="BL21" s="13"/>
      <c r="BM21" s="13"/>
      <c r="BN21" s="13"/>
    </row>
    <row r="22" spans="1:66" x14ac:dyDescent="0.25">
      <c r="A22" s="22">
        <v>20</v>
      </c>
      <c r="B22" s="23">
        <v>4207.4952464527032</v>
      </c>
      <c r="C22" s="24">
        <v>267.41259064643583</v>
      </c>
      <c r="I22" s="31"/>
      <c r="J22" s="31"/>
      <c r="K22" s="31"/>
      <c r="L22" s="31"/>
      <c r="M22" s="31"/>
      <c r="N22" s="31"/>
      <c r="AH22" s="16">
        <v>320</v>
      </c>
      <c r="AI22" s="16"/>
      <c r="AJ22" s="16"/>
      <c r="AK22" s="16">
        <v>220</v>
      </c>
      <c r="AL22" s="16">
        <v>0</v>
      </c>
      <c r="AM22" s="16">
        <v>736</v>
      </c>
      <c r="AN22" s="16"/>
      <c r="BC22" s="13"/>
      <c r="BD22" s="13"/>
      <c r="BE22" s="13"/>
      <c r="BF22" s="13"/>
      <c r="BG22" s="13"/>
      <c r="BH22" s="13"/>
      <c r="BI22" s="13"/>
      <c r="BJ22" s="13"/>
      <c r="BK22" s="13"/>
      <c r="BL22" s="13"/>
      <c r="BM22" s="13"/>
      <c r="BN22" s="13"/>
    </row>
    <row r="23" spans="1:66" x14ac:dyDescent="0.25">
      <c r="A23" s="22">
        <v>21</v>
      </c>
      <c r="B23" s="23">
        <v>4203.0250132788233</v>
      </c>
      <c r="C23" s="24">
        <v>194.14104783204178</v>
      </c>
      <c r="AH23" s="16">
        <v>330</v>
      </c>
      <c r="AI23" s="16"/>
      <c r="AJ23" s="16"/>
      <c r="AK23" s="16">
        <v>220</v>
      </c>
      <c r="AL23" s="16">
        <v>0</v>
      </c>
      <c r="AM23" s="16">
        <v>887</v>
      </c>
      <c r="AN23" s="16"/>
      <c r="BC23" s="13"/>
      <c r="BD23" s="13"/>
      <c r="BE23" s="13"/>
      <c r="BF23" s="13"/>
      <c r="BG23" s="13"/>
      <c r="BH23" s="13"/>
      <c r="BI23" s="13"/>
      <c r="BJ23" s="13"/>
      <c r="BK23" s="13"/>
      <c r="BL23" s="13"/>
      <c r="BM23" s="13"/>
      <c r="BN23" s="13"/>
    </row>
    <row r="24" spans="1:66" x14ac:dyDescent="0.25">
      <c r="A24" s="22">
        <v>22</v>
      </c>
      <c r="B24" s="23">
        <v>4193.6030324275807</v>
      </c>
      <c r="C24" s="24">
        <v>250.04709403346016</v>
      </c>
      <c r="I24" s="54"/>
      <c r="AH24" s="16">
        <v>340</v>
      </c>
      <c r="AI24" s="16"/>
      <c r="AJ24" s="16"/>
      <c r="AK24" s="16">
        <v>230</v>
      </c>
      <c r="AL24" s="16">
        <v>0</v>
      </c>
      <c r="AM24" s="16">
        <v>887</v>
      </c>
      <c r="AN24" s="16"/>
      <c r="BC24" s="13"/>
      <c r="BD24" s="13"/>
      <c r="BE24" s="13"/>
      <c r="BF24" s="13"/>
      <c r="BG24" s="13"/>
      <c r="BH24" s="13"/>
      <c r="BI24" s="13"/>
      <c r="BJ24" s="13"/>
      <c r="BK24" s="13"/>
      <c r="BL24" s="13"/>
      <c r="BM24" s="13"/>
      <c r="BN24" s="13"/>
    </row>
    <row r="25" spans="1:66" x14ac:dyDescent="0.25">
      <c r="A25" s="22">
        <v>23</v>
      </c>
      <c r="B25" s="23">
        <v>4198.7845882653755</v>
      </c>
      <c r="C25" s="24">
        <v>284.99466196336999</v>
      </c>
      <c r="AH25" s="16">
        <v>350</v>
      </c>
      <c r="AI25" s="16"/>
      <c r="AJ25" s="16"/>
      <c r="AK25" s="16">
        <v>230</v>
      </c>
      <c r="AL25" s="16">
        <v>0</v>
      </c>
      <c r="AM25" s="16">
        <v>939</v>
      </c>
      <c r="AN25" s="16"/>
      <c r="BC25" s="13"/>
      <c r="BD25" s="13"/>
      <c r="BE25" s="13"/>
      <c r="BF25" s="13"/>
      <c r="BG25" s="13"/>
      <c r="BH25" s="13"/>
      <c r="BI25" s="13"/>
      <c r="BJ25" s="13"/>
      <c r="BK25" s="13"/>
      <c r="BL25" s="13"/>
      <c r="BM25" s="13"/>
      <c r="BN25" s="13"/>
    </row>
    <row r="26" spans="1:66" x14ac:dyDescent="0.25">
      <c r="A26" s="22">
        <v>24</v>
      </c>
      <c r="B26" s="23">
        <v>4207.7108537058339</v>
      </c>
      <c r="C26" s="24">
        <v>202.60605058113472</v>
      </c>
      <c r="AH26" s="16">
        <v>360</v>
      </c>
      <c r="AI26" s="16"/>
      <c r="AJ26" s="16"/>
      <c r="AK26" s="16">
        <v>240</v>
      </c>
      <c r="AL26" s="16">
        <v>0</v>
      </c>
      <c r="AM26" s="16">
        <v>939</v>
      </c>
      <c r="AN26" s="16"/>
      <c r="BC26" s="13"/>
      <c r="BD26" s="13"/>
      <c r="BE26" s="13"/>
      <c r="BF26" s="13"/>
      <c r="BG26" s="13"/>
      <c r="BH26" s="13"/>
      <c r="BI26" s="13"/>
      <c r="BJ26" s="13"/>
      <c r="BK26" s="13"/>
      <c r="BL26" s="13"/>
      <c r="BM26" s="13"/>
      <c r="BN26" s="13"/>
    </row>
    <row r="27" spans="1:66" x14ac:dyDescent="0.25">
      <c r="A27" s="22">
        <v>25</v>
      </c>
      <c r="B27" s="23">
        <v>4202.1128522476902</v>
      </c>
      <c r="C27" s="24">
        <v>202.79985380921238</v>
      </c>
      <c r="AH27" s="16">
        <v>370</v>
      </c>
      <c r="AI27" s="16"/>
      <c r="AJ27" s="16"/>
      <c r="AK27" s="16">
        <v>240</v>
      </c>
      <c r="AL27" s="16">
        <v>0</v>
      </c>
      <c r="AM27" s="16">
        <v>911</v>
      </c>
      <c r="AN27" s="16"/>
      <c r="BC27" s="13"/>
      <c r="BD27" s="13"/>
      <c r="BE27" s="13"/>
      <c r="BF27" s="13"/>
      <c r="BG27" s="13"/>
      <c r="BH27" s="13"/>
      <c r="BI27" s="13"/>
      <c r="BJ27" s="13"/>
      <c r="BK27" s="13"/>
      <c r="BL27" s="13"/>
      <c r="BM27" s="13"/>
      <c r="BN27" s="13"/>
    </row>
    <row r="28" spans="1:66" x14ac:dyDescent="0.25">
      <c r="A28" s="22">
        <v>26</v>
      </c>
      <c r="B28" s="23">
        <v>4209.1279098507539</v>
      </c>
      <c r="C28" s="24">
        <v>186.68936192139154</v>
      </c>
      <c r="AH28" s="16">
        <v>380</v>
      </c>
      <c r="AI28" s="16"/>
      <c r="AJ28" s="16"/>
      <c r="AK28" s="16">
        <v>250</v>
      </c>
      <c r="AL28" s="16">
        <v>0</v>
      </c>
      <c r="AM28" s="16">
        <v>911</v>
      </c>
      <c r="AN28" s="16"/>
      <c r="BC28" s="13"/>
      <c r="BD28" s="13"/>
      <c r="BE28" s="13"/>
      <c r="BF28" s="13"/>
      <c r="BG28" s="13"/>
      <c r="BH28" s="13"/>
      <c r="BI28" s="13"/>
      <c r="BJ28" s="13"/>
      <c r="BK28" s="13"/>
      <c r="BL28" s="13"/>
      <c r="BM28" s="13"/>
      <c r="BN28" s="13"/>
    </row>
    <row r="29" spans="1:66" x14ac:dyDescent="0.25">
      <c r="A29" s="22">
        <v>27</v>
      </c>
      <c r="B29" s="23">
        <v>4202.2438377999188</v>
      </c>
      <c r="C29" s="24">
        <v>172.44924767672845</v>
      </c>
      <c r="AH29" s="16">
        <v>390</v>
      </c>
      <c r="AI29" s="16"/>
      <c r="AJ29" s="16"/>
      <c r="AK29" s="16">
        <v>250</v>
      </c>
      <c r="AL29" s="16">
        <v>0</v>
      </c>
      <c r="AM29" s="16">
        <v>852</v>
      </c>
      <c r="AN29" s="16"/>
      <c r="BC29" s="13"/>
      <c r="BD29" s="13"/>
      <c r="BE29" s="13"/>
      <c r="BF29" s="13"/>
      <c r="BG29" s="13"/>
      <c r="BH29" s="13"/>
      <c r="BI29" s="13"/>
      <c r="BJ29" s="13"/>
      <c r="BK29" s="13"/>
      <c r="BL29" s="13"/>
      <c r="BM29" s="13"/>
      <c r="BN29" s="13"/>
    </row>
    <row r="30" spans="1:66" x14ac:dyDescent="0.25">
      <c r="A30" s="22">
        <v>28</v>
      </c>
      <c r="B30" s="23">
        <v>4212.9191271424934</v>
      </c>
      <c r="C30" s="24">
        <v>227.29563104828358</v>
      </c>
      <c r="AH30" s="16">
        <v>400</v>
      </c>
      <c r="AI30" s="16"/>
      <c r="AJ30" s="16"/>
      <c r="AK30" s="16">
        <v>260</v>
      </c>
      <c r="AL30" s="16">
        <v>0</v>
      </c>
      <c r="AM30" s="16">
        <v>852</v>
      </c>
      <c r="AN30" s="16"/>
      <c r="BC30" s="13"/>
      <c r="BD30" s="13"/>
      <c r="BE30" s="13"/>
      <c r="BF30" s="13"/>
      <c r="BG30" s="13"/>
      <c r="BH30" s="13"/>
      <c r="BI30" s="13"/>
      <c r="BJ30" s="13"/>
      <c r="BK30" s="13"/>
      <c r="BL30" s="13"/>
      <c r="BM30" s="13"/>
      <c r="BN30" s="13"/>
    </row>
    <row r="31" spans="1:66" x14ac:dyDescent="0.25">
      <c r="A31" s="22">
        <v>29</v>
      </c>
      <c r="B31" s="23">
        <v>4215.2076758271924</v>
      </c>
      <c r="C31" s="24">
        <v>225.66989567274496</v>
      </c>
      <c r="AH31" s="16">
        <v>410</v>
      </c>
      <c r="AI31" s="16"/>
      <c r="AJ31" s="16"/>
      <c r="AK31" s="16">
        <v>260</v>
      </c>
      <c r="AL31" s="16">
        <v>0</v>
      </c>
      <c r="AM31" s="16">
        <v>791</v>
      </c>
      <c r="AN31" s="16"/>
      <c r="BC31" s="13"/>
      <c r="BD31" s="13"/>
      <c r="BE31" s="13"/>
      <c r="BF31" s="13"/>
      <c r="BG31" s="13"/>
      <c r="BH31" s="13"/>
      <c r="BI31" s="13"/>
      <c r="BJ31" s="13"/>
      <c r="BK31" s="13"/>
      <c r="BL31" s="13"/>
      <c r="BM31" s="13"/>
      <c r="BN31" s="13"/>
    </row>
    <row r="32" spans="1:66" x14ac:dyDescent="0.25">
      <c r="A32" s="22">
        <v>30</v>
      </c>
      <c r="B32" s="23">
        <v>4201.6584446140814</v>
      </c>
      <c r="C32" s="24">
        <v>269.48251211091252</v>
      </c>
      <c r="AH32" s="16">
        <v>420</v>
      </c>
      <c r="AI32" s="16"/>
      <c r="AJ32" s="16"/>
      <c r="AK32" s="16">
        <v>270</v>
      </c>
      <c r="AL32" s="16">
        <v>0</v>
      </c>
      <c r="AM32" s="16">
        <v>791</v>
      </c>
      <c r="AN32" s="16"/>
      <c r="BC32" s="13"/>
      <c r="BD32" s="13"/>
      <c r="BE32" s="13"/>
      <c r="BF32" s="13"/>
      <c r="BG32" s="13"/>
      <c r="BH32" s="13"/>
      <c r="BI32" s="13"/>
      <c r="BJ32" s="13"/>
      <c r="BK32" s="13"/>
      <c r="BL32" s="13"/>
      <c r="BM32" s="13"/>
      <c r="BN32" s="13"/>
    </row>
    <row r="33" spans="1:66" x14ac:dyDescent="0.25">
      <c r="A33" s="22">
        <v>31</v>
      </c>
      <c r="B33" s="23">
        <v>4201.224344183277</v>
      </c>
      <c r="C33" s="24">
        <v>303.28064256014198</v>
      </c>
      <c r="AH33" s="16">
        <v>430</v>
      </c>
      <c r="AI33" s="16"/>
      <c r="AJ33" s="16"/>
      <c r="AK33" s="16">
        <v>270</v>
      </c>
      <c r="AL33" s="16">
        <v>0</v>
      </c>
      <c r="AM33" s="16">
        <v>647</v>
      </c>
      <c r="AN33" s="16"/>
      <c r="BC33" s="13"/>
      <c r="BD33" s="13"/>
      <c r="BE33" s="13"/>
      <c r="BF33" s="13"/>
      <c r="BG33" s="13"/>
      <c r="BH33" s="13"/>
      <c r="BI33" s="13"/>
      <c r="BJ33" s="13"/>
      <c r="BK33" s="13"/>
      <c r="BL33" s="13"/>
      <c r="BM33" s="13"/>
      <c r="BN33" s="13"/>
    </row>
    <row r="34" spans="1:66" x14ac:dyDescent="0.25">
      <c r="A34" s="22">
        <v>32</v>
      </c>
      <c r="B34" s="23">
        <v>4210.0775678523833</v>
      </c>
      <c r="C34" s="24">
        <v>278.28422595519601</v>
      </c>
      <c r="AH34" s="16">
        <v>440</v>
      </c>
      <c r="AI34" s="16"/>
      <c r="AJ34" s="16"/>
      <c r="AK34" s="16">
        <v>280</v>
      </c>
      <c r="AL34" s="16">
        <v>0</v>
      </c>
      <c r="AM34" s="16">
        <v>647</v>
      </c>
      <c r="AN34" s="16"/>
      <c r="BC34" s="13"/>
      <c r="BD34" s="13"/>
      <c r="BE34" s="13"/>
      <c r="BF34" s="13"/>
      <c r="BG34" s="13"/>
      <c r="BH34" s="13"/>
      <c r="BI34" s="13"/>
      <c r="BJ34" s="13"/>
      <c r="BK34" s="13"/>
      <c r="BL34" s="13"/>
      <c r="BM34" s="13"/>
      <c r="BN34" s="13"/>
    </row>
    <row r="35" spans="1:66" x14ac:dyDescent="0.25">
      <c r="A35" s="22">
        <v>33</v>
      </c>
      <c r="B35" s="23">
        <v>4220.1860003495449</v>
      </c>
      <c r="C35" s="24">
        <v>435.83370514127614</v>
      </c>
      <c r="AH35" s="16">
        <v>450</v>
      </c>
      <c r="AI35" s="16"/>
      <c r="AJ35" s="16"/>
      <c r="AK35" s="16">
        <v>280</v>
      </c>
      <c r="AL35" s="16">
        <v>0</v>
      </c>
      <c r="AM35" s="16">
        <v>575</v>
      </c>
      <c r="AN35" s="16"/>
      <c r="BC35" s="13"/>
      <c r="BD35" s="13"/>
      <c r="BE35" s="13"/>
      <c r="BF35" s="13"/>
      <c r="BG35" s="13"/>
      <c r="BH35" s="13"/>
      <c r="BI35" s="13"/>
      <c r="BJ35" s="13"/>
      <c r="BK35" s="13"/>
      <c r="BL35" s="13"/>
      <c r="BM35" s="13"/>
      <c r="BN35" s="13"/>
    </row>
    <row r="36" spans="1:66" x14ac:dyDescent="0.25">
      <c r="A36" s="22">
        <v>34</v>
      </c>
      <c r="B36" s="23">
        <v>4203.8403399564959</v>
      </c>
      <c r="C36" s="24">
        <v>246.66053787501431</v>
      </c>
      <c r="AH36" s="16">
        <v>460</v>
      </c>
      <c r="AI36" s="16"/>
      <c r="AJ36" s="16"/>
      <c r="AK36" s="16">
        <v>290</v>
      </c>
      <c r="AL36" s="16">
        <v>0</v>
      </c>
      <c r="AM36" s="16">
        <v>575</v>
      </c>
      <c r="AN36" s="16"/>
      <c r="BC36" s="13"/>
      <c r="BD36" s="13"/>
      <c r="BE36" s="13"/>
      <c r="BF36" s="13"/>
      <c r="BG36" s="13"/>
      <c r="BH36" s="13"/>
      <c r="BI36" s="13"/>
      <c r="BJ36" s="13"/>
      <c r="BK36" s="13"/>
      <c r="BL36" s="13"/>
      <c r="BM36" s="13"/>
      <c r="BN36" s="13"/>
    </row>
    <row r="37" spans="1:66" x14ac:dyDescent="0.25">
      <c r="A37" s="22">
        <v>35</v>
      </c>
      <c r="B37" s="23">
        <v>4193.4112151206782</v>
      </c>
      <c r="C37" s="24">
        <v>335.96784677693734</v>
      </c>
      <c r="AH37" s="16">
        <v>470</v>
      </c>
      <c r="AI37" s="16"/>
      <c r="AJ37" s="16"/>
      <c r="AK37" s="16">
        <v>290</v>
      </c>
      <c r="AL37" s="16">
        <v>0</v>
      </c>
      <c r="AM37" s="16">
        <v>438</v>
      </c>
      <c r="AN37" s="16"/>
      <c r="BC37" s="13"/>
      <c r="BD37" s="13"/>
      <c r="BE37" s="13"/>
      <c r="BF37" s="13"/>
      <c r="BG37" s="13"/>
      <c r="BH37" s="13"/>
      <c r="BI37" s="13"/>
      <c r="BJ37" s="13"/>
      <c r="BK37" s="13"/>
      <c r="BL37" s="13"/>
      <c r="BM37" s="13"/>
      <c r="BN37" s="13"/>
    </row>
    <row r="38" spans="1:66" x14ac:dyDescent="0.25">
      <c r="A38" s="22">
        <v>36</v>
      </c>
      <c r="B38" s="23">
        <v>4213.5353814916898</v>
      </c>
      <c r="C38" s="24">
        <v>322.79119694697857</v>
      </c>
      <c r="AH38" s="16">
        <v>480</v>
      </c>
      <c r="AI38" s="16"/>
      <c r="AJ38" s="16"/>
      <c r="AK38" s="16">
        <v>300</v>
      </c>
      <c r="AL38" s="16">
        <v>0</v>
      </c>
      <c r="AM38" s="16">
        <v>438</v>
      </c>
      <c r="AN38" s="16"/>
      <c r="BC38" s="13"/>
      <c r="BD38" s="13"/>
      <c r="BE38" s="13"/>
      <c r="BF38" s="13"/>
      <c r="BG38" s="13"/>
      <c r="BH38" s="13"/>
      <c r="BI38" s="13"/>
      <c r="BJ38" s="13"/>
      <c r="BK38" s="13"/>
      <c r="BL38" s="13"/>
      <c r="BM38" s="13"/>
      <c r="BN38" s="13"/>
    </row>
    <row r="39" spans="1:66" x14ac:dyDescent="0.25">
      <c r="A39" s="22">
        <v>37</v>
      </c>
      <c r="B39" s="23">
        <v>4207.8852907357441</v>
      </c>
      <c r="C39" s="24">
        <v>236.46325731727771</v>
      </c>
      <c r="AH39" s="16">
        <v>490</v>
      </c>
      <c r="AI39" s="16"/>
      <c r="AJ39" s="16"/>
      <c r="AK39" s="16">
        <v>300</v>
      </c>
      <c r="AL39" s="16">
        <v>0</v>
      </c>
      <c r="AM39" s="16">
        <v>362</v>
      </c>
      <c r="AN39" s="16"/>
      <c r="BC39" s="13"/>
      <c r="BD39" s="13"/>
      <c r="BE39" s="13"/>
      <c r="BF39" s="13"/>
      <c r="BG39" s="13"/>
      <c r="BH39" s="13"/>
      <c r="BI39" s="13"/>
      <c r="BJ39" s="13"/>
      <c r="BK39" s="13"/>
      <c r="BL39" s="13"/>
      <c r="BM39" s="13"/>
      <c r="BN39" s="13"/>
    </row>
    <row r="40" spans="1:66" x14ac:dyDescent="0.25">
      <c r="A40" s="22">
        <v>38</v>
      </c>
      <c r="B40" s="23">
        <v>4198.4267924108926</v>
      </c>
      <c r="C40" s="24">
        <v>260.77814576323976</v>
      </c>
      <c r="AH40" s="16">
        <v>500</v>
      </c>
      <c r="AI40" s="16"/>
      <c r="AJ40" s="16"/>
      <c r="AK40" s="16">
        <v>310</v>
      </c>
      <c r="AL40" s="16">
        <v>0</v>
      </c>
      <c r="AM40" s="16">
        <v>362</v>
      </c>
      <c r="AN40" s="16"/>
      <c r="BC40" s="13"/>
      <c r="BD40" s="13"/>
      <c r="BE40" s="13"/>
      <c r="BF40" s="13"/>
      <c r="BG40" s="13"/>
      <c r="BH40" s="13"/>
      <c r="BI40" s="13"/>
      <c r="BJ40" s="13"/>
      <c r="BK40" s="13"/>
      <c r="BL40" s="13"/>
      <c r="BM40" s="13"/>
      <c r="BN40" s="13"/>
    </row>
    <row r="41" spans="1:66" x14ac:dyDescent="0.25">
      <c r="A41" s="22">
        <v>39</v>
      </c>
      <c r="B41" s="23">
        <v>4198.2412980087693</v>
      </c>
      <c r="C41" s="24">
        <v>300.48243552064099</v>
      </c>
      <c r="AH41" s="16">
        <v>510</v>
      </c>
      <c r="AI41" s="16"/>
      <c r="AJ41" s="16"/>
      <c r="AK41" s="16">
        <v>310</v>
      </c>
      <c r="AL41" s="16">
        <v>0</v>
      </c>
      <c r="AM41" s="16">
        <v>241</v>
      </c>
      <c r="AN41" s="16"/>
      <c r="BC41" s="13"/>
      <c r="BD41" s="13"/>
      <c r="BE41" s="13"/>
      <c r="BF41" s="13"/>
      <c r="BG41" s="13"/>
      <c r="BH41" s="13"/>
      <c r="BI41" s="13"/>
      <c r="BJ41" s="13"/>
      <c r="BK41" s="13"/>
      <c r="BL41" s="13"/>
      <c r="BM41" s="13"/>
      <c r="BN41" s="13"/>
    </row>
    <row r="42" spans="1:66" x14ac:dyDescent="0.25">
      <c r="A42" s="22">
        <v>40</v>
      </c>
      <c r="B42" s="23">
        <v>4192.5598225982167</v>
      </c>
      <c r="C42" s="24">
        <v>237.09082159770551</v>
      </c>
      <c r="AH42" s="16">
        <v>520</v>
      </c>
      <c r="AI42" s="16"/>
      <c r="AJ42" s="16"/>
      <c r="AK42" s="16">
        <v>320</v>
      </c>
      <c r="AL42" s="16">
        <v>0</v>
      </c>
      <c r="AM42" s="16">
        <v>241</v>
      </c>
      <c r="AN42" s="16"/>
      <c r="BC42" s="13"/>
      <c r="BD42" s="13"/>
      <c r="BE42" s="13"/>
      <c r="BF42" s="13"/>
      <c r="BG42" s="13"/>
      <c r="BH42" s="13"/>
      <c r="BI42" s="13"/>
      <c r="BJ42" s="13"/>
      <c r="BK42" s="13"/>
      <c r="BL42" s="13"/>
      <c r="BM42" s="13"/>
      <c r="BN42" s="13"/>
    </row>
    <row r="43" spans="1:66" x14ac:dyDescent="0.25">
      <c r="A43" s="22">
        <v>41</v>
      </c>
      <c r="B43" s="23">
        <v>4190.0256799403678</v>
      </c>
      <c r="C43" s="24">
        <v>312.52039199723231</v>
      </c>
      <c r="AH43" s="16">
        <v>530</v>
      </c>
      <c r="AI43" s="16"/>
      <c r="AJ43" s="16"/>
      <c r="AK43" s="16">
        <v>320</v>
      </c>
      <c r="AL43" s="16">
        <v>0</v>
      </c>
      <c r="AM43" s="16">
        <v>217</v>
      </c>
      <c r="AN43" s="16"/>
      <c r="BC43" s="13"/>
      <c r="BD43" s="13"/>
      <c r="BE43" s="13"/>
      <c r="BF43" s="13"/>
      <c r="BG43" s="13"/>
      <c r="BH43" s="13"/>
      <c r="BI43" s="13"/>
      <c r="BJ43" s="13"/>
      <c r="BK43" s="13"/>
      <c r="BL43" s="13"/>
      <c r="BM43" s="13"/>
      <c r="BN43" s="13"/>
    </row>
    <row r="44" spans="1:66" x14ac:dyDescent="0.25">
      <c r="A44" s="22">
        <v>42</v>
      </c>
      <c r="B44" s="23">
        <v>4206.7800162857766</v>
      </c>
      <c r="C44" s="24">
        <v>229.80900852805027</v>
      </c>
      <c r="AH44" s="16">
        <v>540</v>
      </c>
      <c r="AI44" s="16"/>
      <c r="AJ44" s="16"/>
      <c r="AK44" s="16">
        <v>330</v>
      </c>
      <c r="AL44" s="16">
        <v>0</v>
      </c>
      <c r="AM44" s="16">
        <v>217</v>
      </c>
      <c r="AN44" s="16"/>
      <c r="BC44" s="13"/>
      <c r="BD44" s="13"/>
      <c r="BE44" s="13"/>
      <c r="BF44" s="13"/>
      <c r="BG44" s="13"/>
      <c r="BH44" s="13"/>
      <c r="BI44" s="13"/>
      <c r="BJ44" s="13"/>
      <c r="BK44" s="13"/>
      <c r="BL44" s="13"/>
      <c r="BM44" s="13"/>
      <c r="BN44" s="13"/>
    </row>
    <row r="45" spans="1:66" x14ac:dyDescent="0.25">
      <c r="A45" s="22">
        <v>43</v>
      </c>
      <c r="B45" s="23">
        <v>4205.0617687596214</v>
      </c>
      <c r="C45" s="24">
        <v>225.27173164534804</v>
      </c>
      <c r="AH45" s="16">
        <v>550</v>
      </c>
      <c r="AI45" s="16"/>
      <c r="AJ45" s="16"/>
      <c r="AK45" s="16">
        <v>330</v>
      </c>
      <c r="AL45" s="16">
        <v>0</v>
      </c>
      <c r="AM45" s="16">
        <v>143</v>
      </c>
      <c r="AN45" s="16"/>
      <c r="BC45" s="13"/>
      <c r="BD45" s="13"/>
      <c r="BE45" s="13"/>
      <c r="BF45" s="13"/>
      <c r="BG45" s="13"/>
      <c r="BH45" s="13"/>
      <c r="BI45" s="13"/>
      <c r="BJ45" s="13"/>
      <c r="BK45" s="13"/>
      <c r="BL45" s="13"/>
      <c r="BM45" s="13"/>
      <c r="BN45" s="13"/>
    </row>
    <row r="46" spans="1:66" x14ac:dyDescent="0.25">
      <c r="A46" s="22">
        <v>44</v>
      </c>
      <c r="B46" s="23">
        <v>4199.2690901208771</v>
      </c>
      <c r="C46" s="24">
        <v>236.60437552410195</v>
      </c>
      <c r="I46" s="54"/>
      <c r="AH46" s="16">
        <v>560</v>
      </c>
      <c r="AI46" s="16"/>
      <c r="AJ46" s="16"/>
      <c r="AK46" s="16">
        <v>340</v>
      </c>
      <c r="AL46" s="16">
        <v>0</v>
      </c>
      <c r="AM46" s="16">
        <v>143</v>
      </c>
      <c r="AN46" s="16"/>
      <c r="BC46" s="13"/>
      <c r="BD46" s="13"/>
      <c r="BE46" s="13"/>
      <c r="BF46" s="13"/>
      <c r="BG46" s="13"/>
      <c r="BH46" s="13"/>
      <c r="BI46" s="13"/>
      <c r="BJ46" s="13"/>
      <c r="BK46" s="13"/>
      <c r="BL46" s="13"/>
      <c r="BM46" s="13"/>
      <c r="BN46" s="13"/>
    </row>
    <row r="47" spans="1:66" x14ac:dyDescent="0.25">
      <c r="A47" s="22">
        <v>45</v>
      </c>
      <c r="B47" s="23">
        <v>4208.8910057431731</v>
      </c>
      <c r="C47" s="24">
        <v>257.70398276324789</v>
      </c>
      <c r="AH47" s="16">
        <v>570</v>
      </c>
      <c r="AI47" s="16"/>
      <c r="AJ47" s="16"/>
      <c r="AK47" s="16">
        <v>340</v>
      </c>
      <c r="AL47" s="16">
        <v>0</v>
      </c>
      <c r="AM47" s="16">
        <v>122</v>
      </c>
      <c r="AN47" s="16"/>
      <c r="BC47" s="13"/>
      <c r="BD47" s="13"/>
      <c r="BE47" s="13"/>
      <c r="BF47" s="13"/>
      <c r="BG47" s="13"/>
      <c r="BH47" s="13"/>
      <c r="BI47" s="13"/>
      <c r="BJ47" s="13"/>
      <c r="BK47" s="13"/>
      <c r="BL47" s="13"/>
      <c r="BM47" s="13"/>
      <c r="BN47" s="13"/>
    </row>
    <row r="48" spans="1:66" x14ac:dyDescent="0.25">
      <c r="A48" s="22">
        <v>46</v>
      </c>
      <c r="B48" s="23">
        <v>4219.433586567101</v>
      </c>
      <c r="C48" s="24">
        <v>265.62853865346869</v>
      </c>
      <c r="AH48" s="16">
        <v>580</v>
      </c>
      <c r="AI48" s="16"/>
      <c r="AJ48" s="16"/>
      <c r="AK48" s="16">
        <v>350</v>
      </c>
      <c r="AL48" s="16">
        <v>0</v>
      </c>
      <c r="AM48" s="16">
        <v>122</v>
      </c>
      <c r="AN48" s="16"/>
      <c r="BC48" s="13"/>
      <c r="BD48" s="13"/>
      <c r="BE48" s="13"/>
      <c r="BF48" s="13"/>
      <c r="BG48" s="13"/>
      <c r="BH48" s="13"/>
      <c r="BI48" s="13"/>
      <c r="BJ48" s="13"/>
      <c r="BK48" s="13"/>
      <c r="BL48" s="13"/>
      <c r="BM48" s="13"/>
      <c r="BN48" s="13"/>
    </row>
    <row r="49" spans="1:66" x14ac:dyDescent="0.25">
      <c r="A49" s="22">
        <v>47</v>
      </c>
      <c r="B49" s="23">
        <v>4190.2875869647496</v>
      </c>
      <c r="C49" s="24">
        <v>286.14242980020771</v>
      </c>
      <c r="AH49" s="16">
        <v>590</v>
      </c>
      <c r="AI49" s="16"/>
      <c r="AJ49" s="16"/>
      <c r="AK49" s="16">
        <v>350</v>
      </c>
      <c r="AL49" s="16">
        <v>0</v>
      </c>
      <c r="AM49" s="16">
        <v>96</v>
      </c>
      <c r="AN49" s="16"/>
      <c r="BC49" s="13"/>
      <c r="BD49" s="13"/>
      <c r="BE49" s="13"/>
      <c r="BF49" s="13"/>
      <c r="BG49" s="13"/>
      <c r="BH49" s="13"/>
      <c r="BI49" s="13"/>
      <c r="BJ49" s="13"/>
      <c r="BK49" s="13"/>
      <c r="BL49" s="13"/>
      <c r="BM49" s="13"/>
      <c r="BN49" s="13"/>
    </row>
    <row r="50" spans="1:66" x14ac:dyDescent="0.25">
      <c r="A50" s="22">
        <v>48</v>
      </c>
      <c r="B50" s="23">
        <v>4201.6609853917807</v>
      </c>
      <c r="C50" s="24">
        <v>236.7945435929856</v>
      </c>
      <c r="AH50" s="16">
        <v>600</v>
      </c>
      <c r="AI50" s="16"/>
      <c r="AJ50" s="16"/>
      <c r="AK50" s="16">
        <v>360</v>
      </c>
      <c r="AL50" s="16">
        <v>0</v>
      </c>
      <c r="AM50" s="16">
        <v>96</v>
      </c>
      <c r="AN50" s="16"/>
      <c r="BC50" s="13"/>
      <c r="BD50" s="13"/>
      <c r="BE50" s="13"/>
      <c r="BF50" s="13"/>
      <c r="BG50" s="13"/>
      <c r="BH50" s="13"/>
      <c r="BI50" s="13"/>
      <c r="BJ50" s="13"/>
      <c r="BK50" s="13"/>
      <c r="BL50" s="13"/>
      <c r="BM50" s="13"/>
      <c r="BN50" s="13"/>
    </row>
    <row r="51" spans="1:66" x14ac:dyDescent="0.25">
      <c r="A51" s="22">
        <v>49</v>
      </c>
      <c r="B51" s="23">
        <v>4199.4489768305048</v>
      </c>
      <c r="C51" s="24">
        <v>273.00097354809435</v>
      </c>
      <c r="AH51" s="16">
        <v>610</v>
      </c>
      <c r="AI51" s="16"/>
      <c r="AJ51" s="16"/>
      <c r="AK51" s="16">
        <v>360</v>
      </c>
      <c r="AL51" s="16">
        <v>0</v>
      </c>
      <c r="AM51" s="16">
        <v>69</v>
      </c>
      <c r="AN51" s="16"/>
      <c r="BC51" s="13"/>
      <c r="BD51" s="13"/>
      <c r="BE51" s="13"/>
      <c r="BF51" s="13"/>
      <c r="BG51" s="13"/>
      <c r="BH51" s="13"/>
      <c r="BI51" s="13"/>
      <c r="BJ51" s="13"/>
      <c r="BK51" s="13"/>
      <c r="BL51" s="13"/>
      <c r="BM51" s="13"/>
      <c r="BN51" s="13"/>
    </row>
    <row r="52" spans="1:66" x14ac:dyDescent="0.25">
      <c r="A52" s="22">
        <v>50</v>
      </c>
      <c r="B52" s="23">
        <v>4201.2286227683089</v>
      </c>
      <c r="C52" s="24">
        <v>272.16115341352616</v>
      </c>
      <c r="AH52" s="16">
        <v>620</v>
      </c>
      <c r="AI52" s="16"/>
      <c r="AJ52" s="16"/>
      <c r="AK52" s="16">
        <v>370</v>
      </c>
      <c r="AL52" s="16">
        <v>0</v>
      </c>
      <c r="AM52" s="16">
        <v>69</v>
      </c>
      <c r="AN52" s="16"/>
      <c r="BC52" s="13"/>
      <c r="BD52" s="13"/>
      <c r="BE52" s="13"/>
      <c r="BF52" s="13"/>
      <c r="BG52" s="13"/>
      <c r="BH52" s="13"/>
      <c r="BI52" s="13"/>
      <c r="BJ52" s="13"/>
      <c r="BK52" s="13"/>
      <c r="BL52" s="13"/>
      <c r="BM52" s="13"/>
      <c r="BN52" s="13"/>
    </row>
    <row r="53" spans="1:66" x14ac:dyDescent="0.25">
      <c r="A53" s="22">
        <v>51</v>
      </c>
      <c r="B53" s="23">
        <v>4203.3081391533533</v>
      </c>
      <c r="C53" s="24">
        <v>281.92108577666249</v>
      </c>
      <c r="AH53" s="16">
        <v>630</v>
      </c>
      <c r="AI53" s="16"/>
      <c r="AJ53" s="16"/>
      <c r="AK53" s="16">
        <v>370</v>
      </c>
      <c r="AL53" s="16">
        <v>0</v>
      </c>
      <c r="AM53" s="16">
        <v>49</v>
      </c>
      <c r="AN53" s="16"/>
      <c r="BC53" s="13"/>
      <c r="BD53" s="13"/>
      <c r="BE53" s="13"/>
      <c r="BF53" s="13"/>
      <c r="BG53" s="13"/>
      <c r="BH53" s="13"/>
      <c r="BI53" s="13"/>
      <c r="BJ53" s="13"/>
      <c r="BK53" s="13"/>
      <c r="BL53" s="13"/>
      <c r="BM53" s="13"/>
      <c r="BN53" s="13"/>
    </row>
    <row r="54" spans="1:66" x14ac:dyDescent="0.25">
      <c r="A54" s="22">
        <v>52</v>
      </c>
      <c r="B54" s="23">
        <v>4199.3462453613174</v>
      </c>
      <c r="C54" s="24">
        <v>243.71747255710392</v>
      </c>
      <c r="AH54" s="16">
        <v>640</v>
      </c>
      <c r="AI54" s="16"/>
      <c r="AJ54" s="16"/>
      <c r="AK54" s="16">
        <v>380</v>
      </c>
      <c r="AL54" s="16">
        <v>0</v>
      </c>
      <c r="AM54" s="16">
        <v>49</v>
      </c>
      <c r="AN54" s="16"/>
      <c r="BC54" s="13"/>
      <c r="BD54" s="13"/>
      <c r="BE54" s="13"/>
      <c r="BF54" s="13"/>
      <c r="BG54" s="13"/>
      <c r="BH54" s="13"/>
      <c r="BI54" s="13"/>
      <c r="BJ54" s="13"/>
      <c r="BK54" s="13"/>
      <c r="BL54" s="13"/>
      <c r="BM54" s="13"/>
      <c r="BN54" s="13"/>
    </row>
    <row r="55" spans="1:66" x14ac:dyDescent="0.25">
      <c r="A55" s="22">
        <v>53</v>
      </c>
      <c r="B55" s="23">
        <v>4207.040072761416</v>
      </c>
      <c r="C55" s="24">
        <v>255.99611913862583</v>
      </c>
      <c r="AH55" s="16">
        <v>650</v>
      </c>
      <c r="AI55" s="16"/>
      <c r="AJ55" s="16"/>
      <c r="AK55" s="16">
        <v>380</v>
      </c>
      <c r="AL55" s="16">
        <v>0</v>
      </c>
      <c r="AM55" s="16">
        <v>25</v>
      </c>
      <c r="AN55" s="16"/>
      <c r="BC55" s="13"/>
      <c r="BD55" s="13"/>
      <c r="BE55" s="13"/>
      <c r="BF55" s="13"/>
      <c r="BG55" s="13"/>
      <c r="BH55" s="13"/>
      <c r="BI55" s="13"/>
      <c r="BJ55" s="13"/>
      <c r="BK55" s="13"/>
      <c r="BL55" s="13"/>
      <c r="BM55" s="13"/>
      <c r="BN55" s="13"/>
    </row>
    <row r="56" spans="1:66" x14ac:dyDescent="0.25">
      <c r="A56" s="22">
        <v>54</v>
      </c>
      <c r="B56" s="23">
        <v>4200.0722633036557</v>
      </c>
      <c r="C56" s="24">
        <v>250.83789275698348</v>
      </c>
      <c r="AH56" s="16">
        <v>660</v>
      </c>
      <c r="AI56" s="16"/>
      <c r="AJ56" s="16"/>
      <c r="AK56" s="16">
        <v>390</v>
      </c>
      <c r="AL56" s="16">
        <v>0</v>
      </c>
      <c r="AM56" s="16">
        <v>25</v>
      </c>
      <c r="AN56" s="16"/>
      <c r="BC56" s="13"/>
      <c r="BD56" s="13"/>
      <c r="BE56" s="13"/>
      <c r="BF56" s="13"/>
      <c r="BG56" s="13"/>
      <c r="BH56" s="13"/>
      <c r="BI56" s="13"/>
      <c r="BJ56" s="13"/>
      <c r="BK56" s="13"/>
      <c r="BL56" s="13"/>
      <c r="BM56" s="13"/>
      <c r="BN56" s="13"/>
    </row>
    <row r="57" spans="1:66" x14ac:dyDescent="0.25">
      <c r="A57" s="22">
        <v>55</v>
      </c>
      <c r="B57" s="23">
        <v>4205.7306068929747</v>
      </c>
      <c r="C57" s="24">
        <v>217.11880539778406</v>
      </c>
      <c r="AH57" s="16">
        <v>670</v>
      </c>
      <c r="AI57" s="16"/>
      <c r="AJ57" s="16"/>
      <c r="AK57" s="16">
        <v>390</v>
      </c>
      <c r="AL57" s="16">
        <v>0</v>
      </c>
      <c r="AM57" s="16">
        <v>25</v>
      </c>
      <c r="AN57" s="16"/>
      <c r="BC57" s="13"/>
      <c r="BD57" s="13"/>
      <c r="BE57" s="13"/>
      <c r="BF57" s="13"/>
      <c r="BG57" s="13"/>
      <c r="BH57" s="13"/>
      <c r="BI57" s="13"/>
      <c r="BJ57" s="13"/>
      <c r="BK57" s="13"/>
      <c r="BL57" s="13"/>
      <c r="BM57" s="13"/>
      <c r="BN57" s="13"/>
    </row>
    <row r="58" spans="1:66" x14ac:dyDescent="0.25">
      <c r="A58" s="22">
        <v>56</v>
      </c>
      <c r="B58" s="23">
        <v>4212.7711674786133</v>
      </c>
      <c r="C58" s="24">
        <v>272.0020692130343</v>
      </c>
      <c r="AH58" s="16">
        <v>680</v>
      </c>
      <c r="AI58" s="16"/>
      <c r="AJ58" s="16"/>
      <c r="AK58" s="16">
        <v>400</v>
      </c>
      <c r="AL58" s="16">
        <v>0</v>
      </c>
      <c r="AM58" s="16">
        <v>25</v>
      </c>
      <c r="AN58" s="16"/>
      <c r="BC58" s="13"/>
      <c r="BD58" s="13"/>
      <c r="BE58" s="13"/>
      <c r="BF58" s="13"/>
      <c r="BG58" s="13"/>
      <c r="BH58" s="13"/>
      <c r="BI58" s="13"/>
      <c r="BJ58" s="13"/>
      <c r="BK58" s="13"/>
      <c r="BL58" s="13"/>
      <c r="BM58" s="13"/>
      <c r="BN58" s="13"/>
    </row>
    <row r="59" spans="1:66" x14ac:dyDescent="0.25">
      <c r="A59" s="22">
        <v>57</v>
      </c>
      <c r="B59" s="23">
        <v>4208.3928065746513</v>
      </c>
      <c r="C59" s="24">
        <v>220.51069247614163</v>
      </c>
      <c r="AH59" s="16">
        <v>690</v>
      </c>
      <c r="AI59" s="16"/>
      <c r="AJ59" s="16"/>
      <c r="AK59" s="16">
        <v>400</v>
      </c>
      <c r="AL59" s="16">
        <v>0</v>
      </c>
      <c r="AM59" s="16">
        <v>17</v>
      </c>
      <c r="AN59" s="16"/>
      <c r="BC59" s="13"/>
      <c r="BD59" s="13"/>
      <c r="BE59" s="13"/>
      <c r="BF59" s="13"/>
      <c r="BG59" s="13"/>
      <c r="BH59" s="13"/>
      <c r="BI59" s="13"/>
      <c r="BJ59" s="13"/>
      <c r="BK59" s="13"/>
      <c r="BL59" s="13"/>
      <c r="BM59" s="13"/>
      <c r="BN59" s="13"/>
    </row>
    <row r="60" spans="1:66" x14ac:dyDescent="0.25">
      <c r="A60" s="22">
        <v>58</v>
      </c>
      <c r="B60" s="23">
        <v>4198.77149531134</v>
      </c>
      <c r="C60" s="24">
        <v>318.22884331735378</v>
      </c>
      <c r="AH60" s="16">
        <v>700</v>
      </c>
      <c r="AI60" s="16"/>
      <c r="AJ60" s="16"/>
      <c r="AK60" s="16">
        <v>410</v>
      </c>
      <c r="AL60" s="16">
        <v>0</v>
      </c>
      <c r="AM60" s="16">
        <v>17</v>
      </c>
      <c r="AN60" s="16"/>
      <c r="BC60" s="13"/>
      <c r="BD60" s="13"/>
      <c r="BE60" s="13"/>
      <c r="BF60" s="13"/>
      <c r="BG60" s="13"/>
      <c r="BH60" s="13"/>
      <c r="BI60" s="13"/>
      <c r="BJ60" s="13"/>
      <c r="BK60" s="13"/>
      <c r="BL60" s="13"/>
      <c r="BM60" s="13"/>
      <c r="BN60" s="13"/>
    </row>
    <row r="61" spans="1:66" x14ac:dyDescent="0.25">
      <c r="A61" s="22">
        <v>59</v>
      </c>
      <c r="B61" s="23">
        <v>4208.5437042036583</v>
      </c>
      <c r="C61" s="24">
        <v>243.02956020108337</v>
      </c>
      <c r="AH61" s="16">
        <v>710</v>
      </c>
      <c r="AI61" s="16"/>
      <c r="AJ61" s="16"/>
      <c r="AK61" s="16">
        <v>410</v>
      </c>
      <c r="AL61" s="16">
        <v>0</v>
      </c>
      <c r="AM61" s="16">
        <v>22</v>
      </c>
      <c r="AN61" s="16"/>
      <c r="BC61" s="13"/>
      <c r="BD61" s="13"/>
      <c r="BE61" s="13"/>
      <c r="BF61" s="13"/>
      <c r="BG61" s="13"/>
      <c r="BH61" s="13"/>
      <c r="BI61" s="13"/>
      <c r="BJ61" s="13"/>
      <c r="BK61" s="13"/>
      <c r="BL61" s="13"/>
      <c r="BM61" s="13"/>
      <c r="BN61" s="13"/>
    </row>
    <row r="62" spans="1:66" x14ac:dyDescent="0.25">
      <c r="A62" s="22">
        <v>60</v>
      </c>
      <c r="B62" s="23">
        <v>4205.7613622427607</v>
      </c>
      <c r="C62" s="24">
        <v>290.58411465169002</v>
      </c>
      <c r="AH62" s="16">
        <v>720</v>
      </c>
      <c r="AI62" s="16"/>
      <c r="AJ62" s="16"/>
      <c r="AK62" s="16">
        <v>420</v>
      </c>
      <c r="AL62" s="16">
        <v>0</v>
      </c>
      <c r="AM62" s="16">
        <v>22</v>
      </c>
      <c r="AN62" s="16"/>
      <c r="BC62" s="13"/>
      <c r="BD62" s="13"/>
      <c r="BE62" s="13"/>
      <c r="BF62" s="13"/>
      <c r="BG62" s="13"/>
      <c r="BH62" s="13"/>
      <c r="BI62" s="13"/>
      <c r="BJ62" s="13"/>
      <c r="BK62" s="13"/>
      <c r="BL62" s="13"/>
      <c r="BM62" s="13"/>
      <c r="BN62" s="13"/>
    </row>
    <row r="63" spans="1:66" x14ac:dyDescent="0.25">
      <c r="A63" s="22">
        <v>61</v>
      </c>
      <c r="B63" s="23">
        <v>4220.873399226829</v>
      </c>
      <c r="C63" s="24">
        <v>289.45217914606292</v>
      </c>
      <c r="AH63" s="16">
        <v>730</v>
      </c>
      <c r="AI63" s="16"/>
      <c r="AJ63" s="16"/>
      <c r="AK63" s="16">
        <v>420</v>
      </c>
      <c r="AL63" s="16">
        <v>0</v>
      </c>
      <c r="AM63" s="16">
        <v>4</v>
      </c>
      <c r="AN63" s="16"/>
      <c r="BC63" s="13"/>
      <c r="BD63" s="13"/>
      <c r="BE63" s="13"/>
      <c r="BF63" s="13"/>
      <c r="BG63" s="13"/>
      <c r="BH63" s="13"/>
      <c r="BI63" s="13"/>
      <c r="BJ63" s="13"/>
      <c r="BK63" s="13"/>
      <c r="BL63" s="13"/>
      <c r="BM63" s="13"/>
      <c r="BN63" s="13"/>
    </row>
    <row r="64" spans="1:66" x14ac:dyDescent="0.25">
      <c r="A64" s="22">
        <v>62</v>
      </c>
      <c r="B64" s="23">
        <v>4209.5965221431325</v>
      </c>
      <c r="C64" s="24">
        <v>218.77957962449827</v>
      </c>
      <c r="AH64" s="16">
        <v>740</v>
      </c>
      <c r="AI64" s="16"/>
      <c r="AJ64" s="16"/>
      <c r="AK64" s="16">
        <v>430</v>
      </c>
      <c r="AL64" s="16">
        <v>0</v>
      </c>
      <c r="AM64" s="16">
        <v>4</v>
      </c>
      <c r="AN64" s="16"/>
      <c r="BC64" s="13"/>
      <c r="BD64" s="13"/>
      <c r="BE64" s="13"/>
      <c r="BF64" s="13"/>
      <c r="BG64" s="13"/>
      <c r="BH64" s="13"/>
      <c r="BI64" s="13"/>
      <c r="BJ64" s="13"/>
      <c r="BK64" s="13"/>
      <c r="BL64" s="13"/>
      <c r="BM64" s="13"/>
      <c r="BN64" s="13"/>
    </row>
    <row r="65" spans="1:66" x14ac:dyDescent="0.25">
      <c r="A65" s="22">
        <v>63</v>
      </c>
      <c r="B65" s="23">
        <v>4210.9580467065844</v>
      </c>
      <c r="C65" s="24">
        <v>215.41376861610172</v>
      </c>
      <c r="AH65" s="16">
        <v>750</v>
      </c>
      <c r="AI65" s="16"/>
      <c r="AJ65" s="16"/>
      <c r="AK65" s="16">
        <v>430</v>
      </c>
      <c r="AL65" s="16">
        <v>0</v>
      </c>
      <c r="AM65" s="16">
        <v>5</v>
      </c>
      <c r="AN65" s="16"/>
      <c r="BC65" s="13"/>
      <c r="BD65" s="13"/>
      <c r="BE65" s="13"/>
      <c r="BF65" s="13"/>
      <c r="BG65" s="13"/>
      <c r="BH65" s="13"/>
      <c r="BI65" s="13"/>
      <c r="BJ65" s="13"/>
      <c r="BK65" s="13"/>
      <c r="BL65" s="13"/>
      <c r="BM65" s="13"/>
      <c r="BN65" s="13"/>
    </row>
    <row r="66" spans="1:66" x14ac:dyDescent="0.25">
      <c r="A66" s="22">
        <v>64</v>
      </c>
      <c r="B66" s="23">
        <v>4208.6235300953649</v>
      </c>
      <c r="C66" s="24">
        <v>254.07661992995122</v>
      </c>
      <c r="AH66" s="16">
        <v>760</v>
      </c>
      <c r="AI66" s="16"/>
      <c r="AJ66" s="16"/>
      <c r="AK66" s="16">
        <v>440</v>
      </c>
      <c r="AL66" s="16">
        <v>0</v>
      </c>
      <c r="AM66" s="16">
        <v>5</v>
      </c>
      <c r="AN66" s="16"/>
      <c r="BC66" s="13"/>
      <c r="BD66" s="13"/>
      <c r="BE66" s="13"/>
      <c r="BF66" s="13"/>
      <c r="BG66" s="13"/>
      <c r="BH66" s="13"/>
      <c r="BI66" s="13"/>
      <c r="BJ66" s="13"/>
      <c r="BK66" s="13"/>
      <c r="BL66" s="13"/>
      <c r="BM66" s="13"/>
      <c r="BN66" s="13"/>
    </row>
    <row r="67" spans="1:66" x14ac:dyDescent="0.25">
      <c r="A67" s="22">
        <v>65</v>
      </c>
      <c r="B67" s="23">
        <v>4216.2358175921672</v>
      </c>
      <c r="C67" s="24">
        <v>186.44019475236229</v>
      </c>
      <c r="AH67" s="16">
        <v>770</v>
      </c>
      <c r="AI67" s="16"/>
      <c r="AJ67" s="16"/>
      <c r="AK67" s="16">
        <v>440</v>
      </c>
      <c r="AL67" s="16">
        <v>0</v>
      </c>
      <c r="AM67" s="16">
        <v>3</v>
      </c>
      <c r="AN67" s="16"/>
      <c r="BC67" s="13"/>
      <c r="BD67" s="13"/>
      <c r="BE67" s="13"/>
      <c r="BF67" s="13"/>
      <c r="BG67" s="13"/>
      <c r="BH67" s="13"/>
      <c r="BI67" s="13"/>
      <c r="BJ67" s="13"/>
      <c r="BK67" s="13"/>
      <c r="BL67" s="13"/>
      <c r="BM67" s="13"/>
      <c r="BN67" s="13"/>
    </row>
    <row r="68" spans="1:66" x14ac:dyDescent="0.25">
      <c r="A68" s="22">
        <v>66</v>
      </c>
      <c r="B68" s="23">
        <v>4199.3459516205639</v>
      </c>
      <c r="C68" s="24">
        <v>228.94461143982352</v>
      </c>
      <c r="AH68" s="13">
        <v>780</v>
      </c>
      <c r="AK68" s="13">
        <v>450</v>
      </c>
      <c r="AL68" s="13">
        <v>0</v>
      </c>
      <c r="AM68" s="13">
        <v>3</v>
      </c>
      <c r="BC68" s="13"/>
      <c r="BD68" s="13"/>
      <c r="BE68" s="13"/>
      <c r="BF68" s="13"/>
      <c r="BG68" s="13"/>
      <c r="BH68" s="13"/>
      <c r="BI68" s="13"/>
      <c r="BJ68" s="13"/>
      <c r="BK68" s="13"/>
      <c r="BL68" s="13"/>
      <c r="BM68" s="13"/>
      <c r="BN68" s="13"/>
    </row>
    <row r="69" spans="1:66" x14ac:dyDescent="0.25">
      <c r="A69" s="22">
        <v>67</v>
      </c>
      <c r="B69" s="23">
        <v>4211.1110946361769</v>
      </c>
      <c r="C69" s="24">
        <v>337.68327442459133</v>
      </c>
      <c r="AH69" s="13">
        <v>790</v>
      </c>
      <c r="AK69" s="13">
        <v>450</v>
      </c>
      <c r="AL69" s="13">
        <v>0</v>
      </c>
      <c r="AM69" s="13">
        <v>2</v>
      </c>
      <c r="BC69" s="13"/>
      <c r="BD69" s="13"/>
      <c r="BE69" s="13"/>
      <c r="BF69" s="13"/>
      <c r="BG69" s="13"/>
      <c r="BH69" s="13"/>
      <c r="BI69" s="13"/>
      <c r="BJ69" s="13"/>
      <c r="BK69" s="13"/>
      <c r="BL69" s="13"/>
      <c r="BM69" s="13"/>
      <c r="BN69" s="13"/>
    </row>
    <row r="70" spans="1:66" x14ac:dyDescent="0.25">
      <c r="A70" s="22">
        <v>68</v>
      </c>
      <c r="B70" s="23">
        <v>4207.131850298334</v>
      </c>
      <c r="C70" s="24">
        <v>199.27197089151701</v>
      </c>
      <c r="AH70" s="13">
        <v>800</v>
      </c>
      <c r="AK70" s="13">
        <v>460</v>
      </c>
      <c r="AL70" s="13">
        <v>0</v>
      </c>
      <c r="AM70" s="13">
        <v>2</v>
      </c>
      <c r="BC70" s="13"/>
      <c r="BD70" s="13"/>
      <c r="BE70" s="13"/>
      <c r="BF70" s="13"/>
      <c r="BG70" s="13"/>
      <c r="BH70" s="13"/>
      <c r="BI70" s="13"/>
      <c r="BJ70" s="13"/>
      <c r="BK70" s="13"/>
      <c r="BL70" s="13"/>
      <c r="BM70" s="13"/>
      <c r="BN70" s="13"/>
    </row>
    <row r="71" spans="1:66" x14ac:dyDescent="0.25">
      <c r="A71" s="22">
        <v>69</v>
      </c>
      <c r="B71" s="23">
        <v>4198.0179786710223</v>
      </c>
      <c r="C71" s="24">
        <v>264.03823481673112</v>
      </c>
      <c r="AH71" s="13">
        <v>810</v>
      </c>
      <c r="AK71" s="13">
        <v>460</v>
      </c>
      <c r="AL71" s="13">
        <v>0</v>
      </c>
      <c r="AM71" s="13">
        <v>1</v>
      </c>
      <c r="BC71" s="13"/>
      <c r="BD71" s="13"/>
      <c r="BE71" s="13"/>
      <c r="BF71" s="13"/>
      <c r="BG71" s="13"/>
      <c r="BH71" s="13"/>
      <c r="BI71" s="13"/>
      <c r="BJ71" s="13"/>
      <c r="BK71" s="13"/>
      <c r="BL71" s="13"/>
      <c r="BM71" s="13"/>
      <c r="BN71" s="13"/>
    </row>
    <row r="72" spans="1:66" x14ac:dyDescent="0.25">
      <c r="A72" s="22">
        <v>70</v>
      </c>
      <c r="B72" s="23">
        <v>4205.610567277924</v>
      </c>
      <c r="C72" s="24">
        <v>283.37378884490312</v>
      </c>
      <c r="AH72" s="13">
        <v>820</v>
      </c>
      <c r="AK72" s="13">
        <v>470</v>
      </c>
      <c r="AL72" s="13">
        <v>0</v>
      </c>
      <c r="AM72" s="13">
        <v>1</v>
      </c>
      <c r="BC72" s="13"/>
      <c r="BD72" s="13"/>
      <c r="BE72" s="13"/>
      <c r="BF72" s="13"/>
      <c r="BG72" s="13"/>
      <c r="BH72" s="13"/>
      <c r="BI72" s="13"/>
      <c r="BJ72" s="13"/>
      <c r="BK72" s="13"/>
      <c r="BL72" s="13"/>
      <c r="BM72" s="13"/>
      <c r="BN72" s="13"/>
    </row>
    <row r="73" spans="1:66" x14ac:dyDescent="0.25">
      <c r="A73" s="22">
        <v>71</v>
      </c>
      <c r="B73" s="23">
        <v>4208.4285083887462</v>
      </c>
      <c r="C73" s="24">
        <v>250.73894049924937</v>
      </c>
      <c r="AH73" s="13">
        <v>830</v>
      </c>
      <c r="AK73" s="13">
        <v>470</v>
      </c>
      <c r="AL73" s="13">
        <v>0</v>
      </c>
      <c r="AM73" s="13">
        <v>1</v>
      </c>
      <c r="BC73" s="13"/>
      <c r="BD73" s="13"/>
      <c r="BE73" s="13"/>
      <c r="BF73" s="13"/>
      <c r="BG73" s="13"/>
      <c r="BH73" s="13"/>
      <c r="BI73" s="13"/>
      <c r="BJ73" s="13"/>
      <c r="BK73" s="13"/>
      <c r="BL73" s="13"/>
      <c r="BM73" s="13"/>
      <c r="BN73" s="13"/>
    </row>
    <row r="74" spans="1:66" x14ac:dyDescent="0.25">
      <c r="A74" s="22">
        <v>72</v>
      </c>
      <c r="B74" s="23">
        <v>4203.9004705024263</v>
      </c>
      <c r="C74" s="24">
        <v>226.35784883312067</v>
      </c>
      <c r="AH74" s="13">
        <v>840</v>
      </c>
      <c r="AK74" s="13">
        <v>480</v>
      </c>
      <c r="AL74" s="13">
        <v>0</v>
      </c>
      <c r="AM74" s="13">
        <v>1</v>
      </c>
      <c r="BC74" s="13"/>
      <c r="BD74" s="13"/>
      <c r="BE74" s="13"/>
      <c r="BF74" s="13"/>
      <c r="BG74" s="13"/>
      <c r="BH74" s="13"/>
      <c r="BI74" s="13"/>
      <c r="BJ74" s="13"/>
      <c r="BK74" s="13"/>
      <c r="BL74" s="13"/>
      <c r="BM74" s="13"/>
      <c r="BN74" s="13"/>
    </row>
    <row r="75" spans="1:66" x14ac:dyDescent="0.25">
      <c r="A75" s="22">
        <v>73</v>
      </c>
      <c r="B75" s="23">
        <v>4215.539664114066</v>
      </c>
      <c r="C75" s="24">
        <v>246.08800391964741</v>
      </c>
      <c r="AH75" s="13">
        <v>850</v>
      </c>
      <c r="AK75" s="13">
        <v>480</v>
      </c>
      <c r="AL75" s="13">
        <v>0</v>
      </c>
      <c r="AM75" s="13">
        <v>0</v>
      </c>
      <c r="BC75" s="13"/>
      <c r="BD75" s="13"/>
      <c r="BE75" s="13"/>
      <c r="BF75" s="13"/>
      <c r="BG75" s="13"/>
      <c r="BH75" s="13"/>
      <c r="BI75" s="13"/>
      <c r="BJ75" s="13"/>
      <c r="BK75" s="13"/>
      <c r="BL75" s="13"/>
      <c r="BM75" s="13"/>
      <c r="BN75" s="13"/>
    </row>
    <row r="76" spans="1:66" x14ac:dyDescent="0.25">
      <c r="A76" s="22">
        <v>74</v>
      </c>
      <c r="B76" s="23">
        <v>4197.4598891827891</v>
      </c>
      <c r="C76" s="24">
        <v>330.13546499823474</v>
      </c>
      <c r="AH76" s="13">
        <v>860</v>
      </c>
      <c r="AK76" s="13">
        <v>490</v>
      </c>
      <c r="AL76" s="13">
        <v>0</v>
      </c>
      <c r="BC76" s="13"/>
      <c r="BD76" s="13"/>
      <c r="BE76" s="13"/>
      <c r="BF76" s="13"/>
      <c r="BG76" s="13"/>
      <c r="BH76" s="13"/>
      <c r="BI76" s="13"/>
      <c r="BJ76" s="13"/>
      <c r="BK76" s="13"/>
      <c r="BL76" s="13"/>
      <c r="BM76" s="13"/>
      <c r="BN76" s="13"/>
    </row>
    <row r="77" spans="1:66" x14ac:dyDescent="0.25">
      <c r="A77" s="22">
        <v>75</v>
      </c>
      <c r="B77" s="23">
        <v>4209.9399283700177</v>
      </c>
      <c r="C77" s="24">
        <v>262.22701043592184</v>
      </c>
      <c r="AH77" s="13">
        <v>870</v>
      </c>
      <c r="AK77" s="13">
        <v>490</v>
      </c>
      <c r="AL77" s="13">
        <v>0</v>
      </c>
      <c r="BC77" s="13"/>
      <c r="BD77" s="13"/>
      <c r="BE77" s="13"/>
      <c r="BF77" s="13"/>
      <c r="BG77" s="13"/>
      <c r="BH77" s="13"/>
      <c r="BI77" s="13"/>
      <c r="BJ77" s="13"/>
      <c r="BK77" s="13"/>
      <c r="BL77" s="13"/>
      <c r="BM77" s="13"/>
      <c r="BN77" s="13"/>
    </row>
    <row r="78" spans="1:66" x14ac:dyDescent="0.25">
      <c r="A78" s="22">
        <v>76</v>
      </c>
      <c r="B78" s="23">
        <v>4213.8921033572551</v>
      </c>
      <c r="C78" s="24">
        <v>261.52445082083187</v>
      </c>
      <c r="AH78" s="13">
        <v>880</v>
      </c>
      <c r="AK78" s="13">
        <v>500</v>
      </c>
      <c r="AL78" s="13">
        <v>0</v>
      </c>
      <c r="BC78" s="13"/>
      <c r="BD78" s="13"/>
      <c r="BE78" s="13"/>
      <c r="BF78" s="13"/>
      <c r="BG78" s="13"/>
      <c r="BH78" s="13"/>
      <c r="BI78" s="13"/>
      <c r="BJ78" s="13"/>
      <c r="BK78" s="13"/>
      <c r="BL78" s="13"/>
      <c r="BM78" s="13"/>
      <c r="BN78" s="13"/>
    </row>
    <row r="79" spans="1:66" x14ac:dyDescent="0.25">
      <c r="A79" s="22">
        <v>77</v>
      </c>
      <c r="B79" s="23">
        <v>4204.2692814211496</v>
      </c>
      <c r="C79" s="24">
        <v>285.72433006447324</v>
      </c>
      <c r="AH79" s="13">
        <v>890</v>
      </c>
      <c r="AK79" s="13">
        <v>500</v>
      </c>
      <c r="AL79" s="13">
        <v>0</v>
      </c>
      <c r="BC79" s="13"/>
      <c r="BD79" s="13"/>
      <c r="BE79" s="13"/>
      <c r="BF79" s="13"/>
      <c r="BG79" s="13"/>
      <c r="BH79" s="13"/>
      <c r="BI79" s="13"/>
      <c r="BJ79" s="13"/>
      <c r="BK79" s="13"/>
      <c r="BL79" s="13"/>
      <c r="BM79" s="13"/>
      <c r="BN79" s="13"/>
    </row>
    <row r="80" spans="1:66" x14ac:dyDescent="0.25">
      <c r="A80" s="22">
        <v>78</v>
      </c>
      <c r="B80" s="23">
        <v>4202.2529966871753</v>
      </c>
      <c r="C80" s="24">
        <v>287.00125729927561</v>
      </c>
      <c r="AH80" s="13">
        <v>900</v>
      </c>
      <c r="AK80" s="13">
        <v>510</v>
      </c>
      <c r="AL80" s="13">
        <v>0</v>
      </c>
      <c r="BC80" s="13"/>
      <c r="BD80" s="13"/>
      <c r="BE80" s="13"/>
      <c r="BF80" s="13"/>
      <c r="BG80" s="13"/>
      <c r="BH80" s="13"/>
      <c r="BI80" s="13"/>
      <c r="BJ80" s="13"/>
      <c r="BK80" s="13"/>
      <c r="BL80" s="13"/>
      <c r="BM80" s="13"/>
      <c r="BN80" s="13"/>
    </row>
    <row r="81" spans="1:66" x14ac:dyDescent="0.25">
      <c r="A81" s="22">
        <v>79</v>
      </c>
      <c r="B81" s="23">
        <v>4194.5858869997992</v>
      </c>
      <c r="C81" s="24">
        <v>261.81047686998363</v>
      </c>
      <c r="AH81" s="13">
        <v>910</v>
      </c>
      <c r="AK81" s="13">
        <v>510</v>
      </c>
      <c r="AL81" s="13">
        <v>0</v>
      </c>
      <c r="BC81" s="13"/>
      <c r="BD81" s="13"/>
      <c r="BE81" s="13"/>
      <c r="BF81" s="13"/>
      <c r="BG81" s="13"/>
      <c r="BH81" s="13"/>
      <c r="BI81" s="13"/>
      <c r="BJ81" s="13"/>
      <c r="BK81" s="13"/>
      <c r="BL81" s="13"/>
      <c r="BM81" s="13"/>
      <c r="BN81" s="13"/>
    </row>
    <row r="82" spans="1:66" x14ac:dyDescent="0.25">
      <c r="A82" s="22">
        <v>80</v>
      </c>
      <c r="B82" s="23">
        <v>4195.7179587916626</v>
      </c>
      <c r="C82" s="24">
        <v>213.61137818936731</v>
      </c>
      <c r="AH82" s="13">
        <v>920</v>
      </c>
      <c r="AK82" s="13">
        <v>520</v>
      </c>
      <c r="AL82" s="13">
        <v>0</v>
      </c>
      <c r="BC82" s="13"/>
      <c r="BD82" s="13"/>
      <c r="BE82" s="13"/>
      <c r="BF82" s="13"/>
      <c r="BG82" s="13"/>
      <c r="BH82" s="13"/>
      <c r="BI82" s="13"/>
      <c r="BJ82" s="13"/>
      <c r="BK82" s="13"/>
      <c r="BL82" s="13"/>
      <c r="BM82" s="13"/>
      <c r="BN82" s="13"/>
    </row>
    <row r="83" spans="1:66" x14ac:dyDescent="0.25">
      <c r="A83" s="22">
        <v>81</v>
      </c>
      <c r="B83" s="23">
        <v>4208.7559935598974</v>
      </c>
      <c r="C83" s="24">
        <v>163.87858648585933</v>
      </c>
      <c r="AH83" s="13">
        <v>930</v>
      </c>
      <c r="AK83" s="13">
        <v>520</v>
      </c>
      <c r="AL83" s="13">
        <v>0</v>
      </c>
      <c r="BC83" s="13"/>
      <c r="BD83" s="13"/>
      <c r="BE83" s="13"/>
      <c r="BF83" s="13"/>
      <c r="BG83" s="13"/>
      <c r="BH83" s="13"/>
      <c r="BI83" s="13"/>
      <c r="BJ83" s="13"/>
      <c r="BK83" s="13"/>
      <c r="BL83" s="13"/>
      <c r="BM83" s="13"/>
      <c r="BN83" s="13"/>
    </row>
    <row r="84" spans="1:66" x14ac:dyDescent="0.25">
      <c r="A84" s="22">
        <v>82</v>
      </c>
      <c r="B84" s="23">
        <v>4210.2649222304281</v>
      </c>
      <c r="C84" s="24">
        <v>172.41649494330383</v>
      </c>
      <c r="AH84" s="13">
        <v>940</v>
      </c>
      <c r="AK84" s="13">
        <v>530</v>
      </c>
      <c r="AL84" s="13">
        <v>0</v>
      </c>
      <c r="BC84" s="13"/>
      <c r="BD84" s="13"/>
      <c r="BE84" s="13"/>
      <c r="BF84" s="13"/>
      <c r="BG84" s="13"/>
      <c r="BH84" s="13"/>
      <c r="BI84" s="13"/>
      <c r="BJ84" s="13"/>
      <c r="BK84" s="13"/>
      <c r="BL84" s="13"/>
      <c r="BM84" s="13"/>
      <c r="BN84" s="13"/>
    </row>
    <row r="85" spans="1:66" x14ac:dyDescent="0.25">
      <c r="A85" s="22">
        <v>83</v>
      </c>
      <c r="B85" s="23">
        <v>4204.0745859600656</v>
      </c>
      <c r="C85" s="24">
        <v>205.17703440918842</v>
      </c>
      <c r="AH85" s="13">
        <v>950</v>
      </c>
      <c r="AK85" s="13">
        <v>530</v>
      </c>
      <c r="AL85" s="13">
        <v>0</v>
      </c>
      <c r="BC85" s="13"/>
      <c r="BD85" s="13"/>
      <c r="BE85" s="13"/>
      <c r="BF85" s="13"/>
      <c r="BG85" s="13"/>
      <c r="BH85" s="13"/>
      <c r="BI85" s="13"/>
      <c r="BJ85" s="13"/>
      <c r="BK85" s="13"/>
      <c r="BL85" s="13"/>
      <c r="BM85" s="13"/>
      <c r="BN85" s="13"/>
    </row>
    <row r="86" spans="1:66" x14ac:dyDescent="0.25">
      <c r="A86" s="22">
        <v>84</v>
      </c>
      <c r="B86" s="23">
        <v>4204.7029826655453</v>
      </c>
      <c r="C86" s="24">
        <v>214.53319254517504</v>
      </c>
      <c r="AH86" s="13">
        <v>960</v>
      </c>
      <c r="AK86" s="13">
        <v>540</v>
      </c>
      <c r="AL86" s="13">
        <v>0</v>
      </c>
      <c r="BC86" s="13"/>
      <c r="BD86" s="13"/>
      <c r="BE86" s="13"/>
      <c r="BF86" s="13"/>
      <c r="BG86" s="13"/>
      <c r="BH86" s="13"/>
      <c r="BI86" s="13"/>
      <c r="BJ86" s="13"/>
      <c r="BK86" s="13"/>
      <c r="BL86" s="13"/>
      <c r="BM86" s="13"/>
      <c r="BN86" s="13"/>
    </row>
    <row r="87" spans="1:66" x14ac:dyDescent="0.25">
      <c r="A87" s="22">
        <v>85</v>
      </c>
      <c r="B87" s="23">
        <v>4205.5555548309803</v>
      </c>
      <c r="C87" s="24">
        <v>207.07135230459758</v>
      </c>
      <c r="AH87" s="13">
        <v>970</v>
      </c>
      <c r="AK87" s="13">
        <v>540</v>
      </c>
      <c r="AL87" s="13">
        <v>0</v>
      </c>
      <c r="BC87" s="13"/>
      <c r="BD87" s="13"/>
      <c r="BE87" s="13"/>
      <c r="BF87" s="13"/>
      <c r="BG87" s="13"/>
      <c r="BH87" s="13"/>
      <c r="BI87" s="13"/>
      <c r="BJ87" s="13"/>
      <c r="BK87" s="13"/>
      <c r="BL87" s="13"/>
      <c r="BM87" s="13"/>
      <c r="BN87" s="13"/>
    </row>
    <row r="88" spans="1:66" x14ac:dyDescent="0.25">
      <c r="A88" s="22">
        <v>86</v>
      </c>
      <c r="B88" s="23">
        <v>4191.4994218675092</v>
      </c>
      <c r="C88" s="24">
        <v>257.65331753414483</v>
      </c>
      <c r="AH88" s="13">
        <v>980</v>
      </c>
      <c r="AK88" s="13">
        <v>550</v>
      </c>
      <c r="AL88" s="13">
        <v>0</v>
      </c>
      <c r="BC88" s="13"/>
      <c r="BD88" s="13"/>
      <c r="BE88" s="13"/>
      <c r="BF88" s="13"/>
      <c r="BG88" s="13"/>
      <c r="BH88" s="13"/>
      <c r="BI88" s="13"/>
      <c r="BJ88" s="13"/>
      <c r="BK88" s="13"/>
      <c r="BL88" s="13"/>
      <c r="BM88" s="13"/>
      <c r="BN88" s="13"/>
    </row>
    <row r="89" spans="1:66" x14ac:dyDescent="0.25">
      <c r="A89" s="22">
        <v>87</v>
      </c>
      <c r="B89" s="23">
        <v>4210.1176616881821</v>
      </c>
      <c r="C89" s="24">
        <v>230.25232668814678</v>
      </c>
      <c r="AH89" s="13">
        <v>990</v>
      </c>
      <c r="AK89" s="13">
        <v>550</v>
      </c>
      <c r="AL89" s="13">
        <v>0</v>
      </c>
      <c r="BC89" s="13"/>
      <c r="BD89" s="13"/>
      <c r="BE89" s="13"/>
      <c r="BF89" s="13"/>
      <c r="BG89" s="13"/>
      <c r="BH89" s="13"/>
      <c r="BI89" s="13"/>
      <c r="BJ89" s="13"/>
      <c r="BK89" s="13"/>
      <c r="BL89" s="13"/>
      <c r="BM89" s="13"/>
      <c r="BN89" s="13"/>
    </row>
    <row r="90" spans="1:66" x14ac:dyDescent="0.25">
      <c r="A90" s="22">
        <v>88</v>
      </c>
      <c r="B90" s="23">
        <v>4200.6732722179304</v>
      </c>
      <c r="C90" s="24">
        <v>240.70330362743863</v>
      </c>
      <c r="AH90" s="13">
        <v>1000</v>
      </c>
      <c r="AK90" s="13">
        <v>560</v>
      </c>
      <c r="AL90" s="13">
        <v>0</v>
      </c>
      <c r="BC90" s="13"/>
      <c r="BD90" s="13"/>
      <c r="BE90" s="13"/>
      <c r="BF90" s="13"/>
      <c r="BG90" s="13"/>
      <c r="BH90" s="13"/>
      <c r="BI90" s="13"/>
      <c r="BJ90" s="13"/>
      <c r="BK90" s="13"/>
      <c r="BL90" s="13"/>
      <c r="BM90" s="13"/>
      <c r="BN90" s="13"/>
    </row>
    <row r="91" spans="1:66" x14ac:dyDescent="0.25">
      <c r="A91" s="22">
        <v>89</v>
      </c>
      <c r="B91" s="23">
        <v>4206.0800990698781</v>
      </c>
      <c r="C91" s="24">
        <v>384.49839191989241</v>
      </c>
      <c r="AH91" s="13">
        <v>1010</v>
      </c>
      <c r="AK91" s="13">
        <v>560</v>
      </c>
      <c r="AL91" s="13">
        <v>0</v>
      </c>
      <c r="BC91" s="13"/>
      <c r="BD91" s="13"/>
      <c r="BE91" s="13"/>
      <c r="BF91" s="13"/>
      <c r="BG91" s="13"/>
      <c r="BH91" s="13"/>
      <c r="BI91" s="13"/>
      <c r="BJ91" s="13"/>
      <c r="BK91" s="13"/>
      <c r="BL91" s="13"/>
      <c r="BM91" s="13"/>
      <c r="BN91" s="13"/>
    </row>
    <row r="92" spans="1:66" x14ac:dyDescent="0.25">
      <c r="A92" s="22">
        <v>90</v>
      </c>
      <c r="B92" s="23">
        <v>4189.084845917203</v>
      </c>
      <c r="C92" s="24">
        <v>406.13321535274372</v>
      </c>
      <c r="AH92" s="13">
        <v>1020</v>
      </c>
      <c r="AK92" s="13">
        <v>570</v>
      </c>
      <c r="AL92" s="13">
        <v>0</v>
      </c>
      <c r="BC92" s="13"/>
      <c r="BD92" s="13"/>
      <c r="BE92" s="13"/>
      <c r="BF92" s="13"/>
      <c r="BG92" s="13"/>
      <c r="BH92" s="13"/>
      <c r="BI92" s="13"/>
      <c r="BJ92" s="13"/>
      <c r="BK92" s="13"/>
      <c r="BL92" s="13"/>
      <c r="BM92" s="13"/>
      <c r="BN92" s="13"/>
    </row>
    <row r="93" spans="1:66" x14ac:dyDescent="0.25">
      <c r="A93" s="22">
        <v>91</v>
      </c>
      <c r="B93" s="23">
        <v>4211.8452025263259</v>
      </c>
      <c r="C93" s="24">
        <v>415.28535028702697</v>
      </c>
      <c r="AH93" s="13">
        <v>1030</v>
      </c>
      <c r="AK93" s="13">
        <v>570</v>
      </c>
      <c r="AL93" s="13">
        <v>0</v>
      </c>
      <c r="BC93" s="13"/>
      <c r="BD93" s="13"/>
      <c r="BE93" s="13"/>
      <c r="BF93" s="13"/>
      <c r="BG93" s="13"/>
      <c r="BH93" s="13"/>
      <c r="BI93" s="13"/>
      <c r="BJ93" s="13"/>
      <c r="BK93" s="13"/>
      <c r="BL93" s="13"/>
      <c r="BM93" s="13"/>
      <c r="BN93" s="13"/>
    </row>
    <row r="94" spans="1:66" x14ac:dyDescent="0.25">
      <c r="A94" s="22">
        <v>92</v>
      </c>
      <c r="B94" s="23">
        <v>4207.3154631962589</v>
      </c>
      <c r="C94" s="24">
        <v>254.3650836401535</v>
      </c>
      <c r="AH94" s="13">
        <v>1040</v>
      </c>
      <c r="AK94" s="13">
        <v>580</v>
      </c>
      <c r="AL94" s="13">
        <v>0</v>
      </c>
      <c r="BC94" s="13"/>
      <c r="BD94" s="13"/>
      <c r="BE94" s="13"/>
      <c r="BF94" s="13"/>
      <c r="BG94" s="13"/>
      <c r="BH94" s="13"/>
      <c r="BI94" s="13"/>
      <c r="BJ94" s="13"/>
      <c r="BK94" s="13"/>
      <c r="BL94" s="13"/>
      <c r="BM94" s="13"/>
      <c r="BN94" s="13"/>
    </row>
    <row r="95" spans="1:66" x14ac:dyDescent="0.25">
      <c r="A95" s="22">
        <v>93</v>
      </c>
      <c r="B95" s="23">
        <v>4207.7391116123008</v>
      </c>
      <c r="C95" s="24">
        <v>353.91565362183303</v>
      </c>
      <c r="AH95" s="13">
        <v>1050</v>
      </c>
      <c r="AK95" s="13">
        <v>580</v>
      </c>
      <c r="AL95" s="13">
        <v>0</v>
      </c>
      <c r="BC95" s="13"/>
      <c r="BD95" s="13"/>
      <c r="BE95" s="13"/>
      <c r="BF95" s="13"/>
      <c r="BG95" s="13"/>
      <c r="BH95" s="13"/>
      <c r="BI95" s="13"/>
      <c r="BJ95" s="13"/>
      <c r="BK95" s="13"/>
      <c r="BL95" s="13"/>
      <c r="BM95" s="13"/>
      <c r="BN95" s="13"/>
    </row>
    <row r="96" spans="1:66" x14ac:dyDescent="0.25">
      <c r="A96" s="22">
        <v>94</v>
      </c>
      <c r="B96" s="23">
        <v>4207.3535219379382</v>
      </c>
      <c r="C96" s="24">
        <v>344.5891550565695</v>
      </c>
      <c r="AH96" s="13">
        <v>1060</v>
      </c>
      <c r="AK96" s="13">
        <v>590</v>
      </c>
      <c r="AL96" s="13">
        <v>0</v>
      </c>
      <c r="BC96" s="13"/>
      <c r="BD96" s="13"/>
      <c r="BE96" s="13"/>
      <c r="BF96" s="13"/>
      <c r="BG96" s="13"/>
      <c r="BH96" s="13"/>
      <c r="BI96" s="13"/>
      <c r="BJ96" s="13"/>
      <c r="BK96" s="13"/>
      <c r="BL96" s="13"/>
      <c r="BM96" s="13"/>
      <c r="BN96" s="13"/>
    </row>
    <row r="97" spans="1:66" x14ac:dyDescent="0.25">
      <c r="A97" s="22">
        <v>95</v>
      </c>
      <c r="B97" s="23">
        <v>4209.5169410687104</v>
      </c>
      <c r="C97" s="24">
        <v>394.49619027745399</v>
      </c>
      <c r="AH97" s="13">
        <v>1070</v>
      </c>
      <c r="AK97" s="13">
        <v>590</v>
      </c>
      <c r="AL97" s="13">
        <v>0</v>
      </c>
      <c r="BC97" s="13"/>
      <c r="BD97" s="13"/>
      <c r="BE97" s="13"/>
      <c r="BF97" s="13"/>
      <c r="BG97" s="13"/>
      <c r="BH97" s="13"/>
      <c r="BI97" s="13"/>
      <c r="BJ97" s="13"/>
      <c r="BK97" s="13"/>
      <c r="BL97" s="13"/>
      <c r="BM97" s="13"/>
      <c r="BN97" s="13"/>
    </row>
    <row r="98" spans="1:66" x14ac:dyDescent="0.25">
      <c r="A98" s="22">
        <v>96</v>
      </c>
      <c r="B98" s="23">
        <v>4200.5887361669011</v>
      </c>
      <c r="C98" s="24">
        <v>206.96300049312308</v>
      </c>
      <c r="AH98" s="13">
        <v>1080</v>
      </c>
      <c r="AK98" s="13">
        <v>600</v>
      </c>
      <c r="AL98" s="13">
        <v>0</v>
      </c>
      <c r="BC98" s="13"/>
      <c r="BD98" s="13"/>
      <c r="BE98" s="13"/>
      <c r="BF98" s="13"/>
      <c r="BG98" s="13"/>
      <c r="BH98" s="13"/>
      <c r="BI98" s="13"/>
      <c r="BJ98" s="13"/>
      <c r="BK98" s="13"/>
      <c r="BL98" s="13"/>
      <c r="BM98" s="13"/>
      <c r="BN98" s="13"/>
    </row>
    <row r="99" spans="1:66" x14ac:dyDescent="0.25">
      <c r="A99" s="22">
        <v>97</v>
      </c>
      <c r="B99" s="23">
        <v>4206.7544130249244</v>
      </c>
      <c r="C99" s="24">
        <v>251.93863919350278</v>
      </c>
      <c r="AH99" s="13">
        <v>1090</v>
      </c>
      <c r="AK99" s="13">
        <v>600</v>
      </c>
      <c r="AL99" s="13">
        <v>0</v>
      </c>
      <c r="BC99" s="13"/>
      <c r="BD99" s="13"/>
      <c r="BE99" s="13"/>
      <c r="BF99" s="13"/>
      <c r="BG99" s="13"/>
      <c r="BH99" s="13"/>
      <c r="BI99" s="13"/>
      <c r="BJ99" s="13"/>
      <c r="BK99" s="13"/>
      <c r="BL99" s="13"/>
      <c r="BM99" s="13"/>
      <c r="BN99" s="13"/>
    </row>
    <row r="100" spans="1:66" x14ac:dyDescent="0.25">
      <c r="A100" s="22">
        <v>98</v>
      </c>
      <c r="B100" s="23">
        <v>4212.6610646186191</v>
      </c>
      <c r="C100" s="24">
        <v>272.91696715991918</v>
      </c>
      <c r="AH100" s="13">
        <v>1100</v>
      </c>
      <c r="AK100" s="13">
        <v>610</v>
      </c>
      <c r="AL100" s="13">
        <v>0</v>
      </c>
      <c r="BC100" s="13"/>
      <c r="BD100" s="13"/>
      <c r="BE100" s="13"/>
      <c r="BF100" s="13"/>
      <c r="BG100" s="13"/>
      <c r="BH100" s="13"/>
      <c r="BI100" s="13"/>
      <c r="BJ100" s="13"/>
      <c r="BK100" s="13"/>
      <c r="BL100" s="13"/>
      <c r="BM100" s="13"/>
      <c r="BN100" s="13"/>
    </row>
    <row r="101" spans="1:66" x14ac:dyDescent="0.25">
      <c r="A101" s="22">
        <v>99</v>
      </c>
      <c r="B101" s="23">
        <v>4217.7356868571624</v>
      </c>
      <c r="C101" s="24">
        <v>253.48539894855875</v>
      </c>
      <c r="AH101" s="13">
        <v>1110</v>
      </c>
      <c r="AK101" s="13">
        <v>610</v>
      </c>
      <c r="AL101" s="13">
        <v>0</v>
      </c>
      <c r="BC101" s="13"/>
      <c r="BD101" s="13"/>
      <c r="BE101" s="13"/>
      <c r="BF101" s="13"/>
      <c r="BG101" s="13"/>
      <c r="BH101" s="13"/>
      <c r="BI101" s="13"/>
      <c r="BJ101" s="13"/>
      <c r="BK101" s="13"/>
      <c r="BL101" s="13"/>
      <c r="BM101" s="13"/>
      <c r="BN101" s="13"/>
    </row>
    <row r="102" spans="1:66" x14ac:dyDescent="0.25">
      <c r="A102" s="22">
        <v>100</v>
      </c>
      <c r="B102" s="23">
        <v>4207.704076944563</v>
      </c>
      <c r="C102" s="24">
        <v>259.48754164556999</v>
      </c>
      <c r="AH102" s="13">
        <v>1120</v>
      </c>
      <c r="AK102" s="13">
        <v>620</v>
      </c>
      <c r="AL102" s="13">
        <v>0</v>
      </c>
      <c r="BC102" s="13"/>
      <c r="BD102" s="13"/>
      <c r="BE102" s="13"/>
      <c r="BF102" s="13"/>
      <c r="BG102" s="13"/>
      <c r="BH102" s="13"/>
      <c r="BI102" s="13"/>
      <c r="BJ102" s="13"/>
      <c r="BK102" s="13"/>
      <c r="BL102" s="13"/>
      <c r="BM102" s="13"/>
      <c r="BN102" s="13"/>
    </row>
    <row r="103" spans="1:66" x14ac:dyDescent="0.25">
      <c r="A103" s="55" t="s">
        <v>29</v>
      </c>
      <c r="AH103" s="13">
        <v>1130</v>
      </c>
      <c r="AK103" s="13">
        <v>620</v>
      </c>
      <c r="AL103" s="13">
        <v>0</v>
      </c>
    </row>
    <row r="104" spans="1:66" x14ac:dyDescent="0.25">
      <c r="AH104" s="13">
        <v>1140</v>
      </c>
      <c r="AK104" s="13">
        <v>630</v>
      </c>
      <c r="AL104" s="13">
        <v>0</v>
      </c>
    </row>
    <row r="105" spans="1:66" x14ac:dyDescent="0.25">
      <c r="AH105" s="13">
        <v>1150</v>
      </c>
      <c r="AK105" s="13">
        <v>630</v>
      </c>
      <c r="AL105" s="13">
        <v>0</v>
      </c>
    </row>
    <row r="106" spans="1:66" x14ac:dyDescent="0.25">
      <c r="AH106" s="13">
        <v>1160</v>
      </c>
      <c r="AK106" s="13">
        <v>640</v>
      </c>
      <c r="AL106" s="13">
        <v>0</v>
      </c>
    </row>
    <row r="107" spans="1:66" x14ac:dyDescent="0.25">
      <c r="AH107" s="13">
        <v>1170</v>
      </c>
      <c r="AK107" s="13">
        <v>640</v>
      </c>
      <c r="AL107" s="13">
        <v>0</v>
      </c>
    </row>
    <row r="108" spans="1:66" x14ac:dyDescent="0.25">
      <c r="AH108" s="13">
        <v>1180</v>
      </c>
      <c r="AK108" s="13">
        <v>650</v>
      </c>
      <c r="AL108" s="13">
        <v>0</v>
      </c>
    </row>
    <row r="109" spans="1:66" x14ac:dyDescent="0.25">
      <c r="AH109" s="13">
        <v>1190</v>
      </c>
      <c r="AK109" s="13">
        <v>650</v>
      </c>
      <c r="AL109" s="13">
        <v>0</v>
      </c>
    </row>
    <row r="110" spans="1:66" x14ac:dyDescent="0.25">
      <c r="AH110" s="13">
        <v>1200</v>
      </c>
      <c r="AK110" s="13">
        <v>660</v>
      </c>
      <c r="AL110" s="13">
        <v>0</v>
      </c>
    </row>
    <row r="111" spans="1:66" x14ac:dyDescent="0.25">
      <c r="AH111" s="13">
        <v>1210</v>
      </c>
      <c r="AK111" s="13">
        <v>660</v>
      </c>
      <c r="AL111" s="13">
        <v>0</v>
      </c>
    </row>
    <row r="112" spans="1:66" x14ac:dyDescent="0.25">
      <c r="AH112" s="13">
        <v>1220</v>
      </c>
      <c r="AK112" s="13">
        <v>670</v>
      </c>
      <c r="AL112" s="13">
        <v>0</v>
      </c>
    </row>
    <row r="113" spans="34:38" x14ac:dyDescent="0.25">
      <c r="AH113" s="13">
        <v>1230</v>
      </c>
      <c r="AK113" s="13">
        <v>670</v>
      </c>
      <c r="AL113" s="13">
        <v>0</v>
      </c>
    </row>
    <row r="114" spans="34:38" x14ac:dyDescent="0.25">
      <c r="AH114" s="13">
        <v>1240</v>
      </c>
      <c r="AK114" s="13">
        <v>680</v>
      </c>
      <c r="AL114" s="13">
        <v>0</v>
      </c>
    </row>
    <row r="115" spans="34:38" x14ac:dyDescent="0.25">
      <c r="AH115" s="13">
        <v>1250</v>
      </c>
      <c r="AK115" s="13">
        <v>680</v>
      </c>
      <c r="AL115" s="13">
        <v>0</v>
      </c>
    </row>
    <row r="116" spans="34:38" x14ac:dyDescent="0.25">
      <c r="AH116" s="13">
        <v>1260</v>
      </c>
      <c r="AK116" s="13">
        <v>690</v>
      </c>
      <c r="AL116" s="13">
        <v>0</v>
      </c>
    </row>
    <row r="117" spans="34:38" x14ac:dyDescent="0.25">
      <c r="AH117" s="13">
        <v>1270</v>
      </c>
      <c r="AK117" s="13">
        <v>690</v>
      </c>
      <c r="AL117" s="13">
        <v>0</v>
      </c>
    </row>
    <row r="118" spans="34:38" x14ac:dyDescent="0.25">
      <c r="AH118" s="13">
        <v>1280</v>
      </c>
      <c r="AK118" s="13">
        <v>700</v>
      </c>
      <c r="AL118" s="13">
        <v>0</v>
      </c>
    </row>
    <row r="119" spans="34:38" x14ac:dyDescent="0.25">
      <c r="AH119" s="13">
        <v>1290</v>
      </c>
      <c r="AK119" s="13">
        <v>700</v>
      </c>
      <c r="AL119" s="13">
        <v>0</v>
      </c>
    </row>
    <row r="120" spans="34:38" x14ac:dyDescent="0.25">
      <c r="AH120" s="13">
        <v>1300</v>
      </c>
      <c r="AK120" s="13">
        <v>710</v>
      </c>
      <c r="AL120" s="13">
        <v>0</v>
      </c>
    </row>
    <row r="121" spans="34:38" x14ac:dyDescent="0.25">
      <c r="AH121" s="13">
        <v>1310</v>
      </c>
      <c r="AK121" s="13">
        <v>710</v>
      </c>
      <c r="AL121" s="13">
        <v>0</v>
      </c>
    </row>
    <row r="122" spans="34:38" x14ac:dyDescent="0.25">
      <c r="AH122" s="13">
        <v>1320</v>
      </c>
      <c r="AK122" s="13">
        <v>720</v>
      </c>
      <c r="AL122" s="13">
        <v>0</v>
      </c>
    </row>
    <row r="123" spans="34:38" x14ac:dyDescent="0.25">
      <c r="AH123" s="13">
        <v>1330</v>
      </c>
      <c r="AK123" s="13">
        <v>720</v>
      </c>
      <c r="AL123" s="13">
        <v>0</v>
      </c>
    </row>
    <row r="124" spans="34:38" x14ac:dyDescent="0.25">
      <c r="AH124" s="13">
        <v>1340</v>
      </c>
      <c r="AK124" s="13">
        <v>730</v>
      </c>
      <c r="AL124" s="13">
        <v>0</v>
      </c>
    </row>
    <row r="125" spans="34:38" x14ac:dyDescent="0.25">
      <c r="AH125" s="13">
        <v>1350</v>
      </c>
      <c r="AK125" s="13">
        <v>730</v>
      </c>
      <c r="AL125" s="13">
        <v>0</v>
      </c>
    </row>
    <row r="126" spans="34:38" x14ac:dyDescent="0.25">
      <c r="AH126" s="13">
        <v>1360</v>
      </c>
      <c r="AK126" s="13">
        <v>740</v>
      </c>
      <c r="AL126" s="13">
        <v>0</v>
      </c>
    </row>
    <row r="127" spans="34:38" x14ac:dyDescent="0.25">
      <c r="AH127" s="13">
        <v>1370</v>
      </c>
      <c r="AK127" s="13">
        <v>740</v>
      </c>
      <c r="AL127" s="13">
        <v>0</v>
      </c>
    </row>
    <row r="128" spans="34:38" x14ac:dyDescent="0.25">
      <c r="AH128" s="13">
        <v>1380</v>
      </c>
      <c r="AK128" s="13">
        <v>750</v>
      </c>
      <c r="AL128" s="13">
        <v>0</v>
      </c>
    </row>
    <row r="129" spans="34:38" x14ac:dyDescent="0.25">
      <c r="AH129" s="13">
        <v>1390</v>
      </c>
      <c r="AK129" s="13">
        <v>750</v>
      </c>
      <c r="AL129" s="13">
        <v>0</v>
      </c>
    </row>
    <row r="130" spans="34:38" x14ac:dyDescent="0.25">
      <c r="AH130" s="13">
        <v>1400</v>
      </c>
      <c r="AK130" s="13">
        <v>760</v>
      </c>
      <c r="AL130" s="13">
        <v>0</v>
      </c>
    </row>
    <row r="131" spans="34:38" x14ac:dyDescent="0.25">
      <c r="AH131" s="13">
        <v>1410</v>
      </c>
      <c r="AK131" s="13">
        <v>760</v>
      </c>
      <c r="AL131" s="13">
        <v>0</v>
      </c>
    </row>
    <row r="132" spans="34:38" x14ac:dyDescent="0.25">
      <c r="AH132" s="13">
        <v>1420</v>
      </c>
      <c r="AK132" s="13">
        <v>770</v>
      </c>
      <c r="AL132" s="13">
        <v>0</v>
      </c>
    </row>
    <row r="133" spans="34:38" x14ac:dyDescent="0.25">
      <c r="AH133" s="13">
        <v>1430</v>
      </c>
      <c r="AK133" s="13">
        <v>770</v>
      </c>
      <c r="AL133" s="13">
        <v>0</v>
      </c>
    </row>
    <row r="134" spans="34:38" x14ac:dyDescent="0.25">
      <c r="AH134" s="13">
        <v>1440</v>
      </c>
      <c r="AK134" s="13">
        <v>780</v>
      </c>
      <c r="AL134" s="13">
        <v>0</v>
      </c>
    </row>
    <row r="135" spans="34:38" x14ac:dyDescent="0.25">
      <c r="AH135" s="13">
        <v>1450</v>
      </c>
      <c r="AK135" s="13">
        <v>780</v>
      </c>
      <c r="AL135" s="13">
        <v>0</v>
      </c>
    </row>
    <row r="136" spans="34:38" x14ac:dyDescent="0.25">
      <c r="AH136" s="13">
        <v>1460</v>
      </c>
      <c r="AK136" s="13">
        <v>790</v>
      </c>
      <c r="AL136" s="13">
        <v>0</v>
      </c>
    </row>
    <row r="137" spans="34:38" x14ac:dyDescent="0.25">
      <c r="AH137" s="13">
        <v>1470</v>
      </c>
      <c r="AK137" s="13">
        <v>790</v>
      </c>
      <c r="AL137" s="13">
        <v>0</v>
      </c>
    </row>
    <row r="138" spans="34:38" x14ac:dyDescent="0.25">
      <c r="AH138" s="13">
        <v>1480</v>
      </c>
      <c r="AK138" s="13">
        <v>800</v>
      </c>
      <c r="AL138" s="13">
        <v>0</v>
      </c>
    </row>
    <row r="139" spans="34:38" x14ac:dyDescent="0.25">
      <c r="AH139" s="13">
        <v>1490</v>
      </c>
      <c r="AK139" s="13">
        <v>800</v>
      </c>
      <c r="AL139" s="13">
        <v>0</v>
      </c>
    </row>
    <row r="140" spans="34:38" x14ac:dyDescent="0.25">
      <c r="AH140" s="13">
        <v>1500</v>
      </c>
      <c r="AK140" s="13">
        <v>810</v>
      </c>
      <c r="AL140" s="13">
        <v>0</v>
      </c>
    </row>
    <row r="141" spans="34:38" x14ac:dyDescent="0.25">
      <c r="AH141" s="13">
        <v>1510</v>
      </c>
      <c r="AK141" s="13">
        <v>810</v>
      </c>
      <c r="AL141" s="13">
        <v>0</v>
      </c>
    </row>
    <row r="142" spans="34:38" x14ac:dyDescent="0.25">
      <c r="AH142" s="13">
        <v>1520</v>
      </c>
      <c r="AK142" s="13">
        <v>820</v>
      </c>
      <c r="AL142" s="13">
        <v>0</v>
      </c>
    </row>
    <row r="143" spans="34:38" x14ac:dyDescent="0.25">
      <c r="AH143" s="13">
        <v>1530</v>
      </c>
      <c r="AK143" s="13">
        <v>820</v>
      </c>
      <c r="AL143" s="13">
        <v>0</v>
      </c>
    </row>
    <row r="144" spans="34:38" x14ac:dyDescent="0.25">
      <c r="AH144" s="13">
        <v>1540</v>
      </c>
      <c r="AK144" s="13">
        <v>830</v>
      </c>
      <c r="AL144" s="13">
        <v>0</v>
      </c>
    </row>
    <row r="145" spans="34:38" x14ac:dyDescent="0.25">
      <c r="AH145" s="13">
        <v>1550</v>
      </c>
      <c r="AK145" s="13">
        <v>830</v>
      </c>
      <c r="AL145" s="13">
        <v>0</v>
      </c>
    </row>
    <row r="146" spans="34:38" x14ac:dyDescent="0.25">
      <c r="AH146" s="13">
        <v>1560</v>
      </c>
      <c r="AK146" s="13">
        <v>840</v>
      </c>
      <c r="AL146" s="13">
        <v>0</v>
      </c>
    </row>
    <row r="147" spans="34:38" x14ac:dyDescent="0.25">
      <c r="AH147" s="13">
        <v>1570</v>
      </c>
      <c r="AK147" s="13">
        <v>840</v>
      </c>
      <c r="AL147" s="13">
        <v>0</v>
      </c>
    </row>
    <row r="148" spans="34:38" x14ac:dyDescent="0.25">
      <c r="AH148" s="13">
        <v>1580</v>
      </c>
      <c r="AK148" s="13">
        <v>850</v>
      </c>
      <c r="AL148" s="13">
        <v>0</v>
      </c>
    </row>
    <row r="149" spans="34:38" x14ac:dyDescent="0.25">
      <c r="AH149" s="13">
        <v>1590</v>
      </c>
      <c r="AK149" s="13">
        <v>850</v>
      </c>
      <c r="AL149" s="13">
        <v>0</v>
      </c>
    </row>
    <row r="150" spans="34:38" x14ac:dyDescent="0.25">
      <c r="AH150" s="13">
        <v>1600</v>
      </c>
      <c r="AK150" s="13">
        <v>860</v>
      </c>
      <c r="AL150" s="13">
        <v>0</v>
      </c>
    </row>
    <row r="151" spans="34:38" x14ac:dyDescent="0.25">
      <c r="AH151" s="13">
        <v>1610</v>
      </c>
      <c r="AK151" s="13">
        <v>860</v>
      </c>
      <c r="AL151" s="13">
        <v>0</v>
      </c>
    </row>
    <row r="152" spans="34:38" x14ac:dyDescent="0.25">
      <c r="AH152" s="13">
        <v>1620</v>
      </c>
      <c r="AK152" s="13">
        <v>870</v>
      </c>
      <c r="AL152" s="13">
        <v>0</v>
      </c>
    </row>
    <row r="153" spans="34:38" x14ac:dyDescent="0.25">
      <c r="AH153" s="13">
        <v>1630</v>
      </c>
      <c r="AK153" s="13">
        <v>870</v>
      </c>
      <c r="AL153" s="13">
        <v>0</v>
      </c>
    </row>
    <row r="154" spans="34:38" x14ac:dyDescent="0.25">
      <c r="AH154" s="13">
        <v>1640</v>
      </c>
      <c r="AK154" s="13">
        <v>880</v>
      </c>
      <c r="AL154" s="13">
        <v>0</v>
      </c>
    </row>
    <row r="155" spans="34:38" x14ac:dyDescent="0.25">
      <c r="AH155" s="13">
        <v>1650</v>
      </c>
      <c r="AK155" s="13">
        <v>880</v>
      </c>
      <c r="AL155" s="13">
        <v>0</v>
      </c>
    </row>
    <row r="156" spans="34:38" x14ac:dyDescent="0.25">
      <c r="AH156" s="13">
        <v>1660</v>
      </c>
      <c r="AK156" s="13">
        <v>890</v>
      </c>
      <c r="AL156" s="13">
        <v>0</v>
      </c>
    </row>
    <row r="157" spans="34:38" x14ac:dyDescent="0.25">
      <c r="AH157" s="13">
        <v>1670</v>
      </c>
      <c r="AK157" s="13">
        <v>890</v>
      </c>
      <c r="AL157" s="13">
        <v>0</v>
      </c>
    </row>
    <row r="158" spans="34:38" x14ac:dyDescent="0.25">
      <c r="AH158" s="13">
        <v>1680</v>
      </c>
      <c r="AK158" s="13">
        <v>900</v>
      </c>
      <c r="AL158" s="13">
        <v>0</v>
      </c>
    </row>
    <row r="159" spans="34:38" x14ac:dyDescent="0.25">
      <c r="AH159" s="13">
        <v>1690</v>
      </c>
      <c r="AK159" s="13">
        <v>900</v>
      </c>
      <c r="AL159" s="13">
        <v>0</v>
      </c>
    </row>
    <row r="160" spans="34:38" x14ac:dyDescent="0.25">
      <c r="AH160" s="13">
        <v>1700</v>
      </c>
      <c r="AK160" s="13">
        <v>910</v>
      </c>
      <c r="AL160" s="13">
        <v>0</v>
      </c>
    </row>
    <row r="161" spans="34:38" x14ac:dyDescent="0.25">
      <c r="AH161" s="13">
        <v>1710</v>
      </c>
      <c r="AK161" s="13">
        <v>910</v>
      </c>
      <c r="AL161" s="13">
        <v>0</v>
      </c>
    </row>
    <row r="162" spans="34:38" x14ac:dyDescent="0.25">
      <c r="AH162" s="13">
        <v>1720</v>
      </c>
      <c r="AK162" s="13">
        <v>920</v>
      </c>
      <c r="AL162" s="13">
        <v>0</v>
      </c>
    </row>
    <row r="163" spans="34:38" x14ac:dyDescent="0.25">
      <c r="AH163" s="13">
        <v>1730</v>
      </c>
      <c r="AK163" s="13">
        <v>920</v>
      </c>
      <c r="AL163" s="13">
        <v>0</v>
      </c>
    </row>
    <row r="164" spans="34:38" x14ac:dyDescent="0.25">
      <c r="AH164" s="13">
        <v>1740</v>
      </c>
      <c r="AK164" s="13">
        <v>930</v>
      </c>
      <c r="AL164" s="13">
        <v>0</v>
      </c>
    </row>
    <row r="165" spans="34:38" x14ac:dyDescent="0.25">
      <c r="AH165" s="13">
        <v>1750</v>
      </c>
      <c r="AK165" s="13">
        <v>930</v>
      </c>
      <c r="AL165" s="13">
        <v>0</v>
      </c>
    </row>
    <row r="166" spans="34:38" x14ac:dyDescent="0.25">
      <c r="AH166" s="13">
        <v>1760</v>
      </c>
      <c r="AK166" s="13">
        <v>940</v>
      </c>
      <c r="AL166" s="13">
        <v>0</v>
      </c>
    </row>
    <row r="167" spans="34:38" x14ac:dyDescent="0.25">
      <c r="AH167" s="13">
        <v>1770</v>
      </c>
      <c r="AK167" s="13">
        <v>940</v>
      </c>
      <c r="AL167" s="13">
        <v>0</v>
      </c>
    </row>
    <row r="168" spans="34:38" x14ac:dyDescent="0.25">
      <c r="AH168" s="13">
        <v>1780</v>
      </c>
      <c r="AK168" s="13">
        <v>950</v>
      </c>
      <c r="AL168" s="13">
        <v>0</v>
      </c>
    </row>
    <row r="169" spans="34:38" x14ac:dyDescent="0.25">
      <c r="AH169" s="13">
        <v>1790</v>
      </c>
      <c r="AK169" s="13">
        <v>950</v>
      </c>
      <c r="AL169" s="13">
        <v>0</v>
      </c>
    </row>
    <row r="170" spans="34:38" x14ac:dyDescent="0.25">
      <c r="AH170" s="13">
        <v>1800</v>
      </c>
      <c r="AK170" s="13">
        <v>960</v>
      </c>
      <c r="AL170" s="13">
        <v>0</v>
      </c>
    </row>
    <row r="171" spans="34:38" x14ac:dyDescent="0.25">
      <c r="AH171" s="13">
        <v>1810</v>
      </c>
      <c r="AK171" s="13">
        <v>960</v>
      </c>
      <c r="AL171" s="13">
        <v>0</v>
      </c>
    </row>
    <row r="172" spans="34:38" x14ac:dyDescent="0.25">
      <c r="AH172" s="13">
        <v>1820</v>
      </c>
      <c r="AK172" s="13">
        <v>970</v>
      </c>
      <c r="AL172" s="13">
        <v>0</v>
      </c>
    </row>
    <row r="173" spans="34:38" x14ac:dyDescent="0.25">
      <c r="AH173" s="13">
        <v>1830</v>
      </c>
      <c r="AK173" s="13">
        <v>970</v>
      </c>
      <c r="AL173" s="13">
        <v>0</v>
      </c>
    </row>
    <row r="174" spans="34:38" x14ac:dyDescent="0.25">
      <c r="AH174" s="13">
        <v>1840</v>
      </c>
      <c r="AK174" s="13">
        <v>980</v>
      </c>
      <c r="AL174" s="13">
        <v>0</v>
      </c>
    </row>
    <row r="175" spans="34:38" x14ac:dyDescent="0.25">
      <c r="AH175" s="13">
        <v>1850</v>
      </c>
      <c r="AK175" s="13">
        <v>980</v>
      </c>
      <c r="AL175" s="13">
        <v>0</v>
      </c>
    </row>
    <row r="176" spans="34:38" x14ac:dyDescent="0.25">
      <c r="AH176" s="13">
        <v>1860</v>
      </c>
      <c r="AK176" s="13">
        <v>990</v>
      </c>
      <c r="AL176" s="13">
        <v>0</v>
      </c>
    </row>
    <row r="177" spans="34:38" x14ac:dyDescent="0.25">
      <c r="AH177" s="13">
        <v>1870</v>
      </c>
      <c r="AK177" s="13">
        <v>990</v>
      </c>
      <c r="AL177" s="13">
        <v>0</v>
      </c>
    </row>
    <row r="178" spans="34:38" x14ac:dyDescent="0.25">
      <c r="AH178" s="13">
        <v>1880</v>
      </c>
      <c r="AK178" s="13">
        <v>1000</v>
      </c>
      <c r="AL178" s="13">
        <v>0</v>
      </c>
    </row>
    <row r="179" spans="34:38" x14ac:dyDescent="0.25">
      <c r="AH179" s="13">
        <v>1890</v>
      </c>
      <c r="AK179" s="13">
        <v>1000</v>
      </c>
      <c r="AL179" s="13">
        <v>0</v>
      </c>
    </row>
    <row r="180" spans="34:38" x14ac:dyDescent="0.25">
      <c r="AH180" s="13">
        <v>1900</v>
      </c>
      <c r="AK180" s="13">
        <v>1010</v>
      </c>
      <c r="AL180" s="13">
        <v>0</v>
      </c>
    </row>
    <row r="181" spans="34:38" x14ac:dyDescent="0.25">
      <c r="AH181" s="13">
        <v>1910</v>
      </c>
      <c r="AK181" s="13">
        <v>1010</v>
      </c>
      <c r="AL181" s="13">
        <v>0</v>
      </c>
    </row>
    <row r="182" spans="34:38" x14ac:dyDescent="0.25">
      <c r="AH182" s="13">
        <v>1920</v>
      </c>
      <c r="AK182" s="13">
        <v>1020</v>
      </c>
      <c r="AL182" s="13">
        <v>0</v>
      </c>
    </row>
    <row r="183" spans="34:38" x14ac:dyDescent="0.25">
      <c r="AH183" s="13">
        <v>1930</v>
      </c>
      <c r="AK183" s="13">
        <v>1020</v>
      </c>
      <c r="AL183" s="13">
        <v>0</v>
      </c>
    </row>
    <row r="184" spans="34:38" x14ac:dyDescent="0.25">
      <c r="AH184" s="13">
        <v>1940</v>
      </c>
      <c r="AK184" s="13">
        <v>1030</v>
      </c>
      <c r="AL184" s="13">
        <v>0</v>
      </c>
    </row>
    <row r="185" spans="34:38" x14ac:dyDescent="0.25">
      <c r="AH185" s="13">
        <v>1950</v>
      </c>
      <c r="AK185" s="13">
        <v>1030</v>
      </c>
      <c r="AL185" s="13">
        <v>0</v>
      </c>
    </row>
    <row r="186" spans="34:38" x14ac:dyDescent="0.25">
      <c r="AH186" s="13">
        <v>1960</v>
      </c>
      <c r="AK186" s="13">
        <v>1040</v>
      </c>
      <c r="AL186" s="13">
        <v>0</v>
      </c>
    </row>
    <row r="187" spans="34:38" x14ac:dyDescent="0.25">
      <c r="AH187" s="13">
        <v>1970</v>
      </c>
      <c r="AK187" s="13">
        <v>1040</v>
      </c>
      <c r="AL187" s="13">
        <v>0</v>
      </c>
    </row>
    <row r="188" spans="34:38" x14ac:dyDescent="0.25">
      <c r="AH188" s="13">
        <v>1980</v>
      </c>
      <c r="AK188" s="13">
        <v>1050</v>
      </c>
      <c r="AL188" s="13">
        <v>0</v>
      </c>
    </row>
    <row r="189" spans="34:38" x14ac:dyDescent="0.25">
      <c r="AH189" s="13">
        <v>1990</v>
      </c>
      <c r="AK189" s="13">
        <v>1050</v>
      </c>
      <c r="AL189" s="13">
        <v>0</v>
      </c>
    </row>
    <row r="190" spans="34:38" x14ac:dyDescent="0.25">
      <c r="AH190" s="13">
        <v>2000</v>
      </c>
      <c r="AK190" s="13">
        <v>1060</v>
      </c>
      <c r="AL190" s="13">
        <v>0</v>
      </c>
    </row>
    <row r="191" spans="34:38" x14ac:dyDescent="0.25">
      <c r="AH191" s="13">
        <v>2010</v>
      </c>
      <c r="AK191" s="13">
        <v>1060</v>
      </c>
      <c r="AL191" s="13">
        <v>0</v>
      </c>
    </row>
    <row r="192" spans="34:38" x14ac:dyDescent="0.25">
      <c r="AH192" s="13">
        <v>2020</v>
      </c>
      <c r="AK192" s="13">
        <v>1070</v>
      </c>
      <c r="AL192" s="13">
        <v>0</v>
      </c>
    </row>
    <row r="193" spans="34:38" x14ac:dyDescent="0.25">
      <c r="AH193" s="13">
        <v>2030</v>
      </c>
      <c r="AK193" s="13">
        <v>1070</v>
      </c>
      <c r="AL193" s="13">
        <v>0</v>
      </c>
    </row>
    <row r="194" spans="34:38" x14ac:dyDescent="0.25">
      <c r="AH194" s="13">
        <v>2040</v>
      </c>
      <c r="AK194" s="13">
        <v>1080</v>
      </c>
      <c r="AL194" s="13">
        <v>0</v>
      </c>
    </row>
    <row r="195" spans="34:38" x14ac:dyDescent="0.25">
      <c r="AH195" s="13">
        <v>2050</v>
      </c>
      <c r="AK195" s="13">
        <v>1080</v>
      </c>
      <c r="AL195" s="13">
        <v>0</v>
      </c>
    </row>
    <row r="196" spans="34:38" x14ac:dyDescent="0.25">
      <c r="AH196" s="13">
        <v>2060</v>
      </c>
      <c r="AK196" s="13">
        <v>1090</v>
      </c>
      <c r="AL196" s="13">
        <v>0</v>
      </c>
    </row>
    <row r="197" spans="34:38" x14ac:dyDescent="0.25">
      <c r="AH197" s="13">
        <v>2070</v>
      </c>
      <c r="AK197" s="13">
        <v>1090</v>
      </c>
      <c r="AL197" s="13">
        <v>0</v>
      </c>
    </row>
    <row r="198" spans="34:38" x14ac:dyDescent="0.25">
      <c r="AH198" s="13">
        <v>2080</v>
      </c>
      <c r="AK198" s="13">
        <v>1100</v>
      </c>
      <c r="AL198" s="13">
        <v>0</v>
      </c>
    </row>
    <row r="199" spans="34:38" x14ac:dyDescent="0.25">
      <c r="AH199" s="13">
        <v>2090</v>
      </c>
      <c r="AK199" s="13">
        <v>1100</v>
      </c>
      <c r="AL199" s="13">
        <v>0</v>
      </c>
    </row>
    <row r="200" spans="34:38" x14ac:dyDescent="0.25">
      <c r="AH200" s="13">
        <v>2100</v>
      </c>
      <c r="AK200" s="13">
        <v>1110</v>
      </c>
      <c r="AL200" s="13">
        <v>0</v>
      </c>
    </row>
    <row r="201" spans="34:38" x14ac:dyDescent="0.25">
      <c r="AH201" s="13">
        <v>2110</v>
      </c>
      <c r="AK201" s="13">
        <v>1110</v>
      </c>
      <c r="AL201" s="13">
        <v>0</v>
      </c>
    </row>
    <row r="202" spans="34:38" x14ac:dyDescent="0.25">
      <c r="AH202" s="13">
        <v>2120</v>
      </c>
      <c r="AK202" s="13">
        <v>1120</v>
      </c>
      <c r="AL202" s="13">
        <v>0</v>
      </c>
    </row>
    <row r="203" spans="34:38" x14ac:dyDescent="0.25">
      <c r="AH203" s="13">
        <v>2130</v>
      </c>
      <c r="AK203" s="13">
        <v>1120</v>
      </c>
      <c r="AL203" s="13">
        <v>0</v>
      </c>
    </row>
    <row r="204" spans="34:38" x14ac:dyDescent="0.25">
      <c r="AH204" s="13">
        <v>2140</v>
      </c>
      <c r="AK204" s="13">
        <v>1130</v>
      </c>
      <c r="AL204" s="13">
        <v>0</v>
      </c>
    </row>
    <row r="205" spans="34:38" x14ac:dyDescent="0.25">
      <c r="AH205" s="13">
        <v>2150</v>
      </c>
      <c r="AK205" s="13">
        <v>1130</v>
      </c>
      <c r="AL205" s="13">
        <v>0</v>
      </c>
    </row>
    <row r="206" spans="34:38" x14ac:dyDescent="0.25">
      <c r="AH206" s="13">
        <v>2160</v>
      </c>
      <c r="AK206" s="13">
        <v>1140</v>
      </c>
      <c r="AL206" s="13">
        <v>0</v>
      </c>
    </row>
    <row r="207" spans="34:38" x14ac:dyDescent="0.25">
      <c r="AH207" s="13">
        <v>2170</v>
      </c>
      <c r="AK207" s="13">
        <v>1140</v>
      </c>
      <c r="AL207" s="13">
        <v>0</v>
      </c>
    </row>
    <row r="208" spans="34:38" x14ac:dyDescent="0.25">
      <c r="AH208" s="13">
        <v>2180</v>
      </c>
      <c r="AK208" s="13">
        <v>1150</v>
      </c>
      <c r="AL208" s="13">
        <v>0</v>
      </c>
    </row>
    <row r="209" spans="34:38" x14ac:dyDescent="0.25">
      <c r="AH209" s="13">
        <v>2190</v>
      </c>
      <c r="AK209" s="13">
        <v>1150</v>
      </c>
      <c r="AL209" s="13">
        <v>0</v>
      </c>
    </row>
    <row r="210" spans="34:38" x14ac:dyDescent="0.25">
      <c r="AH210" s="13">
        <v>2200</v>
      </c>
      <c r="AK210" s="13">
        <v>1160</v>
      </c>
      <c r="AL210" s="13">
        <v>0</v>
      </c>
    </row>
    <row r="211" spans="34:38" x14ac:dyDescent="0.25">
      <c r="AH211" s="13">
        <v>2210</v>
      </c>
      <c r="AK211" s="13">
        <v>1160</v>
      </c>
      <c r="AL211" s="13">
        <v>0</v>
      </c>
    </row>
    <row r="212" spans="34:38" x14ac:dyDescent="0.25">
      <c r="AH212" s="13">
        <v>2220</v>
      </c>
      <c r="AK212" s="13">
        <v>1170</v>
      </c>
      <c r="AL212" s="13">
        <v>0</v>
      </c>
    </row>
    <row r="213" spans="34:38" x14ac:dyDescent="0.25">
      <c r="AH213" s="13">
        <v>2230</v>
      </c>
      <c r="AK213" s="13">
        <v>1170</v>
      </c>
      <c r="AL213" s="13">
        <v>0</v>
      </c>
    </row>
    <row r="214" spans="34:38" x14ac:dyDescent="0.25">
      <c r="AH214" s="13">
        <v>2240</v>
      </c>
      <c r="AK214" s="13">
        <v>1180</v>
      </c>
      <c r="AL214" s="13">
        <v>0</v>
      </c>
    </row>
    <row r="215" spans="34:38" x14ac:dyDescent="0.25">
      <c r="AH215" s="13">
        <v>2250</v>
      </c>
      <c r="AK215" s="13">
        <v>1180</v>
      </c>
      <c r="AL215" s="13">
        <v>0</v>
      </c>
    </row>
    <row r="216" spans="34:38" x14ac:dyDescent="0.25">
      <c r="AH216" s="13">
        <v>2260</v>
      </c>
      <c r="AK216" s="13">
        <v>1190</v>
      </c>
      <c r="AL216" s="13">
        <v>0</v>
      </c>
    </row>
    <row r="217" spans="34:38" x14ac:dyDescent="0.25">
      <c r="AH217" s="13">
        <v>2270</v>
      </c>
      <c r="AK217" s="13">
        <v>1190</v>
      </c>
      <c r="AL217" s="13">
        <v>0</v>
      </c>
    </row>
    <row r="218" spans="34:38" x14ac:dyDescent="0.25">
      <c r="AH218" s="13">
        <v>2280</v>
      </c>
      <c r="AK218" s="13">
        <v>1200</v>
      </c>
      <c r="AL218" s="13">
        <v>0</v>
      </c>
    </row>
    <row r="219" spans="34:38" x14ac:dyDescent="0.25">
      <c r="AH219" s="13">
        <v>2290</v>
      </c>
      <c r="AK219" s="13">
        <v>1200</v>
      </c>
      <c r="AL219" s="13">
        <v>0</v>
      </c>
    </row>
    <row r="220" spans="34:38" x14ac:dyDescent="0.25">
      <c r="AH220" s="13">
        <v>2300</v>
      </c>
      <c r="AK220" s="13">
        <v>1210</v>
      </c>
      <c r="AL220" s="13">
        <v>0</v>
      </c>
    </row>
    <row r="221" spans="34:38" x14ac:dyDescent="0.25">
      <c r="AH221" s="13">
        <v>2310</v>
      </c>
      <c r="AK221" s="13">
        <v>1210</v>
      </c>
      <c r="AL221" s="13">
        <v>0</v>
      </c>
    </row>
    <row r="222" spans="34:38" x14ac:dyDescent="0.25">
      <c r="AH222" s="13">
        <v>2320</v>
      </c>
      <c r="AK222" s="13">
        <v>1220</v>
      </c>
      <c r="AL222" s="13">
        <v>0</v>
      </c>
    </row>
    <row r="223" spans="34:38" x14ac:dyDescent="0.25">
      <c r="AH223" s="13">
        <v>2330</v>
      </c>
      <c r="AK223" s="13">
        <v>1220</v>
      </c>
      <c r="AL223" s="13">
        <v>0</v>
      </c>
    </row>
    <row r="224" spans="34:38" x14ac:dyDescent="0.25">
      <c r="AH224" s="13">
        <v>2340</v>
      </c>
      <c r="AK224" s="13">
        <v>1230</v>
      </c>
      <c r="AL224" s="13">
        <v>0</v>
      </c>
    </row>
    <row r="225" spans="34:38" x14ac:dyDescent="0.25">
      <c r="AH225" s="13">
        <v>2350</v>
      </c>
      <c r="AK225" s="13">
        <v>1230</v>
      </c>
      <c r="AL225" s="13">
        <v>0</v>
      </c>
    </row>
    <row r="226" spans="34:38" x14ac:dyDescent="0.25">
      <c r="AH226" s="13">
        <v>2360</v>
      </c>
      <c r="AK226" s="13">
        <v>1240</v>
      </c>
      <c r="AL226" s="13">
        <v>0</v>
      </c>
    </row>
    <row r="227" spans="34:38" x14ac:dyDescent="0.25">
      <c r="AH227" s="13">
        <v>2370</v>
      </c>
      <c r="AK227" s="13">
        <v>1240</v>
      </c>
      <c r="AL227" s="13">
        <v>0</v>
      </c>
    </row>
    <row r="228" spans="34:38" x14ac:dyDescent="0.25">
      <c r="AH228" s="13">
        <v>2380</v>
      </c>
      <c r="AK228" s="13">
        <v>1250</v>
      </c>
      <c r="AL228" s="13">
        <v>0</v>
      </c>
    </row>
    <row r="229" spans="34:38" x14ac:dyDescent="0.25">
      <c r="AH229" s="13">
        <v>2390</v>
      </c>
      <c r="AK229" s="13">
        <v>1250</v>
      </c>
      <c r="AL229" s="13">
        <v>0</v>
      </c>
    </row>
    <row r="230" spans="34:38" x14ac:dyDescent="0.25">
      <c r="AH230" s="13">
        <v>2400</v>
      </c>
      <c r="AK230" s="13">
        <v>1260</v>
      </c>
      <c r="AL230" s="13">
        <v>0</v>
      </c>
    </row>
    <row r="231" spans="34:38" x14ac:dyDescent="0.25">
      <c r="AH231" s="13">
        <v>2410</v>
      </c>
      <c r="AK231" s="13">
        <v>1260</v>
      </c>
      <c r="AL231" s="13">
        <v>0</v>
      </c>
    </row>
    <row r="232" spans="34:38" x14ac:dyDescent="0.25">
      <c r="AH232" s="13">
        <v>2420</v>
      </c>
      <c r="AK232" s="13">
        <v>1270</v>
      </c>
      <c r="AL232" s="13">
        <v>0</v>
      </c>
    </row>
    <row r="233" spans="34:38" x14ac:dyDescent="0.25">
      <c r="AH233" s="13">
        <v>2430</v>
      </c>
      <c r="AK233" s="13">
        <v>1270</v>
      </c>
      <c r="AL233" s="13">
        <v>0</v>
      </c>
    </row>
    <row r="234" spans="34:38" x14ac:dyDescent="0.25">
      <c r="AH234" s="13">
        <v>2440</v>
      </c>
      <c r="AK234" s="13">
        <v>1280</v>
      </c>
      <c r="AL234" s="13">
        <v>0</v>
      </c>
    </row>
    <row r="235" spans="34:38" x14ac:dyDescent="0.25">
      <c r="AH235" s="13">
        <v>2450</v>
      </c>
      <c r="AK235" s="13">
        <v>1280</v>
      </c>
      <c r="AL235" s="13">
        <v>0</v>
      </c>
    </row>
    <row r="236" spans="34:38" x14ac:dyDescent="0.25">
      <c r="AH236" s="13">
        <v>2460</v>
      </c>
      <c r="AK236" s="13">
        <v>1290</v>
      </c>
      <c r="AL236" s="13">
        <v>0</v>
      </c>
    </row>
    <row r="237" spans="34:38" x14ac:dyDescent="0.25">
      <c r="AH237" s="13">
        <v>2470</v>
      </c>
      <c r="AK237" s="13">
        <v>1290</v>
      </c>
      <c r="AL237" s="13">
        <v>0</v>
      </c>
    </row>
    <row r="238" spans="34:38" x14ac:dyDescent="0.25">
      <c r="AH238" s="13">
        <v>2480</v>
      </c>
      <c r="AK238" s="13">
        <v>1300</v>
      </c>
      <c r="AL238" s="13">
        <v>0</v>
      </c>
    </row>
    <row r="239" spans="34:38" x14ac:dyDescent="0.25">
      <c r="AH239" s="13">
        <v>2490</v>
      </c>
      <c r="AK239" s="13">
        <v>1300</v>
      </c>
      <c r="AL239" s="13">
        <v>0</v>
      </c>
    </row>
    <row r="240" spans="34:38" x14ac:dyDescent="0.25">
      <c r="AH240" s="13">
        <v>2500</v>
      </c>
      <c r="AK240" s="13">
        <v>1310</v>
      </c>
      <c r="AL240" s="13">
        <v>0</v>
      </c>
    </row>
    <row r="241" spans="34:38" x14ac:dyDescent="0.25">
      <c r="AH241" s="13">
        <v>2510</v>
      </c>
      <c r="AK241" s="13">
        <v>1310</v>
      </c>
      <c r="AL241" s="13">
        <v>0</v>
      </c>
    </row>
    <row r="242" spans="34:38" x14ac:dyDescent="0.25">
      <c r="AH242" s="13">
        <v>2520</v>
      </c>
      <c r="AK242" s="13">
        <v>1320</v>
      </c>
      <c r="AL242" s="13">
        <v>0</v>
      </c>
    </row>
    <row r="243" spans="34:38" x14ac:dyDescent="0.25">
      <c r="AH243" s="13">
        <v>2530</v>
      </c>
      <c r="AK243" s="13">
        <v>1320</v>
      </c>
      <c r="AL243" s="13">
        <v>0</v>
      </c>
    </row>
    <row r="244" spans="34:38" x14ac:dyDescent="0.25">
      <c r="AH244" s="13">
        <v>2540</v>
      </c>
      <c r="AK244" s="13">
        <v>1330</v>
      </c>
      <c r="AL244" s="13">
        <v>0</v>
      </c>
    </row>
    <row r="245" spans="34:38" x14ac:dyDescent="0.25">
      <c r="AH245" s="13">
        <v>2550</v>
      </c>
      <c r="AK245" s="13">
        <v>1330</v>
      </c>
      <c r="AL245" s="13">
        <v>0</v>
      </c>
    </row>
    <row r="246" spans="34:38" x14ac:dyDescent="0.25">
      <c r="AH246" s="13">
        <v>2560</v>
      </c>
      <c r="AK246" s="13">
        <v>1340</v>
      </c>
      <c r="AL246" s="13">
        <v>0</v>
      </c>
    </row>
    <row r="247" spans="34:38" x14ac:dyDescent="0.25">
      <c r="AH247" s="13">
        <v>2570</v>
      </c>
      <c r="AK247" s="13">
        <v>1340</v>
      </c>
      <c r="AL247" s="13">
        <v>0</v>
      </c>
    </row>
    <row r="248" spans="34:38" x14ac:dyDescent="0.25">
      <c r="AH248" s="13">
        <v>2580</v>
      </c>
      <c r="AK248" s="13">
        <v>1350</v>
      </c>
      <c r="AL248" s="13">
        <v>0</v>
      </c>
    </row>
    <row r="249" spans="34:38" x14ac:dyDescent="0.25">
      <c r="AH249" s="13">
        <v>2590</v>
      </c>
      <c r="AK249" s="13">
        <v>1350</v>
      </c>
      <c r="AL249" s="13">
        <v>0</v>
      </c>
    </row>
    <row r="250" spans="34:38" x14ac:dyDescent="0.25">
      <c r="AH250" s="13">
        <v>2600</v>
      </c>
      <c r="AK250" s="13">
        <v>1360</v>
      </c>
      <c r="AL250" s="13">
        <v>0</v>
      </c>
    </row>
    <row r="251" spans="34:38" x14ac:dyDescent="0.25">
      <c r="AH251" s="13">
        <v>2610</v>
      </c>
      <c r="AK251" s="13">
        <v>1360</v>
      </c>
      <c r="AL251" s="13">
        <v>0</v>
      </c>
    </row>
    <row r="252" spans="34:38" x14ac:dyDescent="0.25">
      <c r="AH252" s="13">
        <v>2620</v>
      </c>
      <c r="AK252" s="13">
        <v>1370</v>
      </c>
      <c r="AL252" s="13">
        <v>0</v>
      </c>
    </row>
    <row r="253" spans="34:38" x14ac:dyDescent="0.25">
      <c r="AH253" s="13">
        <v>2630</v>
      </c>
      <c r="AK253" s="13">
        <v>1370</v>
      </c>
      <c r="AL253" s="13">
        <v>0</v>
      </c>
    </row>
    <row r="254" spans="34:38" x14ac:dyDescent="0.25">
      <c r="AH254" s="13">
        <v>2640</v>
      </c>
      <c r="AK254" s="13">
        <v>1380</v>
      </c>
      <c r="AL254" s="13">
        <v>0</v>
      </c>
    </row>
    <row r="255" spans="34:38" x14ac:dyDescent="0.25">
      <c r="AH255" s="13">
        <v>2650</v>
      </c>
      <c r="AK255" s="13">
        <v>1380</v>
      </c>
      <c r="AL255" s="13">
        <v>0</v>
      </c>
    </row>
    <row r="256" spans="34:38" x14ac:dyDescent="0.25">
      <c r="AH256" s="13">
        <v>2660</v>
      </c>
      <c r="AK256" s="13">
        <v>1390</v>
      </c>
      <c r="AL256" s="13">
        <v>0</v>
      </c>
    </row>
    <row r="257" spans="34:38" x14ac:dyDescent="0.25">
      <c r="AH257" s="13">
        <v>2670</v>
      </c>
      <c r="AK257" s="13">
        <v>1390</v>
      </c>
      <c r="AL257" s="13">
        <v>0</v>
      </c>
    </row>
    <row r="258" spans="34:38" x14ac:dyDescent="0.25">
      <c r="AH258" s="13">
        <v>2680</v>
      </c>
      <c r="AK258" s="13">
        <v>1400</v>
      </c>
      <c r="AL258" s="13">
        <v>0</v>
      </c>
    </row>
    <row r="259" spans="34:38" x14ac:dyDescent="0.25">
      <c r="AH259" s="13">
        <v>2690</v>
      </c>
      <c r="AK259" s="13">
        <v>1400</v>
      </c>
      <c r="AL259" s="13">
        <v>0</v>
      </c>
    </row>
    <row r="260" spans="34:38" x14ac:dyDescent="0.25">
      <c r="AH260" s="13">
        <v>2700</v>
      </c>
      <c r="AK260" s="13">
        <v>1410</v>
      </c>
      <c r="AL260" s="13">
        <v>0</v>
      </c>
    </row>
    <row r="261" spans="34:38" x14ac:dyDescent="0.25">
      <c r="AH261" s="13">
        <v>2710</v>
      </c>
      <c r="AK261" s="13">
        <v>1410</v>
      </c>
      <c r="AL261" s="13">
        <v>0</v>
      </c>
    </row>
    <row r="262" spans="34:38" x14ac:dyDescent="0.25">
      <c r="AH262" s="13">
        <v>2720</v>
      </c>
      <c r="AK262" s="13">
        <v>1420</v>
      </c>
      <c r="AL262" s="13">
        <v>0</v>
      </c>
    </row>
    <row r="263" spans="34:38" x14ac:dyDescent="0.25">
      <c r="AH263" s="13">
        <v>2730</v>
      </c>
      <c r="AK263" s="13">
        <v>1420</v>
      </c>
      <c r="AL263" s="13">
        <v>0</v>
      </c>
    </row>
    <row r="264" spans="34:38" x14ac:dyDescent="0.25">
      <c r="AH264" s="13">
        <v>2740</v>
      </c>
      <c r="AK264" s="13">
        <v>1430</v>
      </c>
      <c r="AL264" s="13">
        <v>0</v>
      </c>
    </row>
    <row r="265" spans="34:38" x14ac:dyDescent="0.25">
      <c r="AH265" s="13">
        <v>2750</v>
      </c>
      <c r="AK265" s="13">
        <v>1430</v>
      </c>
      <c r="AL265" s="13">
        <v>0</v>
      </c>
    </row>
    <row r="266" spans="34:38" x14ac:dyDescent="0.25">
      <c r="AH266" s="13">
        <v>2760</v>
      </c>
      <c r="AK266" s="13">
        <v>1440</v>
      </c>
      <c r="AL266" s="13">
        <v>0</v>
      </c>
    </row>
    <row r="267" spans="34:38" x14ac:dyDescent="0.25">
      <c r="AH267" s="13">
        <v>2770</v>
      </c>
      <c r="AK267" s="13">
        <v>1440</v>
      </c>
      <c r="AL267" s="13">
        <v>0</v>
      </c>
    </row>
    <row r="268" spans="34:38" x14ac:dyDescent="0.25">
      <c r="AH268" s="13">
        <v>2780</v>
      </c>
      <c r="AK268" s="13">
        <v>1450</v>
      </c>
      <c r="AL268" s="13">
        <v>0</v>
      </c>
    </row>
    <row r="269" spans="34:38" x14ac:dyDescent="0.25">
      <c r="AH269" s="13">
        <v>2790</v>
      </c>
      <c r="AK269" s="13">
        <v>1450</v>
      </c>
      <c r="AL269" s="13">
        <v>0</v>
      </c>
    </row>
    <row r="270" spans="34:38" x14ac:dyDescent="0.25">
      <c r="AH270" s="13">
        <v>2800</v>
      </c>
      <c r="AK270" s="13">
        <v>1460</v>
      </c>
      <c r="AL270" s="13">
        <v>0</v>
      </c>
    </row>
    <row r="271" spans="34:38" x14ac:dyDescent="0.25">
      <c r="AH271" s="13">
        <v>2810</v>
      </c>
      <c r="AK271" s="13">
        <v>1460</v>
      </c>
      <c r="AL271" s="13">
        <v>0</v>
      </c>
    </row>
    <row r="272" spans="34:38" x14ac:dyDescent="0.25">
      <c r="AH272" s="13">
        <v>2820</v>
      </c>
      <c r="AK272" s="13">
        <v>1470</v>
      </c>
      <c r="AL272" s="13">
        <v>0</v>
      </c>
    </row>
    <row r="273" spans="34:38" x14ac:dyDescent="0.25">
      <c r="AH273" s="13">
        <v>2830</v>
      </c>
      <c r="AK273" s="13">
        <v>1470</v>
      </c>
      <c r="AL273" s="13">
        <v>0</v>
      </c>
    </row>
    <row r="274" spans="34:38" x14ac:dyDescent="0.25">
      <c r="AH274" s="13">
        <v>2840</v>
      </c>
      <c r="AK274" s="13">
        <v>1480</v>
      </c>
      <c r="AL274" s="13">
        <v>0</v>
      </c>
    </row>
    <row r="275" spans="34:38" x14ac:dyDescent="0.25">
      <c r="AH275" s="13">
        <v>2850</v>
      </c>
      <c r="AK275" s="13">
        <v>1480</v>
      </c>
      <c r="AL275" s="13">
        <v>0</v>
      </c>
    </row>
    <row r="276" spans="34:38" x14ac:dyDescent="0.25">
      <c r="AH276" s="13">
        <v>2860</v>
      </c>
      <c r="AK276" s="13">
        <v>1490</v>
      </c>
      <c r="AL276" s="13">
        <v>0</v>
      </c>
    </row>
    <row r="277" spans="34:38" x14ac:dyDescent="0.25">
      <c r="AH277" s="13">
        <v>2870</v>
      </c>
      <c r="AK277" s="13">
        <v>1490</v>
      </c>
      <c r="AL277" s="13">
        <v>0</v>
      </c>
    </row>
    <row r="278" spans="34:38" x14ac:dyDescent="0.25">
      <c r="AH278" s="13">
        <v>2880</v>
      </c>
      <c r="AK278" s="13">
        <v>1500</v>
      </c>
      <c r="AL278" s="13">
        <v>0</v>
      </c>
    </row>
    <row r="279" spans="34:38" x14ac:dyDescent="0.25">
      <c r="AH279" s="13">
        <v>2890</v>
      </c>
      <c r="AK279" s="13">
        <v>1500</v>
      </c>
      <c r="AL279" s="13">
        <v>0</v>
      </c>
    </row>
    <row r="280" spans="34:38" x14ac:dyDescent="0.25">
      <c r="AH280" s="13">
        <v>2900</v>
      </c>
      <c r="AK280" s="13">
        <v>1510</v>
      </c>
      <c r="AL280" s="13">
        <v>0</v>
      </c>
    </row>
    <row r="281" spans="34:38" x14ac:dyDescent="0.25">
      <c r="AH281" s="13">
        <v>2910</v>
      </c>
      <c r="AK281" s="13">
        <v>1510</v>
      </c>
      <c r="AL281" s="13">
        <v>0</v>
      </c>
    </row>
    <row r="282" spans="34:38" x14ac:dyDescent="0.25">
      <c r="AH282" s="13">
        <v>2920</v>
      </c>
      <c r="AK282" s="13">
        <v>1520</v>
      </c>
      <c r="AL282" s="13">
        <v>0</v>
      </c>
    </row>
    <row r="283" spans="34:38" x14ac:dyDescent="0.25">
      <c r="AH283" s="13">
        <v>2930</v>
      </c>
      <c r="AK283" s="13">
        <v>1520</v>
      </c>
      <c r="AL283" s="13">
        <v>0</v>
      </c>
    </row>
    <row r="284" spans="34:38" x14ac:dyDescent="0.25">
      <c r="AH284" s="13">
        <v>2940</v>
      </c>
      <c r="AK284" s="13">
        <v>1530</v>
      </c>
      <c r="AL284" s="13">
        <v>0</v>
      </c>
    </row>
    <row r="285" spans="34:38" x14ac:dyDescent="0.25">
      <c r="AH285" s="13">
        <v>2950</v>
      </c>
      <c r="AK285" s="13">
        <v>1530</v>
      </c>
      <c r="AL285" s="13">
        <v>0</v>
      </c>
    </row>
    <row r="286" spans="34:38" x14ac:dyDescent="0.25">
      <c r="AH286" s="13">
        <v>2960</v>
      </c>
      <c r="AK286" s="13">
        <v>1540</v>
      </c>
      <c r="AL286" s="13">
        <v>0</v>
      </c>
    </row>
    <row r="287" spans="34:38" x14ac:dyDescent="0.25">
      <c r="AH287" s="13">
        <v>2970</v>
      </c>
      <c r="AK287" s="13">
        <v>1540</v>
      </c>
      <c r="AL287" s="13">
        <v>0</v>
      </c>
    </row>
    <row r="288" spans="34:38" x14ac:dyDescent="0.25">
      <c r="AH288" s="13">
        <v>2980</v>
      </c>
      <c r="AK288" s="13">
        <v>1550</v>
      </c>
      <c r="AL288" s="13">
        <v>0</v>
      </c>
    </row>
    <row r="289" spans="34:38" x14ac:dyDescent="0.25">
      <c r="AH289" s="13">
        <v>2990</v>
      </c>
      <c r="AK289" s="13">
        <v>1550</v>
      </c>
      <c r="AL289" s="13">
        <v>0</v>
      </c>
    </row>
    <row r="290" spans="34:38" x14ac:dyDescent="0.25">
      <c r="AH290" s="13">
        <v>3000</v>
      </c>
      <c r="AK290" s="13">
        <v>1560</v>
      </c>
      <c r="AL290" s="13">
        <v>0</v>
      </c>
    </row>
    <row r="291" spans="34:38" x14ac:dyDescent="0.25">
      <c r="AH291" s="13">
        <v>3010</v>
      </c>
      <c r="AK291" s="13">
        <v>1560</v>
      </c>
      <c r="AL291" s="13">
        <v>0</v>
      </c>
    </row>
    <row r="292" spans="34:38" x14ac:dyDescent="0.25">
      <c r="AH292" s="13">
        <v>3020</v>
      </c>
      <c r="AK292" s="13">
        <v>1570</v>
      </c>
      <c r="AL292" s="13">
        <v>0</v>
      </c>
    </row>
    <row r="293" spans="34:38" x14ac:dyDescent="0.25">
      <c r="AH293" s="13">
        <v>3030</v>
      </c>
      <c r="AK293" s="13">
        <v>1570</v>
      </c>
      <c r="AL293" s="13">
        <v>0</v>
      </c>
    </row>
    <row r="294" spans="34:38" x14ac:dyDescent="0.25">
      <c r="AH294" s="13">
        <v>3040</v>
      </c>
      <c r="AK294" s="13">
        <v>1580</v>
      </c>
      <c r="AL294" s="13">
        <v>0</v>
      </c>
    </row>
    <row r="295" spans="34:38" x14ac:dyDescent="0.25">
      <c r="AH295" s="13">
        <v>3050</v>
      </c>
      <c r="AK295" s="13">
        <v>1580</v>
      </c>
      <c r="AL295" s="13">
        <v>0</v>
      </c>
    </row>
    <row r="296" spans="34:38" x14ac:dyDescent="0.25">
      <c r="AH296" s="13">
        <v>3060</v>
      </c>
      <c r="AK296" s="13">
        <v>1590</v>
      </c>
      <c r="AL296" s="13">
        <v>0</v>
      </c>
    </row>
    <row r="297" spans="34:38" x14ac:dyDescent="0.25">
      <c r="AH297" s="13">
        <v>3070</v>
      </c>
      <c r="AK297" s="13">
        <v>1590</v>
      </c>
      <c r="AL297" s="13">
        <v>0</v>
      </c>
    </row>
    <row r="298" spans="34:38" x14ac:dyDescent="0.25">
      <c r="AH298" s="13">
        <v>3080</v>
      </c>
      <c r="AK298" s="13">
        <v>1600</v>
      </c>
      <c r="AL298" s="13">
        <v>0</v>
      </c>
    </row>
    <row r="299" spans="34:38" x14ac:dyDescent="0.25">
      <c r="AH299" s="13">
        <v>3090</v>
      </c>
      <c r="AK299" s="13">
        <v>1600</v>
      </c>
      <c r="AL299" s="13">
        <v>0</v>
      </c>
    </row>
    <row r="300" spans="34:38" x14ac:dyDescent="0.25">
      <c r="AH300" s="13">
        <v>3100</v>
      </c>
      <c r="AK300" s="13">
        <v>1610</v>
      </c>
      <c r="AL300" s="13">
        <v>0</v>
      </c>
    </row>
    <row r="301" spans="34:38" x14ac:dyDescent="0.25">
      <c r="AH301" s="13">
        <v>3110</v>
      </c>
      <c r="AK301" s="13">
        <v>1610</v>
      </c>
      <c r="AL301" s="13">
        <v>0</v>
      </c>
    </row>
    <row r="302" spans="34:38" x14ac:dyDescent="0.25">
      <c r="AH302" s="13">
        <v>3120</v>
      </c>
      <c r="AK302" s="13">
        <v>1620</v>
      </c>
      <c r="AL302" s="13">
        <v>0</v>
      </c>
    </row>
    <row r="303" spans="34:38" x14ac:dyDescent="0.25">
      <c r="AH303" s="13">
        <v>3130</v>
      </c>
      <c r="AK303" s="13">
        <v>1620</v>
      </c>
      <c r="AL303" s="13">
        <v>0</v>
      </c>
    </row>
    <row r="304" spans="34:38" x14ac:dyDescent="0.25">
      <c r="AH304" s="13">
        <v>3140</v>
      </c>
      <c r="AK304" s="13">
        <v>1630</v>
      </c>
      <c r="AL304" s="13">
        <v>0</v>
      </c>
    </row>
    <row r="305" spans="34:38" x14ac:dyDescent="0.25">
      <c r="AH305" s="13">
        <v>3150</v>
      </c>
      <c r="AK305" s="13">
        <v>1630</v>
      </c>
      <c r="AL305" s="13">
        <v>0</v>
      </c>
    </row>
    <row r="306" spans="34:38" x14ac:dyDescent="0.25">
      <c r="AH306" s="13">
        <v>3160</v>
      </c>
      <c r="AK306" s="13">
        <v>1640</v>
      </c>
      <c r="AL306" s="13">
        <v>0</v>
      </c>
    </row>
    <row r="307" spans="34:38" x14ac:dyDescent="0.25">
      <c r="AH307" s="13">
        <v>3170</v>
      </c>
      <c r="AK307" s="13">
        <v>1640</v>
      </c>
      <c r="AL307" s="13">
        <v>0</v>
      </c>
    </row>
    <row r="308" spans="34:38" x14ac:dyDescent="0.25">
      <c r="AH308" s="13">
        <v>3180</v>
      </c>
      <c r="AK308" s="13">
        <v>1650</v>
      </c>
      <c r="AL308" s="13">
        <v>0</v>
      </c>
    </row>
    <row r="309" spans="34:38" x14ac:dyDescent="0.25">
      <c r="AH309" s="13">
        <v>3190</v>
      </c>
      <c r="AK309" s="13">
        <v>1650</v>
      </c>
      <c r="AL309" s="13">
        <v>0</v>
      </c>
    </row>
    <row r="310" spans="34:38" x14ac:dyDescent="0.25">
      <c r="AH310" s="13">
        <v>3200</v>
      </c>
      <c r="AK310" s="13">
        <v>1660</v>
      </c>
      <c r="AL310" s="13">
        <v>0</v>
      </c>
    </row>
    <row r="311" spans="34:38" x14ac:dyDescent="0.25">
      <c r="AH311" s="13">
        <v>3210</v>
      </c>
      <c r="AK311" s="13">
        <v>1660</v>
      </c>
      <c r="AL311" s="13">
        <v>0</v>
      </c>
    </row>
    <row r="312" spans="34:38" x14ac:dyDescent="0.25">
      <c r="AH312" s="13">
        <v>3220</v>
      </c>
      <c r="AK312" s="13">
        <v>1670</v>
      </c>
      <c r="AL312" s="13">
        <v>0</v>
      </c>
    </row>
    <row r="313" spans="34:38" x14ac:dyDescent="0.25">
      <c r="AH313" s="13">
        <v>3230</v>
      </c>
      <c r="AK313" s="13">
        <v>1670</v>
      </c>
      <c r="AL313" s="13">
        <v>0</v>
      </c>
    </row>
    <row r="314" spans="34:38" x14ac:dyDescent="0.25">
      <c r="AH314" s="13">
        <v>3240</v>
      </c>
      <c r="AK314" s="13">
        <v>1680</v>
      </c>
      <c r="AL314" s="13">
        <v>0</v>
      </c>
    </row>
    <row r="315" spans="34:38" x14ac:dyDescent="0.25">
      <c r="AH315" s="13">
        <v>3250</v>
      </c>
      <c r="AK315" s="13">
        <v>1680</v>
      </c>
      <c r="AL315" s="13">
        <v>0</v>
      </c>
    </row>
    <row r="316" spans="34:38" x14ac:dyDescent="0.25">
      <c r="AH316" s="13">
        <v>3260</v>
      </c>
      <c r="AK316" s="13">
        <v>1690</v>
      </c>
      <c r="AL316" s="13">
        <v>0</v>
      </c>
    </row>
    <row r="317" spans="34:38" x14ac:dyDescent="0.25">
      <c r="AH317" s="13">
        <v>3270</v>
      </c>
      <c r="AK317" s="13">
        <v>1690</v>
      </c>
      <c r="AL317" s="13">
        <v>0</v>
      </c>
    </row>
    <row r="318" spans="34:38" x14ac:dyDescent="0.25">
      <c r="AH318" s="13">
        <v>3280</v>
      </c>
      <c r="AK318" s="13">
        <v>1700</v>
      </c>
      <c r="AL318" s="13">
        <v>0</v>
      </c>
    </row>
    <row r="319" spans="34:38" x14ac:dyDescent="0.25">
      <c r="AH319" s="13">
        <v>3290</v>
      </c>
      <c r="AK319" s="13">
        <v>1700</v>
      </c>
      <c r="AL319" s="13">
        <v>0</v>
      </c>
    </row>
    <row r="320" spans="34:38" x14ac:dyDescent="0.25">
      <c r="AH320" s="13">
        <v>3300</v>
      </c>
      <c r="AK320" s="13">
        <v>1710</v>
      </c>
      <c r="AL320" s="13">
        <v>0</v>
      </c>
    </row>
    <row r="321" spans="34:38" x14ac:dyDescent="0.25">
      <c r="AH321" s="13">
        <v>3310</v>
      </c>
      <c r="AK321" s="13">
        <v>1710</v>
      </c>
      <c r="AL321" s="13">
        <v>0</v>
      </c>
    </row>
    <row r="322" spans="34:38" x14ac:dyDescent="0.25">
      <c r="AH322" s="13">
        <v>3320</v>
      </c>
      <c r="AK322" s="13">
        <v>1720</v>
      </c>
      <c r="AL322" s="13">
        <v>0</v>
      </c>
    </row>
    <row r="323" spans="34:38" x14ac:dyDescent="0.25">
      <c r="AH323" s="13">
        <v>3330</v>
      </c>
      <c r="AK323" s="13">
        <v>1720</v>
      </c>
      <c r="AL323" s="13">
        <v>0</v>
      </c>
    </row>
    <row r="324" spans="34:38" x14ac:dyDescent="0.25">
      <c r="AH324" s="13">
        <v>3340</v>
      </c>
      <c r="AK324" s="13">
        <v>1730</v>
      </c>
      <c r="AL324" s="13">
        <v>0</v>
      </c>
    </row>
    <row r="325" spans="34:38" x14ac:dyDescent="0.25">
      <c r="AH325" s="13">
        <v>3350</v>
      </c>
      <c r="AK325" s="13">
        <v>1730</v>
      </c>
      <c r="AL325" s="13">
        <v>0</v>
      </c>
    </row>
    <row r="326" spans="34:38" x14ac:dyDescent="0.25">
      <c r="AH326" s="13">
        <v>3360</v>
      </c>
      <c r="AK326" s="13">
        <v>1740</v>
      </c>
      <c r="AL326" s="13">
        <v>0</v>
      </c>
    </row>
    <row r="327" spans="34:38" x14ac:dyDescent="0.25">
      <c r="AH327" s="13">
        <v>3370</v>
      </c>
      <c r="AK327" s="13">
        <v>1740</v>
      </c>
      <c r="AL327" s="13">
        <v>0</v>
      </c>
    </row>
    <row r="328" spans="34:38" x14ac:dyDescent="0.25">
      <c r="AH328" s="13">
        <v>3380</v>
      </c>
      <c r="AK328" s="13">
        <v>1750</v>
      </c>
      <c r="AL328" s="13">
        <v>0</v>
      </c>
    </row>
    <row r="329" spans="34:38" x14ac:dyDescent="0.25">
      <c r="AH329" s="13">
        <v>3390</v>
      </c>
      <c r="AK329" s="13">
        <v>1750</v>
      </c>
      <c r="AL329" s="13">
        <v>0</v>
      </c>
    </row>
    <row r="330" spans="34:38" x14ac:dyDescent="0.25">
      <c r="AH330" s="13">
        <v>3400</v>
      </c>
      <c r="AK330" s="13">
        <v>1760</v>
      </c>
      <c r="AL330" s="13">
        <v>0</v>
      </c>
    </row>
    <row r="331" spans="34:38" x14ac:dyDescent="0.25">
      <c r="AH331" s="13">
        <v>3410</v>
      </c>
      <c r="AK331" s="13">
        <v>1760</v>
      </c>
      <c r="AL331" s="13">
        <v>0</v>
      </c>
    </row>
    <row r="332" spans="34:38" x14ac:dyDescent="0.25">
      <c r="AH332" s="13">
        <v>3420</v>
      </c>
      <c r="AK332" s="13">
        <v>1770</v>
      </c>
      <c r="AL332" s="13">
        <v>0</v>
      </c>
    </row>
    <row r="333" spans="34:38" x14ac:dyDescent="0.25">
      <c r="AH333" s="13">
        <v>3430</v>
      </c>
      <c r="AK333" s="13">
        <v>1770</v>
      </c>
      <c r="AL333" s="13">
        <v>0</v>
      </c>
    </row>
    <row r="334" spans="34:38" x14ac:dyDescent="0.25">
      <c r="AH334" s="13">
        <v>3440</v>
      </c>
      <c r="AK334" s="13">
        <v>1780</v>
      </c>
      <c r="AL334" s="13">
        <v>0</v>
      </c>
    </row>
    <row r="335" spans="34:38" x14ac:dyDescent="0.25">
      <c r="AH335" s="13">
        <v>3450</v>
      </c>
      <c r="AK335" s="13">
        <v>1780</v>
      </c>
      <c r="AL335" s="13">
        <v>0</v>
      </c>
    </row>
    <row r="336" spans="34:38" x14ac:dyDescent="0.25">
      <c r="AH336" s="13">
        <v>3460</v>
      </c>
      <c r="AK336" s="13">
        <v>1790</v>
      </c>
      <c r="AL336" s="13">
        <v>0</v>
      </c>
    </row>
    <row r="337" spans="34:38" x14ac:dyDescent="0.25">
      <c r="AH337" s="13">
        <v>3470</v>
      </c>
      <c r="AK337" s="13">
        <v>1790</v>
      </c>
      <c r="AL337" s="13">
        <v>0</v>
      </c>
    </row>
    <row r="338" spans="34:38" x14ac:dyDescent="0.25">
      <c r="AH338" s="13">
        <v>3480</v>
      </c>
      <c r="AK338" s="13">
        <v>1800</v>
      </c>
      <c r="AL338" s="13">
        <v>0</v>
      </c>
    </row>
    <row r="339" spans="34:38" x14ac:dyDescent="0.25">
      <c r="AH339" s="13">
        <v>3490</v>
      </c>
      <c r="AK339" s="13">
        <v>1800</v>
      </c>
      <c r="AL339" s="13">
        <v>0</v>
      </c>
    </row>
    <row r="340" spans="34:38" x14ac:dyDescent="0.25">
      <c r="AH340" s="13">
        <v>3500</v>
      </c>
      <c r="AK340" s="13">
        <v>1810</v>
      </c>
      <c r="AL340" s="13">
        <v>0</v>
      </c>
    </row>
    <row r="341" spans="34:38" x14ac:dyDescent="0.25">
      <c r="AH341" s="13">
        <v>3510</v>
      </c>
      <c r="AK341" s="13">
        <v>1810</v>
      </c>
      <c r="AL341" s="13">
        <v>0</v>
      </c>
    </row>
    <row r="342" spans="34:38" x14ac:dyDescent="0.25">
      <c r="AH342" s="13">
        <v>3520</v>
      </c>
      <c r="AK342" s="13">
        <v>1820</v>
      </c>
      <c r="AL342" s="13">
        <v>0</v>
      </c>
    </row>
    <row r="343" spans="34:38" x14ac:dyDescent="0.25">
      <c r="AH343" s="13">
        <v>3530</v>
      </c>
      <c r="AK343" s="13">
        <v>1820</v>
      </c>
      <c r="AL343" s="13">
        <v>0</v>
      </c>
    </row>
    <row r="344" spans="34:38" x14ac:dyDescent="0.25">
      <c r="AH344" s="13">
        <v>3540</v>
      </c>
      <c r="AK344" s="13">
        <v>1830</v>
      </c>
      <c r="AL344" s="13">
        <v>0</v>
      </c>
    </row>
    <row r="345" spans="34:38" x14ac:dyDescent="0.25">
      <c r="AH345" s="13">
        <v>3550</v>
      </c>
      <c r="AK345" s="13">
        <v>1830</v>
      </c>
      <c r="AL345" s="13">
        <v>0</v>
      </c>
    </row>
    <row r="346" spans="34:38" x14ac:dyDescent="0.25">
      <c r="AH346" s="13">
        <v>3560</v>
      </c>
      <c r="AK346" s="13">
        <v>1840</v>
      </c>
      <c r="AL346" s="13">
        <v>0</v>
      </c>
    </row>
    <row r="347" spans="34:38" x14ac:dyDescent="0.25">
      <c r="AH347" s="13">
        <v>3570</v>
      </c>
      <c r="AK347" s="13">
        <v>1840</v>
      </c>
      <c r="AL347" s="13">
        <v>0</v>
      </c>
    </row>
    <row r="348" spans="34:38" x14ac:dyDescent="0.25">
      <c r="AH348" s="13">
        <v>3580</v>
      </c>
      <c r="AK348" s="13">
        <v>1850</v>
      </c>
      <c r="AL348" s="13">
        <v>0</v>
      </c>
    </row>
    <row r="349" spans="34:38" x14ac:dyDescent="0.25">
      <c r="AH349" s="13">
        <v>3590</v>
      </c>
      <c r="AK349" s="13">
        <v>1850</v>
      </c>
      <c r="AL349" s="13">
        <v>0</v>
      </c>
    </row>
    <row r="350" spans="34:38" x14ac:dyDescent="0.25">
      <c r="AH350" s="13">
        <v>3600</v>
      </c>
      <c r="AK350" s="13">
        <v>1860</v>
      </c>
      <c r="AL350" s="13">
        <v>0</v>
      </c>
    </row>
    <row r="351" spans="34:38" x14ac:dyDescent="0.25">
      <c r="AH351" s="13">
        <v>3610</v>
      </c>
      <c r="AK351" s="13">
        <v>1860</v>
      </c>
      <c r="AL351" s="13">
        <v>0</v>
      </c>
    </row>
    <row r="352" spans="34:38" x14ac:dyDescent="0.25">
      <c r="AH352" s="13">
        <v>3620</v>
      </c>
      <c r="AK352" s="13">
        <v>1870</v>
      </c>
      <c r="AL352" s="13">
        <v>0</v>
      </c>
    </row>
    <row r="353" spans="34:38" x14ac:dyDescent="0.25">
      <c r="AH353" s="13">
        <v>3630</v>
      </c>
      <c r="AK353" s="13">
        <v>1870</v>
      </c>
      <c r="AL353" s="13">
        <v>0</v>
      </c>
    </row>
    <row r="354" spans="34:38" x14ac:dyDescent="0.25">
      <c r="AH354" s="13">
        <v>3640</v>
      </c>
      <c r="AK354" s="13">
        <v>1880</v>
      </c>
      <c r="AL354" s="13">
        <v>0</v>
      </c>
    </row>
    <row r="355" spans="34:38" x14ac:dyDescent="0.25">
      <c r="AH355" s="13">
        <v>3650</v>
      </c>
      <c r="AK355" s="13">
        <v>1880</v>
      </c>
      <c r="AL355" s="13">
        <v>0</v>
      </c>
    </row>
    <row r="356" spans="34:38" x14ac:dyDescent="0.25">
      <c r="AH356" s="13">
        <v>3660</v>
      </c>
      <c r="AK356" s="13">
        <v>1890</v>
      </c>
      <c r="AL356" s="13">
        <v>0</v>
      </c>
    </row>
    <row r="357" spans="34:38" x14ac:dyDescent="0.25">
      <c r="AH357" s="13">
        <v>3670</v>
      </c>
      <c r="AK357" s="13">
        <v>1890</v>
      </c>
      <c r="AL357" s="13">
        <v>0</v>
      </c>
    </row>
    <row r="358" spans="34:38" x14ac:dyDescent="0.25">
      <c r="AH358" s="13">
        <v>3680</v>
      </c>
      <c r="AK358" s="13">
        <v>1900</v>
      </c>
      <c r="AL358" s="13">
        <v>0</v>
      </c>
    </row>
    <row r="359" spans="34:38" x14ac:dyDescent="0.25">
      <c r="AH359" s="13">
        <v>3690</v>
      </c>
      <c r="AK359" s="13">
        <v>1900</v>
      </c>
      <c r="AL359" s="13">
        <v>0</v>
      </c>
    </row>
    <row r="360" spans="34:38" x14ac:dyDescent="0.25">
      <c r="AH360" s="13">
        <v>3700</v>
      </c>
      <c r="AK360" s="13">
        <v>1910</v>
      </c>
      <c r="AL360" s="13">
        <v>0</v>
      </c>
    </row>
    <row r="361" spans="34:38" x14ac:dyDescent="0.25">
      <c r="AH361" s="13">
        <v>3710</v>
      </c>
      <c r="AK361" s="13">
        <v>1910</v>
      </c>
      <c r="AL361" s="13">
        <v>0</v>
      </c>
    </row>
    <row r="362" spans="34:38" x14ac:dyDescent="0.25">
      <c r="AH362" s="13">
        <v>3720</v>
      </c>
      <c r="AK362" s="13">
        <v>1920</v>
      </c>
      <c r="AL362" s="13">
        <v>0</v>
      </c>
    </row>
    <row r="363" spans="34:38" x14ac:dyDescent="0.25">
      <c r="AH363" s="13">
        <v>3730</v>
      </c>
      <c r="AK363" s="13">
        <v>1920</v>
      </c>
      <c r="AL363" s="13">
        <v>0</v>
      </c>
    </row>
    <row r="364" spans="34:38" x14ac:dyDescent="0.25">
      <c r="AH364" s="13">
        <v>3740</v>
      </c>
      <c r="AK364" s="13">
        <v>1930</v>
      </c>
      <c r="AL364" s="13">
        <v>0</v>
      </c>
    </row>
    <row r="365" spans="34:38" x14ac:dyDescent="0.25">
      <c r="AH365" s="13">
        <v>3750</v>
      </c>
      <c r="AK365" s="13">
        <v>1930</v>
      </c>
      <c r="AL365" s="13">
        <v>0</v>
      </c>
    </row>
    <row r="366" spans="34:38" x14ac:dyDescent="0.25">
      <c r="AH366" s="13">
        <v>3760</v>
      </c>
      <c r="AK366" s="13">
        <v>1940</v>
      </c>
      <c r="AL366" s="13">
        <v>0</v>
      </c>
    </row>
    <row r="367" spans="34:38" x14ac:dyDescent="0.25">
      <c r="AH367" s="13">
        <v>3770</v>
      </c>
      <c r="AK367" s="13">
        <v>1940</v>
      </c>
      <c r="AL367" s="13">
        <v>0</v>
      </c>
    </row>
    <row r="368" spans="34:38" x14ac:dyDescent="0.25">
      <c r="AH368" s="13">
        <v>3780</v>
      </c>
      <c r="AK368" s="13">
        <v>1950</v>
      </c>
      <c r="AL368" s="13">
        <v>0</v>
      </c>
    </row>
    <row r="369" spans="34:38" x14ac:dyDescent="0.25">
      <c r="AH369" s="13">
        <v>3790</v>
      </c>
      <c r="AK369" s="13">
        <v>1950</v>
      </c>
      <c r="AL369" s="13">
        <v>0</v>
      </c>
    </row>
    <row r="370" spans="34:38" x14ac:dyDescent="0.25">
      <c r="AH370" s="13">
        <v>3800</v>
      </c>
      <c r="AK370" s="13">
        <v>1960</v>
      </c>
      <c r="AL370" s="13">
        <v>0</v>
      </c>
    </row>
    <row r="371" spans="34:38" x14ac:dyDescent="0.25">
      <c r="AH371" s="13">
        <v>3810</v>
      </c>
      <c r="AK371" s="13">
        <v>1960</v>
      </c>
      <c r="AL371" s="13">
        <v>0</v>
      </c>
    </row>
    <row r="372" spans="34:38" x14ac:dyDescent="0.25">
      <c r="AH372" s="13">
        <v>3820</v>
      </c>
      <c r="AK372" s="13">
        <v>1970</v>
      </c>
      <c r="AL372" s="13">
        <v>0</v>
      </c>
    </row>
    <row r="373" spans="34:38" x14ac:dyDescent="0.25">
      <c r="AH373" s="13">
        <v>3830</v>
      </c>
      <c r="AK373" s="13">
        <v>1970</v>
      </c>
      <c r="AL373" s="13">
        <v>0</v>
      </c>
    </row>
    <row r="374" spans="34:38" x14ac:dyDescent="0.25">
      <c r="AH374" s="13">
        <v>3840</v>
      </c>
      <c r="AK374" s="13">
        <v>1980</v>
      </c>
      <c r="AL374" s="13">
        <v>0</v>
      </c>
    </row>
    <row r="375" spans="34:38" x14ac:dyDescent="0.25">
      <c r="AH375" s="13">
        <v>3850</v>
      </c>
      <c r="AK375" s="13">
        <v>1980</v>
      </c>
      <c r="AL375" s="13">
        <v>0</v>
      </c>
    </row>
    <row r="376" spans="34:38" x14ac:dyDescent="0.25">
      <c r="AH376" s="13">
        <v>3860</v>
      </c>
      <c r="AK376" s="13">
        <v>1990</v>
      </c>
      <c r="AL376" s="13">
        <v>0</v>
      </c>
    </row>
    <row r="377" spans="34:38" x14ac:dyDescent="0.25">
      <c r="AH377" s="13">
        <v>3870</v>
      </c>
      <c r="AK377" s="13">
        <v>1990</v>
      </c>
      <c r="AL377" s="13">
        <v>0</v>
      </c>
    </row>
    <row r="378" spans="34:38" x14ac:dyDescent="0.25">
      <c r="AH378" s="13">
        <v>3880</v>
      </c>
      <c r="AK378" s="13">
        <v>2000</v>
      </c>
      <c r="AL378" s="13">
        <v>0</v>
      </c>
    </row>
    <row r="379" spans="34:38" x14ac:dyDescent="0.25">
      <c r="AH379" s="13">
        <v>3890</v>
      </c>
      <c r="AK379" s="13">
        <v>2000</v>
      </c>
      <c r="AL379" s="13">
        <v>0</v>
      </c>
    </row>
    <row r="380" spans="34:38" x14ac:dyDescent="0.25">
      <c r="AH380" s="13">
        <v>3900</v>
      </c>
      <c r="AK380" s="13">
        <v>2010</v>
      </c>
      <c r="AL380" s="13">
        <v>0</v>
      </c>
    </row>
    <row r="381" spans="34:38" x14ac:dyDescent="0.25">
      <c r="AH381" s="13">
        <v>3910</v>
      </c>
      <c r="AK381" s="13">
        <v>2010</v>
      </c>
      <c r="AL381" s="13">
        <v>0</v>
      </c>
    </row>
    <row r="382" spans="34:38" x14ac:dyDescent="0.25">
      <c r="AH382" s="13">
        <v>3920</v>
      </c>
      <c r="AK382" s="13">
        <v>2020</v>
      </c>
      <c r="AL382" s="13">
        <v>0</v>
      </c>
    </row>
    <row r="383" spans="34:38" x14ac:dyDescent="0.25">
      <c r="AH383" s="13">
        <v>3930</v>
      </c>
      <c r="AK383" s="13">
        <v>2020</v>
      </c>
      <c r="AL383" s="13">
        <v>0</v>
      </c>
    </row>
    <row r="384" spans="34:38" x14ac:dyDescent="0.25">
      <c r="AH384" s="13">
        <v>3940</v>
      </c>
      <c r="AK384" s="13">
        <v>2030</v>
      </c>
      <c r="AL384" s="13">
        <v>0</v>
      </c>
    </row>
    <row r="385" spans="34:38" x14ac:dyDescent="0.25">
      <c r="AH385" s="13">
        <v>3950</v>
      </c>
      <c r="AK385" s="13">
        <v>2030</v>
      </c>
      <c r="AL385" s="13">
        <v>0</v>
      </c>
    </row>
    <row r="386" spans="34:38" x14ac:dyDescent="0.25">
      <c r="AH386" s="13">
        <v>3960</v>
      </c>
      <c r="AK386" s="13">
        <v>2040</v>
      </c>
      <c r="AL386" s="13">
        <v>0</v>
      </c>
    </row>
    <row r="387" spans="34:38" x14ac:dyDescent="0.25">
      <c r="AH387" s="13">
        <v>3970</v>
      </c>
      <c r="AK387" s="13">
        <v>2040</v>
      </c>
      <c r="AL387" s="13">
        <v>0</v>
      </c>
    </row>
    <row r="388" spans="34:38" x14ac:dyDescent="0.25">
      <c r="AH388" s="13">
        <v>3980</v>
      </c>
      <c r="AK388" s="13">
        <v>2050</v>
      </c>
      <c r="AL388" s="13">
        <v>0</v>
      </c>
    </row>
    <row r="389" spans="34:38" x14ac:dyDescent="0.25">
      <c r="AH389" s="13">
        <v>3990</v>
      </c>
      <c r="AK389" s="13">
        <v>2050</v>
      </c>
      <c r="AL389" s="13">
        <v>0</v>
      </c>
    </row>
    <row r="390" spans="34:38" x14ac:dyDescent="0.25">
      <c r="AH390" s="13">
        <v>4000</v>
      </c>
      <c r="AK390" s="13">
        <v>2060</v>
      </c>
      <c r="AL390" s="13">
        <v>0</v>
      </c>
    </row>
    <row r="391" spans="34:38" x14ac:dyDescent="0.25">
      <c r="AH391" s="13">
        <v>4010</v>
      </c>
      <c r="AK391" s="13">
        <v>2060</v>
      </c>
      <c r="AL391" s="13">
        <v>0</v>
      </c>
    </row>
    <row r="392" spans="34:38" x14ac:dyDescent="0.25">
      <c r="AH392" s="13">
        <v>4020</v>
      </c>
      <c r="AK392" s="13">
        <v>2070</v>
      </c>
      <c r="AL392" s="13">
        <v>0</v>
      </c>
    </row>
    <row r="393" spans="34:38" x14ac:dyDescent="0.25">
      <c r="AH393" s="13">
        <v>4030</v>
      </c>
      <c r="AK393" s="13">
        <v>2070</v>
      </c>
      <c r="AL393" s="13">
        <v>0</v>
      </c>
    </row>
    <row r="394" spans="34:38" x14ac:dyDescent="0.25">
      <c r="AH394" s="13">
        <v>4040</v>
      </c>
      <c r="AK394" s="13">
        <v>2080</v>
      </c>
      <c r="AL394" s="13">
        <v>0</v>
      </c>
    </row>
    <row r="395" spans="34:38" x14ac:dyDescent="0.25">
      <c r="AH395" s="13">
        <v>4050</v>
      </c>
      <c r="AK395" s="13">
        <v>2080</v>
      </c>
      <c r="AL395" s="13">
        <v>0</v>
      </c>
    </row>
    <row r="396" spans="34:38" x14ac:dyDescent="0.25">
      <c r="AH396" s="13">
        <v>4060</v>
      </c>
      <c r="AK396" s="13">
        <v>2090</v>
      </c>
      <c r="AL396" s="13">
        <v>0</v>
      </c>
    </row>
    <row r="397" spans="34:38" x14ac:dyDescent="0.25">
      <c r="AH397" s="13">
        <v>4070</v>
      </c>
      <c r="AK397" s="13">
        <v>2090</v>
      </c>
      <c r="AL397" s="13">
        <v>0</v>
      </c>
    </row>
    <row r="398" spans="34:38" x14ac:dyDescent="0.25">
      <c r="AH398" s="13">
        <v>4080</v>
      </c>
      <c r="AK398" s="13">
        <v>2100</v>
      </c>
      <c r="AL398" s="13">
        <v>0</v>
      </c>
    </row>
    <row r="399" spans="34:38" x14ac:dyDescent="0.25">
      <c r="AH399" s="13">
        <v>4090</v>
      </c>
      <c r="AK399" s="13">
        <v>2100</v>
      </c>
      <c r="AL399" s="13">
        <v>0</v>
      </c>
    </row>
    <row r="400" spans="34:38" x14ac:dyDescent="0.25">
      <c r="AH400" s="13">
        <v>4100</v>
      </c>
      <c r="AK400" s="13">
        <v>2110</v>
      </c>
      <c r="AL400" s="13">
        <v>0</v>
      </c>
    </row>
    <row r="401" spans="34:38" x14ac:dyDescent="0.25">
      <c r="AH401" s="13">
        <v>4110</v>
      </c>
      <c r="AK401" s="13">
        <v>2110</v>
      </c>
      <c r="AL401" s="13">
        <v>0</v>
      </c>
    </row>
    <row r="402" spans="34:38" x14ac:dyDescent="0.25">
      <c r="AH402" s="13">
        <v>4120</v>
      </c>
      <c r="AK402" s="13">
        <v>2120</v>
      </c>
      <c r="AL402" s="13">
        <v>0</v>
      </c>
    </row>
    <row r="403" spans="34:38" x14ac:dyDescent="0.25">
      <c r="AH403" s="13">
        <v>4130</v>
      </c>
      <c r="AK403" s="13">
        <v>2120</v>
      </c>
      <c r="AL403" s="13">
        <v>0</v>
      </c>
    </row>
    <row r="404" spans="34:38" x14ac:dyDescent="0.25">
      <c r="AH404" s="13">
        <v>4140</v>
      </c>
      <c r="AK404" s="13">
        <v>2130</v>
      </c>
      <c r="AL404" s="13">
        <v>0</v>
      </c>
    </row>
    <row r="405" spans="34:38" x14ac:dyDescent="0.25">
      <c r="AH405" s="13">
        <v>4150</v>
      </c>
      <c r="AK405" s="13">
        <v>2130</v>
      </c>
      <c r="AL405" s="13">
        <v>0</v>
      </c>
    </row>
    <row r="406" spans="34:38" x14ac:dyDescent="0.25">
      <c r="AH406" s="13">
        <v>4160</v>
      </c>
      <c r="AK406" s="13">
        <v>2140</v>
      </c>
      <c r="AL406" s="13">
        <v>0</v>
      </c>
    </row>
    <row r="407" spans="34:38" x14ac:dyDescent="0.25">
      <c r="AH407" s="13">
        <v>4170</v>
      </c>
      <c r="AK407" s="13">
        <v>2140</v>
      </c>
      <c r="AL407" s="13">
        <v>0</v>
      </c>
    </row>
    <row r="408" spans="34:38" x14ac:dyDescent="0.25">
      <c r="AH408" s="13">
        <v>4180</v>
      </c>
      <c r="AK408" s="13">
        <v>2150</v>
      </c>
      <c r="AL408" s="13">
        <v>0</v>
      </c>
    </row>
    <row r="409" spans="34:38" x14ac:dyDescent="0.25">
      <c r="AH409" s="13">
        <v>4190</v>
      </c>
      <c r="AK409" s="13">
        <v>2150</v>
      </c>
      <c r="AL409" s="13">
        <v>0</v>
      </c>
    </row>
    <row r="410" spans="34:38" x14ac:dyDescent="0.25">
      <c r="AH410" s="13">
        <v>4200</v>
      </c>
      <c r="AK410" s="13">
        <v>2160</v>
      </c>
      <c r="AL410" s="13">
        <v>0</v>
      </c>
    </row>
    <row r="411" spans="34:38" x14ac:dyDescent="0.25">
      <c r="AH411" s="13">
        <v>4210</v>
      </c>
      <c r="AK411" s="13">
        <v>2160</v>
      </c>
      <c r="AL411" s="13">
        <v>0</v>
      </c>
    </row>
    <row r="412" spans="34:38" x14ac:dyDescent="0.25">
      <c r="AH412" s="13">
        <v>4220</v>
      </c>
      <c r="AK412" s="13">
        <v>2170</v>
      </c>
      <c r="AL412" s="13">
        <v>0</v>
      </c>
    </row>
    <row r="413" spans="34:38" x14ac:dyDescent="0.25">
      <c r="AH413" s="13">
        <v>4230</v>
      </c>
      <c r="AK413" s="13">
        <v>2170</v>
      </c>
      <c r="AL413" s="13">
        <v>0</v>
      </c>
    </row>
    <row r="414" spans="34:38" x14ac:dyDescent="0.25">
      <c r="AH414" s="13">
        <v>4240</v>
      </c>
      <c r="AK414" s="13">
        <v>2180</v>
      </c>
      <c r="AL414" s="13">
        <v>0</v>
      </c>
    </row>
    <row r="415" spans="34:38" x14ac:dyDescent="0.25">
      <c r="AK415" s="13">
        <v>2180</v>
      </c>
      <c r="AL415" s="13">
        <v>0</v>
      </c>
    </row>
    <row r="416" spans="34:38" x14ac:dyDescent="0.25">
      <c r="AK416" s="13">
        <v>2190</v>
      </c>
      <c r="AL416" s="13">
        <v>0</v>
      </c>
    </row>
    <row r="417" spans="37:38" x14ac:dyDescent="0.25">
      <c r="AK417" s="13">
        <v>2190</v>
      </c>
      <c r="AL417" s="13">
        <v>0</v>
      </c>
    </row>
    <row r="418" spans="37:38" x14ac:dyDescent="0.25">
      <c r="AK418" s="13">
        <v>2200</v>
      </c>
      <c r="AL418" s="13">
        <v>0</v>
      </c>
    </row>
    <row r="419" spans="37:38" x14ac:dyDescent="0.25">
      <c r="AK419" s="13">
        <v>2200</v>
      </c>
      <c r="AL419" s="13">
        <v>0</v>
      </c>
    </row>
    <row r="420" spans="37:38" x14ac:dyDescent="0.25">
      <c r="AK420" s="13">
        <v>2210</v>
      </c>
      <c r="AL420" s="13">
        <v>0</v>
      </c>
    </row>
    <row r="421" spans="37:38" x14ac:dyDescent="0.25">
      <c r="AK421" s="13">
        <v>2210</v>
      </c>
      <c r="AL421" s="13">
        <v>0</v>
      </c>
    </row>
    <row r="422" spans="37:38" x14ac:dyDescent="0.25">
      <c r="AK422" s="13">
        <v>2220</v>
      </c>
      <c r="AL422" s="13">
        <v>0</v>
      </c>
    </row>
    <row r="423" spans="37:38" x14ac:dyDescent="0.25">
      <c r="AK423" s="13">
        <v>2220</v>
      </c>
      <c r="AL423" s="13">
        <v>0</v>
      </c>
    </row>
    <row r="424" spans="37:38" x14ac:dyDescent="0.25">
      <c r="AK424" s="13">
        <v>2230</v>
      </c>
      <c r="AL424" s="13">
        <v>0</v>
      </c>
    </row>
    <row r="425" spans="37:38" x14ac:dyDescent="0.25">
      <c r="AK425" s="13">
        <v>2230</v>
      </c>
      <c r="AL425" s="13">
        <v>0</v>
      </c>
    </row>
    <row r="426" spans="37:38" x14ac:dyDescent="0.25">
      <c r="AK426" s="13">
        <v>2240</v>
      </c>
      <c r="AL426" s="13">
        <v>0</v>
      </c>
    </row>
    <row r="427" spans="37:38" x14ac:dyDescent="0.25">
      <c r="AK427" s="13">
        <v>2240</v>
      </c>
      <c r="AL427" s="13">
        <v>0</v>
      </c>
    </row>
    <row r="428" spans="37:38" x14ac:dyDescent="0.25">
      <c r="AK428" s="13">
        <v>2250</v>
      </c>
      <c r="AL428" s="13">
        <v>0</v>
      </c>
    </row>
    <row r="429" spans="37:38" x14ac:dyDescent="0.25">
      <c r="AK429" s="13">
        <v>2250</v>
      </c>
      <c r="AL429" s="13">
        <v>0</v>
      </c>
    </row>
    <row r="430" spans="37:38" x14ac:dyDescent="0.25">
      <c r="AK430" s="13">
        <v>2260</v>
      </c>
      <c r="AL430" s="13">
        <v>0</v>
      </c>
    </row>
    <row r="431" spans="37:38" x14ac:dyDescent="0.25">
      <c r="AK431" s="13">
        <v>2260</v>
      </c>
      <c r="AL431" s="13">
        <v>0</v>
      </c>
    </row>
    <row r="432" spans="37:38" x14ac:dyDescent="0.25">
      <c r="AK432" s="13">
        <v>2270</v>
      </c>
      <c r="AL432" s="13">
        <v>0</v>
      </c>
    </row>
    <row r="433" spans="37:38" x14ac:dyDescent="0.25">
      <c r="AK433" s="13">
        <v>2270</v>
      </c>
      <c r="AL433" s="13">
        <v>0</v>
      </c>
    </row>
    <row r="434" spans="37:38" x14ac:dyDescent="0.25">
      <c r="AK434" s="13">
        <v>2280</v>
      </c>
      <c r="AL434" s="13">
        <v>0</v>
      </c>
    </row>
    <row r="435" spans="37:38" x14ac:dyDescent="0.25">
      <c r="AK435" s="13">
        <v>2280</v>
      </c>
      <c r="AL435" s="13">
        <v>0</v>
      </c>
    </row>
    <row r="436" spans="37:38" x14ac:dyDescent="0.25">
      <c r="AK436" s="13">
        <v>2290</v>
      </c>
      <c r="AL436" s="13">
        <v>0</v>
      </c>
    </row>
    <row r="437" spans="37:38" x14ac:dyDescent="0.25">
      <c r="AK437" s="13">
        <v>2290</v>
      </c>
      <c r="AL437" s="13">
        <v>0</v>
      </c>
    </row>
    <row r="438" spans="37:38" x14ac:dyDescent="0.25">
      <c r="AK438" s="13">
        <v>2300</v>
      </c>
      <c r="AL438" s="13">
        <v>0</v>
      </c>
    </row>
    <row r="439" spans="37:38" x14ac:dyDescent="0.25">
      <c r="AK439" s="13">
        <v>2300</v>
      </c>
      <c r="AL439" s="13">
        <v>0</v>
      </c>
    </row>
    <row r="440" spans="37:38" x14ac:dyDescent="0.25">
      <c r="AK440" s="13">
        <v>2310</v>
      </c>
      <c r="AL440" s="13">
        <v>0</v>
      </c>
    </row>
    <row r="441" spans="37:38" x14ac:dyDescent="0.25">
      <c r="AK441" s="13">
        <v>2310</v>
      </c>
      <c r="AL441" s="13">
        <v>0</v>
      </c>
    </row>
    <row r="442" spans="37:38" x14ac:dyDescent="0.25">
      <c r="AK442" s="13">
        <v>2320</v>
      </c>
      <c r="AL442" s="13">
        <v>0</v>
      </c>
    </row>
    <row r="443" spans="37:38" x14ac:dyDescent="0.25">
      <c r="AK443" s="13">
        <v>2320</v>
      </c>
      <c r="AL443" s="13">
        <v>0</v>
      </c>
    </row>
    <row r="444" spans="37:38" x14ac:dyDescent="0.25">
      <c r="AK444" s="13">
        <v>2330</v>
      </c>
      <c r="AL444" s="13">
        <v>0</v>
      </c>
    </row>
    <row r="445" spans="37:38" x14ac:dyDescent="0.25">
      <c r="AK445" s="13">
        <v>2330</v>
      </c>
      <c r="AL445" s="13">
        <v>0</v>
      </c>
    </row>
    <row r="446" spans="37:38" x14ac:dyDescent="0.25">
      <c r="AK446" s="13">
        <v>2340</v>
      </c>
      <c r="AL446" s="13">
        <v>0</v>
      </c>
    </row>
    <row r="447" spans="37:38" x14ac:dyDescent="0.25">
      <c r="AK447" s="13">
        <v>2340</v>
      </c>
      <c r="AL447" s="13">
        <v>0</v>
      </c>
    </row>
    <row r="448" spans="37:38" x14ac:dyDescent="0.25">
      <c r="AK448" s="13">
        <v>2350</v>
      </c>
      <c r="AL448" s="13">
        <v>0</v>
      </c>
    </row>
    <row r="449" spans="37:38" x14ac:dyDescent="0.25">
      <c r="AK449" s="13">
        <v>2350</v>
      </c>
      <c r="AL449" s="13">
        <v>0</v>
      </c>
    </row>
    <row r="450" spans="37:38" x14ac:dyDescent="0.25">
      <c r="AK450" s="13">
        <v>2360</v>
      </c>
      <c r="AL450" s="13">
        <v>0</v>
      </c>
    </row>
    <row r="451" spans="37:38" x14ac:dyDescent="0.25">
      <c r="AK451" s="13">
        <v>2360</v>
      </c>
      <c r="AL451" s="13">
        <v>0</v>
      </c>
    </row>
    <row r="452" spans="37:38" x14ac:dyDescent="0.25">
      <c r="AK452" s="13">
        <v>2370</v>
      </c>
      <c r="AL452" s="13">
        <v>0</v>
      </c>
    </row>
    <row r="453" spans="37:38" x14ac:dyDescent="0.25">
      <c r="AK453" s="13">
        <v>2370</v>
      </c>
      <c r="AL453" s="13">
        <v>0</v>
      </c>
    </row>
    <row r="454" spans="37:38" x14ac:dyDescent="0.25">
      <c r="AK454" s="13">
        <v>2380</v>
      </c>
      <c r="AL454" s="13">
        <v>0</v>
      </c>
    </row>
    <row r="455" spans="37:38" x14ac:dyDescent="0.25">
      <c r="AK455" s="13">
        <v>2380</v>
      </c>
      <c r="AL455" s="13">
        <v>0</v>
      </c>
    </row>
    <row r="456" spans="37:38" x14ac:dyDescent="0.25">
      <c r="AK456" s="13">
        <v>2390</v>
      </c>
      <c r="AL456" s="13">
        <v>0</v>
      </c>
    </row>
    <row r="457" spans="37:38" x14ac:dyDescent="0.25">
      <c r="AK457" s="13">
        <v>2390</v>
      </c>
      <c r="AL457" s="13">
        <v>0</v>
      </c>
    </row>
    <row r="458" spans="37:38" x14ac:dyDescent="0.25">
      <c r="AK458" s="13">
        <v>2400</v>
      </c>
      <c r="AL458" s="13">
        <v>0</v>
      </c>
    </row>
    <row r="459" spans="37:38" x14ac:dyDescent="0.25">
      <c r="AK459" s="13">
        <v>2400</v>
      </c>
      <c r="AL459" s="13">
        <v>0</v>
      </c>
    </row>
    <row r="460" spans="37:38" x14ac:dyDescent="0.25">
      <c r="AK460" s="13">
        <v>2410</v>
      </c>
      <c r="AL460" s="13">
        <v>0</v>
      </c>
    </row>
    <row r="461" spans="37:38" x14ac:dyDescent="0.25">
      <c r="AK461" s="13">
        <v>2410</v>
      </c>
      <c r="AL461" s="13">
        <v>0</v>
      </c>
    </row>
    <row r="462" spans="37:38" x14ac:dyDescent="0.25">
      <c r="AK462" s="13">
        <v>2420</v>
      </c>
      <c r="AL462" s="13">
        <v>0</v>
      </c>
    </row>
    <row r="463" spans="37:38" x14ac:dyDescent="0.25">
      <c r="AK463" s="13">
        <v>2420</v>
      </c>
      <c r="AL463" s="13">
        <v>0</v>
      </c>
    </row>
    <row r="464" spans="37:38" x14ac:dyDescent="0.25">
      <c r="AK464" s="13">
        <v>2430</v>
      </c>
      <c r="AL464" s="13">
        <v>0</v>
      </c>
    </row>
    <row r="465" spans="37:38" x14ac:dyDescent="0.25">
      <c r="AK465" s="13">
        <v>2430</v>
      </c>
      <c r="AL465" s="13">
        <v>0</v>
      </c>
    </row>
    <row r="466" spans="37:38" x14ac:dyDescent="0.25">
      <c r="AK466" s="13">
        <v>2440</v>
      </c>
      <c r="AL466" s="13">
        <v>0</v>
      </c>
    </row>
    <row r="467" spans="37:38" x14ac:dyDescent="0.25">
      <c r="AK467" s="13">
        <v>2440</v>
      </c>
      <c r="AL467" s="13">
        <v>0</v>
      </c>
    </row>
    <row r="468" spans="37:38" x14ac:dyDescent="0.25">
      <c r="AK468" s="13">
        <v>2450</v>
      </c>
      <c r="AL468" s="13">
        <v>0</v>
      </c>
    </row>
    <row r="469" spans="37:38" x14ac:dyDescent="0.25">
      <c r="AK469" s="13">
        <v>2450</v>
      </c>
      <c r="AL469" s="13">
        <v>0</v>
      </c>
    </row>
    <row r="470" spans="37:38" x14ac:dyDescent="0.25">
      <c r="AK470" s="13">
        <v>2460</v>
      </c>
      <c r="AL470" s="13">
        <v>0</v>
      </c>
    </row>
    <row r="471" spans="37:38" x14ac:dyDescent="0.25">
      <c r="AK471" s="13">
        <v>2460</v>
      </c>
      <c r="AL471" s="13">
        <v>0</v>
      </c>
    </row>
    <row r="472" spans="37:38" x14ac:dyDescent="0.25">
      <c r="AK472" s="13">
        <v>2470</v>
      </c>
      <c r="AL472" s="13">
        <v>0</v>
      </c>
    </row>
    <row r="473" spans="37:38" x14ac:dyDescent="0.25">
      <c r="AK473" s="13">
        <v>2470</v>
      </c>
      <c r="AL473" s="13">
        <v>0</v>
      </c>
    </row>
    <row r="474" spans="37:38" x14ac:dyDescent="0.25">
      <c r="AK474" s="13">
        <v>2480</v>
      </c>
      <c r="AL474" s="13">
        <v>0</v>
      </c>
    </row>
    <row r="475" spans="37:38" x14ac:dyDescent="0.25">
      <c r="AK475" s="13">
        <v>2480</v>
      </c>
      <c r="AL475" s="13">
        <v>0</v>
      </c>
    </row>
    <row r="476" spans="37:38" x14ac:dyDescent="0.25">
      <c r="AK476" s="13">
        <v>2490</v>
      </c>
      <c r="AL476" s="13">
        <v>0</v>
      </c>
    </row>
    <row r="477" spans="37:38" x14ac:dyDescent="0.25">
      <c r="AK477" s="13">
        <v>2490</v>
      </c>
      <c r="AL477" s="13">
        <v>0</v>
      </c>
    </row>
    <row r="478" spans="37:38" x14ac:dyDescent="0.25">
      <c r="AK478" s="13">
        <v>2500</v>
      </c>
      <c r="AL478" s="13">
        <v>0</v>
      </c>
    </row>
    <row r="479" spans="37:38" x14ac:dyDescent="0.25">
      <c r="AK479" s="13">
        <v>2500</v>
      </c>
      <c r="AL479" s="13">
        <v>0</v>
      </c>
    </row>
    <row r="480" spans="37:38" x14ac:dyDescent="0.25">
      <c r="AK480" s="13">
        <v>2510</v>
      </c>
      <c r="AL480" s="13">
        <v>0</v>
      </c>
    </row>
    <row r="481" spans="37:38" x14ac:dyDescent="0.25">
      <c r="AK481" s="13">
        <v>2510</v>
      </c>
      <c r="AL481" s="13">
        <v>0</v>
      </c>
    </row>
    <row r="482" spans="37:38" x14ac:dyDescent="0.25">
      <c r="AK482" s="13">
        <v>2520</v>
      </c>
      <c r="AL482" s="13">
        <v>0</v>
      </c>
    </row>
    <row r="483" spans="37:38" x14ac:dyDescent="0.25">
      <c r="AK483" s="13">
        <v>2520</v>
      </c>
      <c r="AL483" s="13">
        <v>0</v>
      </c>
    </row>
    <row r="484" spans="37:38" x14ac:dyDescent="0.25">
      <c r="AK484" s="13">
        <v>2530</v>
      </c>
      <c r="AL484" s="13">
        <v>0</v>
      </c>
    </row>
    <row r="485" spans="37:38" x14ac:dyDescent="0.25">
      <c r="AK485" s="13">
        <v>2530</v>
      </c>
      <c r="AL485" s="13">
        <v>0</v>
      </c>
    </row>
    <row r="486" spans="37:38" x14ac:dyDescent="0.25">
      <c r="AK486" s="13">
        <v>2540</v>
      </c>
      <c r="AL486" s="13">
        <v>0</v>
      </c>
    </row>
    <row r="487" spans="37:38" x14ac:dyDescent="0.25">
      <c r="AK487" s="13">
        <v>2540</v>
      </c>
      <c r="AL487" s="13">
        <v>0</v>
      </c>
    </row>
    <row r="488" spans="37:38" x14ac:dyDescent="0.25">
      <c r="AK488" s="13">
        <v>2550</v>
      </c>
      <c r="AL488" s="13">
        <v>0</v>
      </c>
    </row>
    <row r="489" spans="37:38" x14ac:dyDescent="0.25">
      <c r="AK489" s="13">
        <v>2550</v>
      </c>
      <c r="AL489" s="13">
        <v>0</v>
      </c>
    </row>
    <row r="490" spans="37:38" x14ac:dyDescent="0.25">
      <c r="AK490" s="13">
        <v>2560</v>
      </c>
      <c r="AL490" s="13">
        <v>0</v>
      </c>
    </row>
    <row r="491" spans="37:38" x14ac:dyDescent="0.25">
      <c r="AK491" s="13">
        <v>2560</v>
      </c>
      <c r="AL491" s="13">
        <v>0</v>
      </c>
    </row>
    <row r="492" spans="37:38" x14ac:dyDescent="0.25">
      <c r="AK492" s="13">
        <v>2570</v>
      </c>
      <c r="AL492" s="13">
        <v>0</v>
      </c>
    </row>
    <row r="493" spans="37:38" x14ac:dyDescent="0.25">
      <c r="AK493" s="13">
        <v>2570</v>
      </c>
      <c r="AL493" s="13">
        <v>0</v>
      </c>
    </row>
    <row r="494" spans="37:38" x14ac:dyDescent="0.25">
      <c r="AK494" s="13">
        <v>2580</v>
      </c>
      <c r="AL494" s="13">
        <v>0</v>
      </c>
    </row>
    <row r="495" spans="37:38" x14ac:dyDescent="0.25">
      <c r="AK495" s="13">
        <v>2580</v>
      </c>
      <c r="AL495" s="13">
        <v>0</v>
      </c>
    </row>
    <row r="496" spans="37:38" x14ac:dyDescent="0.25">
      <c r="AK496" s="13">
        <v>2590</v>
      </c>
      <c r="AL496" s="13">
        <v>0</v>
      </c>
    </row>
    <row r="497" spans="37:38" x14ac:dyDescent="0.25">
      <c r="AK497" s="13">
        <v>2590</v>
      </c>
      <c r="AL497" s="13">
        <v>0</v>
      </c>
    </row>
    <row r="498" spans="37:38" x14ac:dyDescent="0.25">
      <c r="AK498" s="13">
        <v>2600</v>
      </c>
      <c r="AL498" s="13">
        <v>0</v>
      </c>
    </row>
    <row r="499" spans="37:38" x14ac:dyDescent="0.25">
      <c r="AK499" s="13">
        <v>2600</v>
      </c>
      <c r="AL499" s="13">
        <v>0</v>
      </c>
    </row>
    <row r="500" spans="37:38" x14ac:dyDescent="0.25">
      <c r="AK500" s="13">
        <v>2610</v>
      </c>
      <c r="AL500" s="13">
        <v>0</v>
      </c>
    </row>
    <row r="501" spans="37:38" x14ac:dyDescent="0.25">
      <c r="AK501" s="13">
        <v>2610</v>
      </c>
      <c r="AL501" s="13">
        <v>0</v>
      </c>
    </row>
    <row r="502" spans="37:38" x14ac:dyDescent="0.25">
      <c r="AK502" s="13">
        <v>2620</v>
      </c>
      <c r="AL502" s="13">
        <v>0</v>
      </c>
    </row>
    <row r="503" spans="37:38" x14ac:dyDescent="0.25">
      <c r="AK503" s="13">
        <v>2620</v>
      </c>
      <c r="AL503" s="13">
        <v>0</v>
      </c>
    </row>
    <row r="504" spans="37:38" x14ac:dyDescent="0.25">
      <c r="AK504" s="13">
        <v>2630</v>
      </c>
      <c r="AL504" s="13">
        <v>0</v>
      </c>
    </row>
    <row r="505" spans="37:38" x14ac:dyDescent="0.25">
      <c r="AK505" s="13">
        <v>2630</v>
      </c>
      <c r="AL505" s="13">
        <v>0</v>
      </c>
    </row>
    <row r="506" spans="37:38" x14ac:dyDescent="0.25">
      <c r="AK506" s="13">
        <v>2640</v>
      </c>
      <c r="AL506" s="13">
        <v>0</v>
      </c>
    </row>
    <row r="507" spans="37:38" x14ac:dyDescent="0.25">
      <c r="AK507" s="13">
        <v>2640</v>
      </c>
      <c r="AL507" s="13">
        <v>0</v>
      </c>
    </row>
    <row r="508" spans="37:38" x14ac:dyDescent="0.25">
      <c r="AK508" s="13">
        <v>2650</v>
      </c>
      <c r="AL508" s="13">
        <v>0</v>
      </c>
    </row>
    <row r="509" spans="37:38" x14ac:dyDescent="0.25">
      <c r="AK509" s="13">
        <v>2650</v>
      </c>
      <c r="AL509" s="13">
        <v>0</v>
      </c>
    </row>
    <row r="510" spans="37:38" x14ac:dyDescent="0.25">
      <c r="AK510" s="13">
        <v>2660</v>
      </c>
      <c r="AL510" s="13">
        <v>0</v>
      </c>
    </row>
    <row r="511" spans="37:38" x14ac:dyDescent="0.25">
      <c r="AK511" s="13">
        <v>2660</v>
      </c>
      <c r="AL511" s="13">
        <v>0</v>
      </c>
    </row>
    <row r="512" spans="37:38" x14ac:dyDescent="0.25">
      <c r="AK512" s="13">
        <v>2670</v>
      </c>
      <c r="AL512" s="13">
        <v>0</v>
      </c>
    </row>
    <row r="513" spans="37:38" x14ac:dyDescent="0.25">
      <c r="AK513" s="13">
        <v>2670</v>
      </c>
      <c r="AL513" s="13">
        <v>0</v>
      </c>
    </row>
    <row r="514" spans="37:38" x14ac:dyDescent="0.25">
      <c r="AK514" s="13">
        <v>2680</v>
      </c>
      <c r="AL514" s="13">
        <v>0</v>
      </c>
    </row>
    <row r="515" spans="37:38" x14ac:dyDescent="0.25">
      <c r="AK515" s="13">
        <v>2680</v>
      </c>
      <c r="AL515" s="13">
        <v>0</v>
      </c>
    </row>
    <row r="516" spans="37:38" x14ac:dyDescent="0.25">
      <c r="AK516" s="13">
        <v>2690</v>
      </c>
      <c r="AL516" s="13">
        <v>0</v>
      </c>
    </row>
    <row r="517" spans="37:38" x14ac:dyDescent="0.25">
      <c r="AK517" s="13">
        <v>2690</v>
      </c>
      <c r="AL517" s="13">
        <v>0</v>
      </c>
    </row>
    <row r="518" spans="37:38" x14ac:dyDescent="0.25">
      <c r="AK518" s="13">
        <v>2700</v>
      </c>
      <c r="AL518" s="13">
        <v>0</v>
      </c>
    </row>
    <row r="519" spans="37:38" x14ac:dyDescent="0.25">
      <c r="AK519" s="13">
        <v>2700</v>
      </c>
      <c r="AL519" s="13">
        <v>0</v>
      </c>
    </row>
    <row r="520" spans="37:38" x14ac:dyDescent="0.25">
      <c r="AK520" s="13">
        <v>2710</v>
      </c>
      <c r="AL520" s="13">
        <v>0</v>
      </c>
    </row>
    <row r="521" spans="37:38" x14ac:dyDescent="0.25">
      <c r="AK521" s="13">
        <v>2710</v>
      </c>
      <c r="AL521" s="13">
        <v>0</v>
      </c>
    </row>
    <row r="522" spans="37:38" x14ac:dyDescent="0.25">
      <c r="AK522" s="13">
        <v>2720</v>
      </c>
      <c r="AL522" s="13">
        <v>0</v>
      </c>
    </row>
    <row r="523" spans="37:38" x14ac:dyDescent="0.25">
      <c r="AK523" s="13">
        <v>2720</v>
      </c>
      <c r="AL523" s="13">
        <v>0</v>
      </c>
    </row>
    <row r="524" spans="37:38" x14ac:dyDescent="0.25">
      <c r="AK524" s="13">
        <v>2730</v>
      </c>
      <c r="AL524" s="13">
        <v>0</v>
      </c>
    </row>
    <row r="525" spans="37:38" x14ac:dyDescent="0.25">
      <c r="AK525" s="13">
        <v>2730</v>
      </c>
      <c r="AL525" s="13">
        <v>0</v>
      </c>
    </row>
    <row r="526" spans="37:38" x14ac:dyDescent="0.25">
      <c r="AK526" s="13">
        <v>2740</v>
      </c>
      <c r="AL526" s="13">
        <v>0</v>
      </c>
    </row>
    <row r="527" spans="37:38" x14ac:dyDescent="0.25">
      <c r="AK527" s="13">
        <v>2740</v>
      </c>
      <c r="AL527" s="13">
        <v>0</v>
      </c>
    </row>
    <row r="528" spans="37:38" x14ac:dyDescent="0.25">
      <c r="AK528" s="13">
        <v>2750</v>
      </c>
      <c r="AL528" s="13">
        <v>0</v>
      </c>
    </row>
    <row r="529" spans="37:38" x14ac:dyDescent="0.25">
      <c r="AK529" s="13">
        <v>2750</v>
      </c>
      <c r="AL529" s="13">
        <v>0</v>
      </c>
    </row>
    <row r="530" spans="37:38" x14ac:dyDescent="0.25">
      <c r="AK530" s="13">
        <v>2760</v>
      </c>
      <c r="AL530" s="13">
        <v>0</v>
      </c>
    </row>
    <row r="531" spans="37:38" x14ac:dyDescent="0.25">
      <c r="AK531" s="13">
        <v>2760</v>
      </c>
      <c r="AL531" s="13">
        <v>0</v>
      </c>
    </row>
    <row r="532" spans="37:38" x14ac:dyDescent="0.25">
      <c r="AK532" s="13">
        <v>2770</v>
      </c>
      <c r="AL532" s="13">
        <v>0</v>
      </c>
    </row>
    <row r="533" spans="37:38" x14ac:dyDescent="0.25">
      <c r="AK533" s="13">
        <v>2770</v>
      </c>
      <c r="AL533" s="13">
        <v>0</v>
      </c>
    </row>
    <row r="534" spans="37:38" x14ac:dyDescent="0.25">
      <c r="AK534" s="13">
        <v>2780</v>
      </c>
      <c r="AL534" s="13">
        <v>0</v>
      </c>
    </row>
    <row r="535" spans="37:38" x14ac:dyDescent="0.25">
      <c r="AK535" s="13">
        <v>2780</v>
      </c>
      <c r="AL535" s="13">
        <v>0</v>
      </c>
    </row>
    <row r="536" spans="37:38" x14ac:dyDescent="0.25">
      <c r="AK536" s="13">
        <v>2790</v>
      </c>
      <c r="AL536" s="13">
        <v>0</v>
      </c>
    </row>
    <row r="537" spans="37:38" x14ac:dyDescent="0.25">
      <c r="AK537" s="13">
        <v>2790</v>
      </c>
      <c r="AL537" s="13">
        <v>0</v>
      </c>
    </row>
    <row r="538" spans="37:38" x14ac:dyDescent="0.25">
      <c r="AK538" s="13">
        <v>2800</v>
      </c>
      <c r="AL538" s="13">
        <v>0</v>
      </c>
    </row>
    <row r="539" spans="37:38" x14ac:dyDescent="0.25">
      <c r="AK539" s="13">
        <v>2800</v>
      </c>
      <c r="AL539" s="13">
        <v>0</v>
      </c>
    </row>
    <row r="540" spans="37:38" x14ac:dyDescent="0.25">
      <c r="AK540" s="13">
        <v>2810</v>
      </c>
      <c r="AL540" s="13">
        <v>0</v>
      </c>
    </row>
    <row r="541" spans="37:38" x14ac:dyDescent="0.25">
      <c r="AK541" s="13">
        <v>2810</v>
      </c>
      <c r="AL541" s="13">
        <v>0</v>
      </c>
    </row>
    <row r="542" spans="37:38" x14ac:dyDescent="0.25">
      <c r="AK542" s="13">
        <v>2820</v>
      </c>
      <c r="AL542" s="13">
        <v>0</v>
      </c>
    </row>
    <row r="543" spans="37:38" x14ac:dyDescent="0.25">
      <c r="AK543" s="13">
        <v>2820</v>
      </c>
      <c r="AL543" s="13">
        <v>0</v>
      </c>
    </row>
    <row r="544" spans="37:38" x14ac:dyDescent="0.25">
      <c r="AK544" s="13">
        <v>2830</v>
      </c>
      <c r="AL544" s="13">
        <v>0</v>
      </c>
    </row>
    <row r="545" spans="37:38" x14ac:dyDescent="0.25">
      <c r="AK545" s="13">
        <v>2830</v>
      </c>
      <c r="AL545" s="13">
        <v>0</v>
      </c>
    </row>
    <row r="546" spans="37:38" x14ac:dyDescent="0.25">
      <c r="AK546" s="13">
        <v>2840</v>
      </c>
      <c r="AL546" s="13">
        <v>0</v>
      </c>
    </row>
    <row r="547" spans="37:38" x14ac:dyDescent="0.25">
      <c r="AK547" s="13">
        <v>2840</v>
      </c>
      <c r="AL547" s="13">
        <v>0</v>
      </c>
    </row>
    <row r="548" spans="37:38" x14ac:dyDescent="0.25">
      <c r="AK548" s="13">
        <v>2850</v>
      </c>
      <c r="AL548" s="13">
        <v>0</v>
      </c>
    </row>
    <row r="549" spans="37:38" x14ac:dyDescent="0.25">
      <c r="AK549" s="13">
        <v>2850</v>
      </c>
      <c r="AL549" s="13">
        <v>0</v>
      </c>
    </row>
    <row r="550" spans="37:38" x14ac:dyDescent="0.25">
      <c r="AK550" s="13">
        <v>2860</v>
      </c>
      <c r="AL550" s="13">
        <v>0</v>
      </c>
    </row>
    <row r="551" spans="37:38" x14ac:dyDescent="0.25">
      <c r="AK551" s="13">
        <v>2860</v>
      </c>
      <c r="AL551" s="13">
        <v>0</v>
      </c>
    </row>
    <row r="552" spans="37:38" x14ac:dyDescent="0.25">
      <c r="AK552" s="13">
        <v>2870</v>
      </c>
      <c r="AL552" s="13">
        <v>0</v>
      </c>
    </row>
    <row r="553" spans="37:38" x14ac:dyDescent="0.25">
      <c r="AK553" s="13">
        <v>2870</v>
      </c>
      <c r="AL553" s="13">
        <v>0</v>
      </c>
    </row>
    <row r="554" spans="37:38" x14ac:dyDescent="0.25">
      <c r="AK554" s="13">
        <v>2880</v>
      </c>
      <c r="AL554" s="13">
        <v>0</v>
      </c>
    </row>
    <row r="555" spans="37:38" x14ac:dyDescent="0.25">
      <c r="AK555" s="13">
        <v>2880</v>
      </c>
      <c r="AL555" s="13">
        <v>0</v>
      </c>
    </row>
    <row r="556" spans="37:38" x14ac:dyDescent="0.25">
      <c r="AK556" s="13">
        <v>2890</v>
      </c>
      <c r="AL556" s="13">
        <v>0</v>
      </c>
    </row>
    <row r="557" spans="37:38" x14ac:dyDescent="0.25">
      <c r="AK557" s="13">
        <v>2890</v>
      </c>
      <c r="AL557" s="13">
        <v>0</v>
      </c>
    </row>
    <row r="558" spans="37:38" x14ac:dyDescent="0.25">
      <c r="AK558" s="13">
        <v>2900</v>
      </c>
      <c r="AL558" s="13">
        <v>0</v>
      </c>
    </row>
    <row r="559" spans="37:38" x14ac:dyDescent="0.25">
      <c r="AK559" s="13">
        <v>2900</v>
      </c>
      <c r="AL559" s="13">
        <v>0</v>
      </c>
    </row>
    <row r="560" spans="37:38" x14ac:dyDescent="0.25">
      <c r="AK560" s="13">
        <v>2910</v>
      </c>
      <c r="AL560" s="13">
        <v>0</v>
      </c>
    </row>
    <row r="561" spans="37:38" x14ac:dyDescent="0.25">
      <c r="AK561" s="13">
        <v>2910</v>
      </c>
      <c r="AL561" s="13">
        <v>0</v>
      </c>
    </row>
    <row r="562" spans="37:38" x14ac:dyDescent="0.25">
      <c r="AK562" s="13">
        <v>2920</v>
      </c>
      <c r="AL562" s="13">
        <v>0</v>
      </c>
    </row>
    <row r="563" spans="37:38" x14ac:dyDescent="0.25">
      <c r="AK563" s="13">
        <v>2920</v>
      </c>
      <c r="AL563" s="13">
        <v>0</v>
      </c>
    </row>
    <row r="564" spans="37:38" x14ac:dyDescent="0.25">
      <c r="AK564" s="13">
        <v>2930</v>
      </c>
      <c r="AL564" s="13">
        <v>0</v>
      </c>
    </row>
    <row r="565" spans="37:38" x14ac:dyDescent="0.25">
      <c r="AK565" s="13">
        <v>2930</v>
      </c>
      <c r="AL565" s="13">
        <v>0</v>
      </c>
    </row>
    <row r="566" spans="37:38" x14ac:dyDescent="0.25">
      <c r="AK566" s="13">
        <v>2940</v>
      </c>
      <c r="AL566" s="13">
        <v>0</v>
      </c>
    </row>
    <row r="567" spans="37:38" x14ac:dyDescent="0.25">
      <c r="AK567" s="13">
        <v>2940</v>
      </c>
      <c r="AL567" s="13">
        <v>0</v>
      </c>
    </row>
    <row r="568" spans="37:38" x14ac:dyDescent="0.25">
      <c r="AK568" s="13">
        <v>2950</v>
      </c>
      <c r="AL568" s="13">
        <v>0</v>
      </c>
    </row>
    <row r="569" spans="37:38" x14ac:dyDescent="0.25">
      <c r="AK569" s="13">
        <v>2950</v>
      </c>
      <c r="AL569" s="13">
        <v>0</v>
      </c>
    </row>
    <row r="570" spans="37:38" x14ac:dyDescent="0.25">
      <c r="AK570" s="13">
        <v>2960</v>
      </c>
      <c r="AL570" s="13">
        <v>0</v>
      </c>
    </row>
    <row r="571" spans="37:38" x14ac:dyDescent="0.25">
      <c r="AK571" s="13">
        <v>2960</v>
      </c>
      <c r="AL571" s="13">
        <v>0</v>
      </c>
    </row>
    <row r="572" spans="37:38" x14ac:dyDescent="0.25">
      <c r="AK572" s="13">
        <v>2970</v>
      </c>
      <c r="AL572" s="13">
        <v>0</v>
      </c>
    </row>
    <row r="573" spans="37:38" x14ac:dyDescent="0.25">
      <c r="AK573" s="13">
        <v>2970</v>
      </c>
      <c r="AL573" s="13">
        <v>0</v>
      </c>
    </row>
    <row r="574" spans="37:38" x14ac:dyDescent="0.25">
      <c r="AK574" s="13">
        <v>2980</v>
      </c>
      <c r="AL574" s="13">
        <v>0</v>
      </c>
    </row>
    <row r="575" spans="37:38" x14ac:dyDescent="0.25">
      <c r="AK575" s="13">
        <v>2980</v>
      </c>
      <c r="AL575" s="13">
        <v>0</v>
      </c>
    </row>
    <row r="576" spans="37:38" x14ac:dyDescent="0.25">
      <c r="AK576" s="13">
        <v>2990</v>
      </c>
      <c r="AL576" s="13">
        <v>0</v>
      </c>
    </row>
    <row r="577" spans="37:38" x14ac:dyDescent="0.25">
      <c r="AK577" s="13">
        <v>2990</v>
      </c>
      <c r="AL577" s="13">
        <v>0</v>
      </c>
    </row>
    <row r="578" spans="37:38" x14ac:dyDescent="0.25">
      <c r="AK578" s="13">
        <v>3000</v>
      </c>
      <c r="AL578" s="13">
        <v>0</v>
      </c>
    </row>
    <row r="579" spans="37:38" x14ac:dyDescent="0.25">
      <c r="AK579" s="13">
        <v>3000</v>
      </c>
      <c r="AL579" s="13">
        <v>0</v>
      </c>
    </row>
    <row r="580" spans="37:38" x14ac:dyDescent="0.25">
      <c r="AK580" s="13">
        <v>3010</v>
      </c>
      <c r="AL580" s="13">
        <v>0</v>
      </c>
    </row>
    <row r="581" spans="37:38" x14ac:dyDescent="0.25">
      <c r="AK581" s="13">
        <v>3010</v>
      </c>
      <c r="AL581" s="13">
        <v>0</v>
      </c>
    </row>
    <row r="582" spans="37:38" x14ac:dyDescent="0.25">
      <c r="AK582" s="13">
        <v>3020</v>
      </c>
      <c r="AL582" s="13">
        <v>0</v>
      </c>
    </row>
    <row r="583" spans="37:38" x14ac:dyDescent="0.25">
      <c r="AK583" s="13">
        <v>3020</v>
      </c>
      <c r="AL583" s="13">
        <v>0</v>
      </c>
    </row>
    <row r="584" spans="37:38" x14ac:dyDescent="0.25">
      <c r="AK584" s="13">
        <v>3030</v>
      </c>
      <c r="AL584" s="13">
        <v>0</v>
      </c>
    </row>
    <row r="585" spans="37:38" x14ac:dyDescent="0.25">
      <c r="AK585" s="13">
        <v>3030</v>
      </c>
      <c r="AL585" s="13">
        <v>0</v>
      </c>
    </row>
    <row r="586" spans="37:38" x14ac:dyDescent="0.25">
      <c r="AK586" s="13">
        <v>3040</v>
      </c>
      <c r="AL586" s="13">
        <v>0</v>
      </c>
    </row>
    <row r="587" spans="37:38" x14ac:dyDescent="0.25">
      <c r="AK587" s="13">
        <v>3040</v>
      </c>
      <c r="AL587" s="13">
        <v>0</v>
      </c>
    </row>
    <row r="588" spans="37:38" x14ac:dyDescent="0.25">
      <c r="AK588" s="13">
        <v>3050</v>
      </c>
      <c r="AL588" s="13">
        <v>0</v>
      </c>
    </row>
    <row r="589" spans="37:38" x14ac:dyDescent="0.25">
      <c r="AK589" s="13">
        <v>3050</v>
      </c>
      <c r="AL589" s="13">
        <v>0</v>
      </c>
    </row>
    <row r="590" spans="37:38" x14ac:dyDescent="0.25">
      <c r="AK590" s="13">
        <v>3060</v>
      </c>
      <c r="AL590" s="13">
        <v>0</v>
      </c>
    </row>
    <row r="591" spans="37:38" x14ac:dyDescent="0.25">
      <c r="AK591" s="13">
        <v>3060</v>
      </c>
      <c r="AL591" s="13">
        <v>0</v>
      </c>
    </row>
    <row r="592" spans="37:38" x14ac:dyDescent="0.25">
      <c r="AK592" s="13">
        <v>3070</v>
      </c>
      <c r="AL592" s="13">
        <v>0</v>
      </c>
    </row>
    <row r="593" spans="37:38" x14ac:dyDescent="0.25">
      <c r="AK593" s="13">
        <v>3070</v>
      </c>
      <c r="AL593" s="13">
        <v>0</v>
      </c>
    </row>
    <row r="594" spans="37:38" x14ac:dyDescent="0.25">
      <c r="AK594" s="13">
        <v>3080</v>
      </c>
      <c r="AL594" s="13">
        <v>0</v>
      </c>
    </row>
    <row r="595" spans="37:38" x14ac:dyDescent="0.25">
      <c r="AK595" s="13">
        <v>3080</v>
      </c>
      <c r="AL595" s="13">
        <v>0</v>
      </c>
    </row>
    <row r="596" spans="37:38" x14ac:dyDescent="0.25">
      <c r="AK596" s="13">
        <v>3090</v>
      </c>
      <c r="AL596" s="13">
        <v>0</v>
      </c>
    </row>
    <row r="597" spans="37:38" x14ac:dyDescent="0.25">
      <c r="AK597" s="13">
        <v>3090</v>
      </c>
      <c r="AL597" s="13">
        <v>0</v>
      </c>
    </row>
    <row r="598" spans="37:38" x14ac:dyDescent="0.25">
      <c r="AK598" s="13">
        <v>3100</v>
      </c>
      <c r="AL598" s="13">
        <v>0</v>
      </c>
    </row>
    <row r="599" spans="37:38" x14ac:dyDescent="0.25">
      <c r="AK599" s="13">
        <v>3100</v>
      </c>
      <c r="AL599" s="13">
        <v>0</v>
      </c>
    </row>
    <row r="600" spans="37:38" x14ac:dyDescent="0.25">
      <c r="AK600" s="13">
        <v>3110</v>
      </c>
      <c r="AL600" s="13">
        <v>0</v>
      </c>
    </row>
    <row r="601" spans="37:38" x14ac:dyDescent="0.25">
      <c r="AK601" s="13">
        <v>3110</v>
      </c>
      <c r="AL601" s="13">
        <v>0</v>
      </c>
    </row>
    <row r="602" spans="37:38" x14ac:dyDescent="0.25">
      <c r="AK602" s="13">
        <v>3120</v>
      </c>
      <c r="AL602" s="13">
        <v>0</v>
      </c>
    </row>
    <row r="603" spans="37:38" x14ac:dyDescent="0.25">
      <c r="AK603" s="13">
        <v>3120</v>
      </c>
      <c r="AL603" s="13">
        <v>0</v>
      </c>
    </row>
    <row r="604" spans="37:38" x14ac:dyDescent="0.25">
      <c r="AK604" s="13">
        <v>3130</v>
      </c>
      <c r="AL604" s="13">
        <v>0</v>
      </c>
    </row>
    <row r="605" spans="37:38" x14ac:dyDescent="0.25">
      <c r="AK605" s="13">
        <v>3130</v>
      </c>
      <c r="AL605" s="13">
        <v>0</v>
      </c>
    </row>
    <row r="606" spans="37:38" x14ac:dyDescent="0.25">
      <c r="AK606" s="13">
        <v>3140</v>
      </c>
      <c r="AL606" s="13">
        <v>0</v>
      </c>
    </row>
    <row r="607" spans="37:38" x14ac:dyDescent="0.25">
      <c r="AK607" s="13">
        <v>3140</v>
      </c>
      <c r="AL607" s="13">
        <v>0</v>
      </c>
    </row>
    <row r="608" spans="37:38" x14ac:dyDescent="0.25">
      <c r="AK608" s="13">
        <v>3150</v>
      </c>
      <c r="AL608" s="13">
        <v>0</v>
      </c>
    </row>
    <row r="609" spans="37:38" x14ac:dyDescent="0.25">
      <c r="AK609" s="13">
        <v>3150</v>
      </c>
      <c r="AL609" s="13">
        <v>0</v>
      </c>
    </row>
    <row r="610" spans="37:38" x14ac:dyDescent="0.25">
      <c r="AK610" s="13">
        <v>3160</v>
      </c>
      <c r="AL610" s="13">
        <v>0</v>
      </c>
    </row>
    <row r="611" spans="37:38" x14ac:dyDescent="0.25">
      <c r="AK611" s="13">
        <v>3160</v>
      </c>
      <c r="AL611" s="13">
        <v>0</v>
      </c>
    </row>
    <row r="612" spans="37:38" x14ac:dyDescent="0.25">
      <c r="AK612" s="13">
        <v>3170</v>
      </c>
      <c r="AL612" s="13">
        <v>0</v>
      </c>
    </row>
    <row r="613" spans="37:38" x14ac:dyDescent="0.25">
      <c r="AK613" s="13">
        <v>3170</v>
      </c>
      <c r="AL613" s="13">
        <v>0</v>
      </c>
    </row>
    <row r="614" spans="37:38" x14ac:dyDescent="0.25">
      <c r="AK614" s="13">
        <v>3180</v>
      </c>
      <c r="AL614" s="13">
        <v>0</v>
      </c>
    </row>
    <row r="615" spans="37:38" x14ac:dyDescent="0.25">
      <c r="AK615" s="13">
        <v>3180</v>
      </c>
      <c r="AL615" s="13">
        <v>0</v>
      </c>
    </row>
    <row r="616" spans="37:38" x14ac:dyDescent="0.25">
      <c r="AK616" s="13">
        <v>3190</v>
      </c>
      <c r="AL616" s="13">
        <v>0</v>
      </c>
    </row>
    <row r="617" spans="37:38" x14ac:dyDescent="0.25">
      <c r="AK617" s="13">
        <v>3190</v>
      </c>
      <c r="AL617" s="13">
        <v>0</v>
      </c>
    </row>
    <row r="618" spans="37:38" x14ac:dyDescent="0.25">
      <c r="AK618" s="13">
        <v>3200</v>
      </c>
      <c r="AL618" s="13">
        <v>0</v>
      </c>
    </row>
    <row r="619" spans="37:38" x14ac:dyDescent="0.25">
      <c r="AK619" s="13">
        <v>3200</v>
      </c>
      <c r="AL619" s="13">
        <v>0</v>
      </c>
    </row>
    <row r="620" spans="37:38" x14ac:dyDescent="0.25">
      <c r="AK620" s="13">
        <v>3210</v>
      </c>
      <c r="AL620" s="13">
        <v>0</v>
      </c>
    </row>
    <row r="621" spans="37:38" x14ac:dyDescent="0.25">
      <c r="AK621" s="13">
        <v>3210</v>
      </c>
      <c r="AL621" s="13">
        <v>0</v>
      </c>
    </row>
    <row r="622" spans="37:38" x14ac:dyDescent="0.25">
      <c r="AK622" s="13">
        <v>3220</v>
      </c>
      <c r="AL622" s="13">
        <v>0</v>
      </c>
    </row>
    <row r="623" spans="37:38" x14ac:dyDescent="0.25">
      <c r="AK623" s="13">
        <v>3220</v>
      </c>
      <c r="AL623" s="13">
        <v>0</v>
      </c>
    </row>
    <row r="624" spans="37:38" x14ac:dyDescent="0.25">
      <c r="AK624" s="13">
        <v>3230</v>
      </c>
      <c r="AL624" s="13">
        <v>0</v>
      </c>
    </row>
    <row r="625" spans="37:38" x14ac:dyDescent="0.25">
      <c r="AK625" s="13">
        <v>3230</v>
      </c>
      <c r="AL625" s="13">
        <v>0</v>
      </c>
    </row>
    <row r="626" spans="37:38" x14ac:dyDescent="0.25">
      <c r="AK626" s="13">
        <v>3240</v>
      </c>
      <c r="AL626" s="13">
        <v>0</v>
      </c>
    </row>
    <row r="627" spans="37:38" x14ac:dyDescent="0.25">
      <c r="AK627" s="13">
        <v>3240</v>
      </c>
      <c r="AL627" s="13">
        <v>0</v>
      </c>
    </row>
    <row r="628" spans="37:38" x14ac:dyDescent="0.25">
      <c r="AK628" s="13">
        <v>3250</v>
      </c>
      <c r="AL628" s="13">
        <v>0</v>
      </c>
    </row>
    <row r="629" spans="37:38" x14ac:dyDescent="0.25">
      <c r="AK629" s="13">
        <v>3250</v>
      </c>
      <c r="AL629" s="13">
        <v>0</v>
      </c>
    </row>
    <row r="630" spans="37:38" x14ac:dyDescent="0.25">
      <c r="AK630" s="13">
        <v>3260</v>
      </c>
      <c r="AL630" s="13">
        <v>0</v>
      </c>
    </row>
    <row r="631" spans="37:38" x14ac:dyDescent="0.25">
      <c r="AK631" s="13">
        <v>3260</v>
      </c>
      <c r="AL631" s="13">
        <v>0</v>
      </c>
    </row>
    <row r="632" spans="37:38" x14ac:dyDescent="0.25">
      <c r="AK632" s="13">
        <v>3270</v>
      </c>
      <c r="AL632" s="13">
        <v>0</v>
      </c>
    </row>
    <row r="633" spans="37:38" x14ac:dyDescent="0.25">
      <c r="AK633" s="13">
        <v>3270</v>
      </c>
      <c r="AL633" s="13">
        <v>0</v>
      </c>
    </row>
    <row r="634" spans="37:38" x14ac:dyDescent="0.25">
      <c r="AK634" s="13">
        <v>3280</v>
      </c>
      <c r="AL634" s="13">
        <v>0</v>
      </c>
    </row>
    <row r="635" spans="37:38" x14ac:dyDescent="0.25">
      <c r="AK635" s="13">
        <v>3280</v>
      </c>
      <c r="AL635" s="13">
        <v>0</v>
      </c>
    </row>
    <row r="636" spans="37:38" x14ac:dyDescent="0.25">
      <c r="AK636" s="13">
        <v>3290</v>
      </c>
      <c r="AL636" s="13">
        <v>0</v>
      </c>
    </row>
    <row r="637" spans="37:38" x14ac:dyDescent="0.25">
      <c r="AK637" s="13">
        <v>3290</v>
      </c>
      <c r="AL637" s="13">
        <v>0</v>
      </c>
    </row>
    <row r="638" spans="37:38" x14ac:dyDescent="0.25">
      <c r="AK638" s="13">
        <v>3300</v>
      </c>
      <c r="AL638" s="13">
        <v>0</v>
      </c>
    </row>
    <row r="639" spans="37:38" x14ac:dyDescent="0.25">
      <c r="AK639" s="13">
        <v>3300</v>
      </c>
      <c r="AL639" s="13">
        <v>0</v>
      </c>
    </row>
    <row r="640" spans="37:38" x14ac:dyDescent="0.25">
      <c r="AK640" s="13">
        <v>3310</v>
      </c>
      <c r="AL640" s="13">
        <v>0</v>
      </c>
    </row>
    <row r="641" spans="37:38" x14ac:dyDescent="0.25">
      <c r="AK641" s="13">
        <v>3310</v>
      </c>
      <c r="AL641" s="13">
        <v>0</v>
      </c>
    </row>
    <row r="642" spans="37:38" x14ac:dyDescent="0.25">
      <c r="AK642" s="13">
        <v>3320</v>
      </c>
      <c r="AL642" s="13">
        <v>0</v>
      </c>
    </row>
    <row r="643" spans="37:38" x14ac:dyDescent="0.25">
      <c r="AK643" s="13">
        <v>3320</v>
      </c>
      <c r="AL643" s="13">
        <v>0</v>
      </c>
    </row>
    <row r="644" spans="37:38" x14ac:dyDescent="0.25">
      <c r="AK644" s="13">
        <v>3330</v>
      </c>
      <c r="AL644" s="13">
        <v>0</v>
      </c>
    </row>
    <row r="645" spans="37:38" x14ac:dyDescent="0.25">
      <c r="AK645" s="13">
        <v>3330</v>
      </c>
      <c r="AL645" s="13">
        <v>0</v>
      </c>
    </row>
    <row r="646" spans="37:38" x14ac:dyDescent="0.25">
      <c r="AK646" s="13">
        <v>3340</v>
      </c>
      <c r="AL646" s="13">
        <v>0</v>
      </c>
    </row>
    <row r="647" spans="37:38" x14ac:dyDescent="0.25">
      <c r="AK647" s="13">
        <v>3340</v>
      </c>
      <c r="AL647" s="13">
        <v>0</v>
      </c>
    </row>
    <row r="648" spans="37:38" x14ac:dyDescent="0.25">
      <c r="AK648" s="13">
        <v>3350</v>
      </c>
      <c r="AL648" s="13">
        <v>0</v>
      </c>
    </row>
    <row r="649" spans="37:38" x14ac:dyDescent="0.25">
      <c r="AK649" s="13">
        <v>3350</v>
      </c>
      <c r="AL649" s="13">
        <v>0</v>
      </c>
    </row>
    <row r="650" spans="37:38" x14ac:dyDescent="0.25">
      <c r="AK650" s="13">
        <v>3360</v>
      </c>
      <c r="AL650" s="13">
        <v>0</v>
      </c>
    </row>
    <row r="651" spans="37:38" x14ac:dyDescent="0.25">
      <c r="AK651" s="13">
        <v>3360</v>
      </c>
      <c r="AL651" s="13">
        <v>0</v>
      </c>
    </row>
    <row r="652" spans="37:38" x14ac:dyDescent="0.25">
      <c r="AK652" s="13">
        <v>3370</v>
      </c>
      <c r="AL652" s="13">
        <v>0</v>
      </c>
    </row>
    <row r="653" spans="37:38" x14ac:dyDescent="0.25">
      <c r="AK653" s="13">
        <v>3370</v>
      </c>
      <c r="AL653" s="13">
        <v>0</v>
      </c>
    </row>
    <row r="654" spans="37:38" x14ac:dyDescent="0.25">
      <c r="AK654" s="13">
        <v>3380</v>
      </c>
      <c r="AL654" s="13">
        <v>0</v>
      </c>
    </row>
    <row r="655" spans="37:38" x14ac:dyDescent="0.25">
      <c r="AK655" s="13">
        <v>3380</v>
      </c>
      <c r="AL655" s="13">
        <v>0</v>
      </c>
    </row>
    <row r="656" spans="37:38" x14ac:dyDescent="0.25">
      <c r="AK656" s="13">
        <v>3390</v>
      </c>
      <c r="AL656" s="13">
        <v>0</v>
      </c>
    </row>
    <row r="657" spans="37:38" x14ac:dyDescent="0.25">
      <c r="AK657" s="13">
        <v>3390</v>
      </c>
      <c r="AL657" s="13">
        <v>0</v>
      </c>
    </row>
    <row r="658" spans="37:38" x14ac:dyDescent="0.25">
      <c r="AK658" s="13">
        <v>3400</v>
      </c>
      <c r="AL658" s="13">
        <v>0</v>
      </c>
    </row>
    <row r="659" spans="37:38" x14ac:dyDescent="0.25">
      <c r="AK659" s="13">
        <v>3400</v>
      </c>
      <c r="AL659" s="13">
        <v>0</v>
      </c>
    </row>
    <row r="660" spans="37:38" x14ac:dyDescent="0.25">
      <c r="AK660" s="13">
        <v>3410</v>
      </c>
      <c r="AL660" s="13">
        <v>0</v>
      </c>
    </row>
    <row r="661" spans="37:38" x14ac:dyDescent="0.25">
      <c r="AK661" s="13">
        <v>3410</v>
      </c>
      <c r="AL661" s="13">
        <v>0</v>
      </c>
    </row>
    <row r="662" spans="37:38" x14ac:dyDescent="0.25">
      <c r="AK662" s="13">
        <v>3420</v>
      </c>
      <c r="AL662" s="13">
        <v>0</v>
      </c>
    </row>
    <row r="663" spans="37:38" x14ac:dyDescent="0.25">
      <c r="AK663" s="13">
        <v>3420</v>
      </c>
      <c r="AL663" s="13">
        <v>0</v>
      </c>
    </row>
    <row r="664" spans="37:38" x14ac:dyDescent="0.25">
      <c r="AK664" s="13">
        <v>3430</v>
      </c>
      <c r="AL664" s="13">
        <v>0</v>
      </c>
    </row>
    <row r="665" spans="37:38" x14ac:dyDescent="0.25">
      <c r="AK665" s="13">
        <v>3430</v>
      </c>
      <c r="AL665" s="13">
        <v>0</v>
      </c>
    </row>
    <row r="666" spans="37:38" x14ac:dyDescent="0.25">
      <c r="AK666" s="13">
        <v>3440</v>
      </c>
      <c r="AL666" s="13">
        <v>0</v>
      </c>
    </row>
    <row r="667" spans="37:38" x14ac:dyDescent="0.25">
      <c r="AK667" s="13">
        <v>3440</v>
      </c>
      <c r="AL667" s="13">
        <v>0</v>
      </c>
    </row>
    <row r="668" spans="37:38" x14ac:dyDescent="0.25">
      <c r="AK668" s="13">
        <v>3450</v>
      </c>
      <c r="AL668" s="13">
        <v>0</v>
      </c>
    </row>
    <row r="669" spans="37:38" x14ac:dyDescent="0.25">
      <c r="AK669" s="13">
        <v>3450</v>
      </c>
      <c r="AL669" s="13">
        <v>0</v>
      </c>
    </row>
    <row r="670" spans="37:38" x14ac:dyDescent="0.25">
      <c r="AK670" s="13">
        <v>3460</v>
      </c>
      <c r="AL670" s="13">
        <v>0</v>
      </c>
    </row>
    <row r="671" spans="37:38" x14ac:dyDescent="0.25">
      <c r="AK671" s="13">
        <v>3460</v>
      </c>
      <c r="AL671" s="13">
        <v>0</v>
      </c>
    </row>
    <row r="672" spans="37:38" x14ac:dyDescent="0.25">
      <c r="AK672" s="13">
        <v>3470</v>
      </c>
      <c r="AL672" s="13">
        <v>0</v>
      </c>
    </row>
    <row r="673" spans="37:38" x14ac:dyDescent="0.25">
      <c r="AK673" s="13">
        <v>3470</v>
      </c>
      <c r="AL673" s="13">
        <v>0</v>
      </c>
    </row>
    <row r="674" spans="37:38" x14ac:dyDescent="0.25">
      <c r="AK674" s="13">
        <v>3480</v>
      </c>
      <c r="AL674" s="13">
        <v>0</v>
      </c>
    </row>
    <row r="675" spans="37:38" x14ac:dyDescent="0.25">
      <c r="AK675" s="13">
        <v>3480</v>
      </c>
      <c r="AL675" s="13">
        <v>0</v>
      </c>
    </row>
    <row r="676" spans="37:38" x14ac:dyDescent="0.25">
      <c r="AK676" s="13">
        <v>3490</v>
      </c>
      <c r="AL676" s="13">
        <v>0</v>
      </c>
    </row>
    <row r="677" spans="37:38" x14ac:dyDescent="0.25">
      <c r="AK677" s="13">
        <v>3490</v>
      </c>
      <c r="AL677" s="13">
        <v>0</v>
      </c>
    </row>
    <row r="678" spans="37:38" x14ac:dyDescent="0.25">
      <c r="AK678" s="13">
        <v>3500</v>
      </c>
      <c r="AL678" s="13">
        <v>0</v>
      </c>
    </row>
    <row r="679" spans="37:38" x14ac:dyDescent="0.25">
      <c r="AK679" s="13">
        <v>3500</v>
      </c>
      <c r="AL679" s="13">
        <v>0</v>
      </c>
    </row>
    <row r="680" spans="37:38" x14ac:dyDescent="0.25">
      <c r="AK680" s="13">
        <v>3510</v>
      </c>
      <c r="AL680" s="13">
        <v>0</v>
      </c>
    </row>
    <row r="681" spans="37:38" x14ac:dyDescent="0.25">
      <c r="AK681" s="13">
        <v>3510</v>
      </c>
      <c r="AL681" s="13">
        <v>0</v>
      </c>
    </row>
    <row r="682" spans="37:38" x14ac:dyDescent="0.25">
      <c r="AK682" s="13">
        <v>3520</v>
      </c>
      <c r="AL682" s="13">
        <v>0</v>
      </c>
    </row>
    <row r="683" spans="37:38" x14ac:dyDescent="0.25">
      <c r="AK683" s="13">
        <v>3520</v>
      </c>
      <c r="AL683" s="13">
        <v>0</v>
      </c>
    </row>
    <row r="684" spans="37:38" x14ac:dyDescent="0.25">
      <c r="AK684" s="13">
        <v>3530</v>
      </c>
      <c r="AL684" s="13">
        <v>0</v>
      </c>
    </row>
    <row r="685" spans="37:38" x14ac:dyDescent="0.25">
      <c r="AK685" s="13">
        <v>3530</v>
      </c>
      <c r="AL685" s="13">
        <v>0</v>
      </c>
    </row>
    <row r="686" spans="37:38" x14ac:dyDescent="0.25">
      <c r="AK686" s="13">
        <v>3540</v>
      </c>
      <c r="AL686" s="13">
        <v>0</v>
      </c>
    </row>
    <row r="687" spans="37:38" x14ac:dyDescent="0.25">
      <c r="AK687" s="13">
        <v>3540</v>
      </c>
      <c r="AL687" s="13">
        <v>0</v>
      </c>
    </row>
    <row r="688" spans="37:38" x14ac:dyDescent="0.25">
      <c r="AK688" s="13">
        <v>3550</v>
      </c>
      <c r="AL688" s="13">
        <v>0</v>
      </c>
    </row>
    <row r="689" spans="37:38" x14ac:dyDescent="0.25">
      <c r="AK689" s="13">
        <v>3550</v>
      </c>
      <c r="AL689" s="13">
        <v>0</v>
      </c>
    </row>
    <row r="690" spans="37:38" x14ac:dyDescent="0.25">
      <c r="AK690" s="13">
        <v>3560</v>
      </c>
      <c r="AL690" s="13">
        <v>0</v>
      </c>
    </row>
    <row r="691" spans="37:38" x14ac:dyDescent="0.25">
      <c r="AK691" s="13">
        <v>3560</v>
      </c>
      <c r="AL691" s="13">
        <v>0</v>
      </c>
    </row>
    <row r="692" spans="37:38" x14ac:dyDescent="0.25">
      <c r="AK692" s="13">
        <v>3570</v>
      </c>
      <c r="AL692" s="13">
        <v>0</v>
      </c>
    </row>
    <row r="693" spans="37:38" x14ac:dyDescent="0.25">
      <c r="AK693" s="13">
        <v>3570</v>
      </c>
      <c r="AL693" s="13">
        <v>0</v>
      </c>
    </row>
    <row r="694" spans="37:38" x14ac:dyDescent="0.25">
      <c r="AK694" s="13">
        <v>3580</v>
      </c>
      <c r="AL694" s="13">
        <v>0</v>
      </c>
    </row>
    <row r="695" spans="37:38" x14ac:dyDescent="0.25">
      <c r="AK695" s="13">
        <v>3580</v>
      </c>
      <c r="AL695" s="13">
        <v>0</v>
      </c>
    </row>
    <row r="696" spans="37:38" x14ac:dyDescent="0.25">
      <c r="AK696" s="13">
        <v>3590</v>
      </c>
      <c r="AL696" s="13">
        <v>0</v>
      </c>
    </row>
    <row r="697" spans="37:38" x14ac:dyDescent="0.25">
      <c r="AK697" s="13">
        <v>3590</v>
      </c>
      <c r="AL697" s="13">
        <v>0</v>
      </c>
    </row>
    <row r="698" spans="37:38" x14ac:dyDescent="0.25">
      <c r="AK698" s="13">
        <v>3600</v>
      </c>
      <c r="AL698" s="13">
        <v>0</v>
      </c>
    </row>
    <row r="699" spans="37:38" x14ac:dyDescent="0.25">
      <c r="AK699" s="13">
        <v>3600</v>
      </c>
      <c r="AL699" s="13">
        <v>0</v>
      </c>
    </row>
    <row r="700" spans="37:38" x14ac:dyDescent="0.25">
      <c r="AK700" s="13">
        <v>3610</v>
      </c>
      <c r="AL700" s="13">
        <v>0</v>
      </c>
    </row>
    <row r="701" spans="37:38" x14ac:dyDescent="0.25">
      <c r="AK701" s="13">
        <v>3610</v>
      </c>
      <c r="AL701" s="13">
        <v>0</v>
      </c>
    </row>
    <row r="702" spans="37:38" x14ac:dyDescent="0.25">
      <c r="AK702" s="13">
        <v>3620</v>
      </c>
      <c r="AL702" s="13">
        <v>0</v>
      </c>
    </row>
    <row r="703" spans="37:38" x14ac:dyDescent="0.25">
      <c r="AK703" s="13">
        <v>3620</v>
      </c>
      <c r="AL703" s="13">
        <v>0</v>
      </c>
    </row>
    <row r="704" spans="37:38" x14ac:dyDescent="0.25">
      <c r="AK704" s="13">
        <v>3630</v>
      </c>
      <c r="AL704" s="13">
        <v>0</v>
      </c>
    </row>
    <row r="705" spans="37:38" x14ac:dyDescent="0.25">
      <c r="AK705" s="13">
        <v>3630</v>
      </c>
      <c r="AL705" s="13">
        <v>0</v>
      </c>
    </row>
    <row r="706" spans="37:38" x14ac:dyDescent="0.25">
      <c r="AK706" s="13">
        <v>3640</v>
      </c>
      <c r="AL706" s="13">
        <v>0</v>
      </c>
    </row>
    <row r="707" spans="37:38" x14ac:dyDescent="0.25">
      <c r="AK707" s="13">
        <v>3640</v>
      </c>
      <c r="AL707" s="13">
        <v>0</v>
      </c>
    </row>
    <row r="708" spans="37:38" x14ac:dyDescent="0.25">
      <c r="AK708" s="13">
        <v>3650</v>
      </c>
      <c r="AL708" s="13">
        <v>0</v>
      </c>
    </row>
    <row r="709" spans="37:38" x14ac:dyDescent="0.25">
      <c r="AK709" s="13">
        <v>3650</v>
      </c>
      <c r="AL709" s="13">
        <v>0</v>
      </c>
    </row>
    <row r="710" spans="37:38" x14ac:dyDescent="0.25">
      <c r="AK710" s="13">
        <v>3660</v>
      </c>
      <c r="AL710" s="13">
        <v>0</v>
      </c>
    </row>
    <row r="711" spans="37:38" x14ac:dyDescent="0.25">
      <c r="AK711" s="13">
        <v>3660</v>
      </c>
      <c r="AL711" s="13">
        <v>0</v>
      </c>
    </row>
    <row r="712" spans="37:38" x14ac:dyDescent="0.25">
      <c r="AK712" s="13">
        <v>3670</v>
      </c>
      <c r="AL712" s="13">
        <v>0</v>
      </c>
    </row>
    <row r="713" spans="37:38" x14ac:dyDescent="0.25">
      <c r="AK713" s="13">
        <v>3670</v>
      </c>
      <c r="AL713" s="13">
        <v>0</v>
      </c>
    </row>
    <row r="714" spans="37:38" x14ac:dyDescent="0.25">
      <c r="AK714" s="13">
        <v>3680</v>
      </c>
      <c r="AL714" s="13">
        <v>0</v>
      </c>
    </row>
    <row r="715" spans="37:38" x14ac:dyDescent="0.25">
      <c r="AK715" s="13">
        <v>3680</v>
      </c>
      <c r="AL715" s="13">
        <v>0</v>
      </c>
    </row>
    <row r="716" spans="37:38" x14ac:dyDescent="0.25">
      <c r="AK716" s="13">
        <v>3690</v>
      </c>
      <c r="AL716" s="13">
        <v>0</v>
      </c>
    </row>
    <row r="717" spans="37:38" x14ac:dyDescent="0.25">
      <c r="AK717" s="13">
        <v>3690</v>
      </c>
      <c r="AL717" s="13">
        <v>0</v>
      </c>
    </row>
    <row r="718" spans="37:38" x14ac:dyDescent="0.25">
      <c r="AK718" s="13">
        <v>3700</v>
      </c>
      <c r="AL718" s="13">
        <v>0</v>
      </c>
    </row>
    <row r="719" spans="37:38" x14ac:dyDescent="0.25">
      <c r="AK719" s="13">
        <v>3700</v>
      </c>
      <c r="AL719" s="13">
        <v>0</v>
      </c>
    </row>
    <row r="720" spans="37:38" x14ac:dyDescent="0.25">
      <c r="AK720" s="13">
        <v>3710</v>
      </c>
      <c r="AL720" s="13">
        <v>0</v>
      </c>
    </row>
    <row r="721" spans="37:38" x14ac:dyDescent="0.25">
      <c r="AK721" s="13">
        <v>3710</v>
      </c>
      <c r="AL721" s="13">
        <v>0</v>
      </c>
    </row>
    <row r="722" spans="37:38" x14ac:dyDescent="0.25">
      <c r="AK722" s="13">
        <v>3720</v>
      </c>
      <c r="AL722" s="13">
        <v>0</v>
      </c>
    </row>
    <row r="723" spans="37:38" x14ac:dyDescent="0.25">
      <c r="AK723" s="13">
        <v>3720</v>
      </c>
      <c r="AL723" s="13">
        <v>0</v>
      </c>
    </row>
    <row r="724" spans="37:38" x14ac:dyDescent="0.25">
      <c r="AK724" s="13">
        <v>3730</v>
      </c>
      <c r="AL724" s="13">
        <v>0</v>
      </c>
    </row>
    <row r="725" spans="37:38" x14ac:dyDescent="0.25">
      <c r="AK725" s="13">
        <v>3730</v>
      </c>
      <c r="AL725" s="13">
        <v>0</v>
      </c>
    </row>
    <row r="726" spans="37:38" x14ac:dyDescent="0.25">
      <c r="AK726" s="13">
        <v>3740</v>
      </c>
      <c r="AL726" s="13">
        <v>0</v>
      </c>
    </row>
    <row r="727" spans="37:38" x14ac:dyDescent="0.25">
      <c r="AK727" s="13">
        <v>3740</v>
      </c>
      <c r="AL727" s="13">
        <v>0</v>
      </c>
    </row>
    <row r="728" spans="37:38" x14ac:dyDescent="0.25">
      <c r="AK728" s="13">
        <v>3750</v>
      </c>
      <c r="AL728" s="13">
        <v>0</v>
      </c>
    </row>
    <row r="729" spans="37:38" x14ac:dyDescent="0.25">
      <c r="AK729" s="13">
        <v>3750</v>
      </c>
      <c r="AL729" s="13">
        <v>0</v>
      </c>
    </row>
    <row r="730" spans="37:38" x14ac:dyDescent="0.25">
      <c r="AK730" s="13">
        <v>3760</v>
      </c>
      <c r="AL730" s="13">
        <v>0</v>
      </c>
    </row>
    <row r="731" spans="37:38" x14ac:dyDescent="0.25">
      <c r="AK731" s="13">
        <v>3760</v>
      </c>
      <c r="AL731" s="13">
        <v>0</v>
      </c>
    </row>
    <row r="732" spans="37:38" x14ac:dyDescent="0.25">
      <c r="AK732" s="13">
        <v>3770</v>
      </c>
      <c r="AL732" s="13">
        <v>0</v>
      </c>
    </row>
    <row r="733" spans="37:38" x14ac:dyDescent="0.25">
      <c r="AK733" s="13">
        <v>3770</v>
      </c>
      <c r="AL733" s="13">
        <v>0</v>
      </c>
    </row>
    <row r="734" spans="37:38" x14ac:dyDescent="0.25">
      <c r="AK734" s="13">
        <v>3780</v>
      </c>
      <c r="AL734" s="13">
        <v>0</v>
      </c>
    </row>
    <row r="735" spans="37:38" x14ac:dyDescent="0.25">
      <c r="AK735" s="13">
        <v>3780</v>
      </c>
      <c r="AL735" s="13">
        <v>0</v>
      </c>
    </row>
    <row r="736" spans="37:38" x14ac:dyDescent="0.25">
      <c r="AK736" s="13">
        <v>3790</v>
      </c>
      <c r="AL736" s="13">
        <v>0</v>
      </c>
    </row>
    <row r="737" spans="37:38" x14ac:dyDescent="0.25">
      <c r="AK737" s="13">
        <v>3790</v>
      </c>
      <c r="AL737" s="13">
        <v>0</v>
      </c>
    </row>
    <row r="738" spans="37:38" x14ac:dyDescent="0.25">
      <c r="AK738" s="13">
        <v>3800</v>
      </c>
      <c r="AL738" s="13">
        <v>0</v>
      </c>
    </row>
    <row r="739" spans="37:38" x14ac:dyDescent="0.25">
      <c r="AK739" s="13">
        <v>3800</v>
      </c>
      <c r="AL739" s="13">
        <v>0</v>
      </c>
    </row>
    <row r="740" spans="37:38" x14ac:dyDescent="0.25">
      <c r="AK740" s="13">
        <v>3810</v>
      </c>
      <c r="AL740" s="13">
        <v>0</v>
      </c>
    </row>
    <row r="741" spans="37:38" x14ac:dyDescent="0.25">
      <c r="AK741" s="13">
        <v>3810</v>
      </c>
      <c r="AL741" s="13">
        <v>0</v>
      </c>
    </row>
    <row r="742" spans="37:38" x14ac:dyDescent="0.25">
      <c r="AK742" s="13">
        <v>3820</v>
      </c>
      <c r="AL742" s="13">
        <v>0</v>
      </c>
    </row>
    <row r="743" spans="37:38" x14ac:dyDescent="0.25">
      <c r="AK743" s="13">
        <v>3820</v>
      </c>
      <c r="AL743" s="13">
        <v>0</v>
      </c>
    </row>
    <row r="744" spans="37:38" x14ac:dyDescent="0.25">
      <c r="AK744" s="13">
        <v>3830</v>
      </c>
      <c r="AL744" s="13">
        <v>0</v>
      </c>
    </row>
    <row r="745" spans="37:38" x14ac:dyDescent="0.25">
      <c r="AK745" s="13">
        <v>3830</v>
      </c>
      <c r="AL745" s="13">
        <v>0</v>
      </c>
    </row>
    <row r="746" spans="37:38" x14ac:dyDescent="0.25">
      <c r="AK746" s="13">
        <v>3840</v>
      </c>
      <c r="AL746" s="13">
        <v>0</v>
      </c>
    </row>
    <row r="747" spans="37:38" x14ac:dyDescent="0.25">
      <c r="AK747" s="13">
        <v>3840</v>
      </c>
      <c r="AL747" s="13">
        <v>0</v>
      </c>
    </row>
    <row r="748" spans="37:38" x14ac:dyDescent="0.25">
      <c r="AK748" s="13">
        <v>3850</v>
      </c>
      <c r="AL748" s="13">
        <v>0</v>
      </c>
    </row>
    <row r="749" spans="37:38" x14ac:dyDescent="0.25">
      <c r="AK749" s="13">
        <v>3850</v>
      </c>
      <c r="AL749" s="13">
        <v>0</v>
      </c>
    </row>
    <row r="750" spans="37:38" x14ac:dyDescent="0.25">
      <c r="AK750" s="13">
        <v>3860</v>
      </c>
      <c r="AL750" s="13">
        <v>0</v>
      </c>
    </row>
    <row r="751" spans="37:38" x14ac:dyDescent="0.25">
      <c r="AK751" s="13">
        <v>3860</v>
      </c>
      <c r="AL751" s="13">
        <v>0</v>
      </c>
    </row>
    <row r="752" spans="37:38" x14ac:dyDescent="0.25">
      <c r="AK752" s="13">
        <v>3870</v>
      </c>
      <c r="AL752" s="13">
        <v>0</v>
      </c>
    </row>
    <row r="753" spans="37:38" x14ac:dyDescent="0.25">
      <c r="AK753" s="13">
        <v>3870</v>
      </c>
      <c r="AL753" s="13">
        <v>0</v>
      </c>
    </row>
    <row r="754" spans="37:38" x14ac:dyDescent="0.25">
      <c r="AK754" s="13">
        <v>3880</v>
      </c>
      <c r="AL754" s="13">
        <v>0</v>
      </c>
    </row>
    <row r="755" spans="37:38" x14ac:dyDescent="0.25">
      <c r="AK755" s="13">
        <v>3880</v>
      </c>
      <c r="AL755" s="13">
        <v>0</v>
      </c>
    </row>
    <row r="756" spans="37:38" x14ac:dyDescent="0.25">
      <c r="AK756" s="13">
        <v>3890</v>
      </c>
      <c r="AL756" s="13">
        <v>0</v>
      </c>
    </row>
    <row r="757" spans="37:38" x14ac:dyDescent="0.25">
      <c r="AK757" s="13">
        <v>3890</v>
      </c>
      <c r="AL757" s="13">
        <v>0</v>
      </c>
    </row>
    <row r="758" spans="37:38" x14ac:dyDescent="0.25">
      <c r="AK758" s="13">
        <v>3900</v>
      </c>
      <c r="AL758" s="13">
        <v>0</v>
      </c>
    </row>
    <row r="759" spans="37:38" x14ac:dyDescent="0.25">
      <c r="AK759" s="13">
        <v>3900</v>
      </c>
      <c r="AL759" s="13">
        <v>0</v>
      </c>
    </row>
    <row r="760" spans="37:38" x14ac:dyDescent="0.25">
      <c r="AK760" s="13">
        <v>3910</v>
      </c>
      <c r="AL760" s="13">
        <v>0</v>
      </c>
    </row>
    <row r="761" spans="37:38" x14ac:dyDescent="0.25">
      <c r="AK761" s="13">
        <v>3910</v>
      </c>
      <c r="AL761" s="13">
        <v>0</v>
      </c>
    </row>
    <row r="762" spans="37:38" x14ac:dyDescent="0.25">
      <c r="AK762" s="13">
        <v>3920</v>
      </c>
      <c r="AL762" s="13">
        <v>0</v>
      </c>
    </row>
    <row r="763" spans="37:38" x14ac:dyDescent="0.25">
      <c r="AK763" s="13">
        <v>3920</v>
      </c>
      <c r="AL763" s="13">
        <v>0</v>
      </c>
    </row>
    <row r="764" spans="37:38" x14ac:dyDescent="0.25">
      <c r="AK764" s="13">
        <v>3930</v>
      </c>
      <c r="AL764" s="13">
        <v>0</v>
      </c>
    </row>
    <row r="765" spans="37:38" x14ac:dyDescent="0.25">
      <c r="AK765" s="13">
        <v>3930</v>
      </c>
      <c r="AL765" s="13">
        <v>0</v>
      </c>
    </row>
    <row r="766" spans="37:38" x14ac:dyDescent="0.25">
      <c r="AK766" s="13">
        <v>3940</v>
      </c>
      <c r="AL766" s="13">
        <v>0</v>
      </c>
    </row>
    <row r="767" spans="37:38" x14ac:dyDescent="0.25">
      <c r="AK767" s="13">
        <v>3940</v>
      </c>
      <c r="AL767" s="13">
        <v>0</v>
      </c>
    </row>
    <row r="768" spans="37:38" x14ac:dyDescent="0.25">
      <c r="AK768" s="13">
        <v>3950</v>
      </c>
      <c r="AL768" s="13">
        <v>0</v>
      </c>
    </row>
    <row r="769" spans="37:38" x14ac:dyDescent="0.25">
      <c r="AK769" s="13">
        <v>3950</v>
      </c>
      <c r="AL769" s="13">
        <v>0</v>
      </c>
    </row>
    <row r="770" spans="37:38" x14ac:dyDescent="0.25">
      <c r="AK770" s="13">
        <v>3960</v>
      </c>
      <c r="AL770" s="13">
        <v>0</v>
      </c>
    </row>
    <row r="771" spans="37:38" x14ac:dyDescent="0.25">
      <c r="AK771" s="13">
        <v>3960</v>
      </c>
      <c r="AL771" s="13">
        <v>0</v>
      </c>
    </row>
    <row r="772" spans="37:38" x14ac:dyDescent="0.25">
      <c r="AK772" s="13">
        <v>3970</v>
      </c>
      <c r="AL772" s="13">
        <v>0</v>
      </c>
    </row>
    <row r="773" spans="37:38" x14ac:dyDescent="0.25">
      <c r="AK773" s="13">
        <v>3970</v>
      </c>
      <c r="AL773" s="13">
        <v>0</v>
      </c>
    </row>
    <row r="774" spans="37:38" x14ac:dyDescent="0.25">
      <c r="AK774" s="13">
        <v>3980</v>
      </c>
      <c r="AL774" s="13">
        <v>0</v>
      </c>
    </row>
    <row r="775" spans="37:38" x14ac:dyDescent="0.25">
      <c r="AK775" s="13">
        <v>3980</v>
      </c>
      <c r="AL775" s="13">
        <v>0</v>
      </c>
    </row>
    <row r="776" spans="37:38" x14ac:dyDescent="0.25">
      <c r="AK776" s="13">
        <v>3990</v>
      </c>
      <c r="AL776" s="13">
        <v>0</v>
      </c>
    </row>
    <row r="777" spans="37:38" x14ac:dyDescent="0.25">
      <c r="AK777" s="13">
        <v>3990</v>
      </c>
      <c r="AL777" s="13">
        <v>0</v>
      </c>
    </row>
    <row r="778" spans="37:38" x14ac:dyDescent="0.25">
      <c r="AK778" s="13">
        <v>4000</v>
      </c>
      <c r="AL778" s="13">
        <v>0</v>
      </c>
    </row>
    <row r="779" spans="37:38" x14ac:dyDescent="0.25">
      <c r="AK779" s="13">
        <v>4000</v>
      </c>
      <c r="AL779" s="13">
        <v>0</v>
      </c>
    </row>
    <row r="780" spans="37:38" x14ac:dyDescent="0.25">
      <c r="AK780" s="13">
        <v>4010</v>
      </c>
      <c r="AL780" s="13">
        <v>0</v>
      </c>
    </row>
    <row r="781" spans="37:38" x14ac:dyDescent="0.25">
      <c r="AK781" s="13">
        <v>4010</v>
      </c>
      <c r="AL781" s="13">
        <v>0</v>
      </c>
    </row>
    <row r="782" spans="37:38" x14ac:dyDescent="0.25">
      <c r="AK782" s="13">
        <v>4020</v>
      </c>
      <c r="AL782" s="13">
        <v>0</v>
      </c>
    </row>
    <row r="783" spans="37:38" x14ac:dyDescent="0.25">
      <c r="AK783" s="13">
        <v>4020</v>
      </c>
      <c r="AL783" s="13">
        <v>0</v>
      </c>
    </row>
    <row r="784" spans="37:38" x14ac:dyDescent="0.25">
      <c r="AK784" s="13">
        <v>4030</v>
      </c>
      <c r="AL784" s="13">
        <v>0</v>
      </c>
    </row>
    <row r="785" spans="37:38" x14ac:dyDescent="0.25">
      <c r="AK785" s="13">
        <v>4030</v>
      </c>
      <c r="AL785" s="13">
        <v>0</v>
      </c>
    </row>
    <row r="786" spans="37:38" x14ac:dyDescent="0.25">
      <c r="AK786" s="13">
        <v>4040</v>
      </c>
      <c r="AL786" s="13">
        <v>0</v>
      </c>
    </row>
    <row r="787" spans="37:38" x14ac:dyDescent="0.25">
      <c r="AK787" s="13">
        <v>4040</v>
      </c>
      <c r="AL787" s="13">
        <v>0</v>
      </c>
    </row>
    <row r="788" spans="37:38" x14ac:dyDescent="0.25">
      <c r="AK788" s="13">
        <v>4050</v>
      </c>
      <c r="AL788" s="13">
        <v>0</v>
      </c>
    </row>
    <row r="789" spans="37:38" x14ac:dyDescent="0.25">
      <c r="AK789" s="13">
        <v>4050</v>
      </c>
      <c r="AL789" s="13">
        <v>0</v>
      </c>
    </row>
    <row r="790" spans="37:38" x14ac:dyDescent="0.25">
      <c r="AK790" s="13">
        <v>4060</v>
      </c>
      <c r="AL790" s="13">
        <v>0</v>
      </c>
    </row>
    <row r="791" spans="37:38" x14ac:dyDescent="0.25">
      <c r="AK791" s="13">
        <v>4060</v>
      </c>
      <c r="AL791" s="13">
        <v>0</v>
      </c>
    </row>
    <row r="792" spans="37:38" x14ac:dyDescent="0.25">
      <c r="AK792" s="13">
        <v>4070</v>
      </c>
      <c r="AL792" s="13">
        <v>0</v>
      </c>
    </row>
    <row r="793" spans="37:38" x14ac:dyDescent="0.25">
      <c r="AK793" s="13">
        <v>4070</v>
      </c>
      <c r="AL793" s="13">
        <v>0</v>
      </c>
    </row>
    <row r="794" spans="37:38" x14ac:dyDescent="0.25">
      <c r="AK794" s="13">
        <v>4080</v>
      </c>
      <c r="AL794" s="13">
        <v>0</v>
      </c>
    </row>
    <row r="795" spans="37:38" x14ac:dyDescent="0.25">
      <c r="AK795" s="13">
        <v>4080</v>
      </c>
      <c r="AL795" s="13">
        <v>0</v>
      </c>
    </row>
    <row r="796" spans="37:38" x14ac:dyDescent="0.25">
      <c r="AK796" s="13">
        <v>4090</v>
      </c>
      <c r="AL796" s="13">
        <v>0</v>
      </c>
    </row>
    <row r="797" spans="37:38" x14ac:dyDescent="0.25">
      <c r="AK797" s="13">
        <v>4090</v>
      </c>
      <c r="AL797" s="13">
        <v>0</v>
      </c>
    </row>
    <row r="798" spans="37:38" x14ac:dyDescent="0.25">
      <c r="AK798" s="13">
        <v>4100</v>
      </c>
      <c r="AL798" s="13">
        <v>0</v>
      </c>
    </row>
    <row r="799" spans="37:38" x14ac:dyDescent="0.25">
      <c r="AK799" s="13">
        <v>4100</v>
      </c>
      <c r="AL799" s="13">
        <v>0</v>
      </c>
    </row>
    <row r="800" spans="37:38" x14ac:dyDescent="0.25">
      <c r="AK800" s="13">
        <v>4110</v>
      </c>
      <c r="AL800" s="13">
        <v>0</v>
      </c>
    </row>
    <row r="801" spans="37:38" x14ac:dyDescent="0.25">
      <c r="AK801" s="13">
        <v>4110</v>
      </c>
      <c r="AL801" s="13">
        <v>0</v>
      </c>
    </row>
    <row r="802" spans="37:38" x14ac:dyDescent="0.25">
      <c r="AK802" s="13">
        <v>4120</v>
      </c>
      <c r="AL802" s="13">
        <v>0</v>
      </c>
    </row>
    <row r="803" spans="37:38" x14ac:dyDescent="0.25">
      <c r="AK803" s="13">
        <v>4120</v>
      </c>
      <c r="AL803" s="13">
        <v>0</v>
      </c>
    </row>
    <row r="804" spans="37:38" x14ac:dyDescent="0.25">
      <c r="AK804" s="13">
        <v>4130</v>
      </c>
      <c r="AL804" s="13">
        <v>0</v>
      </c>
    </row>
    <row r="805" spans="37:38" x14ac:dyDescent="0.25">
      <c r="AK805" s="13">
        <v>4130</v>
      </c>
      <c r="AL805" s="13">
        <v>0</v>
      </c>
    </row>
    <row r="806" spans="37:38" x14ac:dyDescent="0.25">
      <c r="AK806" s="13">
        <v>4140</v>
      </c>
      <c r="AL806" s="13">
        <v>0</v>
      </c>
    </row>
    <row r="807" spans="37:38" x14ac:dyDescent="0.25">
      <c r="AK807" s="13">
        <v>4140</v>
      </c>
      <c r="AL807" s="13">
        <v>0</v>
      </c>
    </row>
    <row r="808" spans="37:38" x14ac:dyDescent="0.25">
      <c r="AK808" s="13">
        <v>4150</v>
      </c>
      <c r="AL808" s="13">
        <v>0</v>
      </c>
    </row>
    <row r="809" spans="37:38" x14ac:dyDescent="0.25">
      <c r="AK809" s="13">
        <v>4150</v>
      </c>
      <c r="AL809" s="13">
        <v>0</v>
      </c>
    </row>
    <row r="810" spans="37:38" x14ac:dyDescent="0.25">
      <c r="AK810" s="13">
        <v>4160</v>
      </c>
      <c r="AL810" s="13">
        <v>0</v>
      </c>
    </row>
    <row r="811" spans="37:38" x14ac:dyDescent="0.25">
      <c r="AK811" s="13">
        <v>4160</v>
      </c>
      <c r="AL811" s="13">
        <v>0</v>
      </c>
    </row>
    <row r="812" spans="37:38" x14ac:dyDescent="0.25">
      <c r="AK812" s="13">
        <v>4170</v>
      </c>
      <c r="AL812" s="13">
        <v>0</v>
      </c>
    </row>
    <row r="813" spans="37:38" x14ac:dyDescent="0.25">
      <c r="AK813" s="13">
        <v>4170</v>
      </c>
      <c r="AL813" s="13">
        <v>7</v>
      </c>
    </row>
    <row r="814" spans="37:38" x14ac:dyDescent="0.25">
      <c r="AK814" s="13">
        <v>4180</v>
      </c>
      <c r="AL814" s="13">
        <v>7</v>
      </c>
    </row>
    <row r="815" spans="37:38" x14ac:dyDescent="0.25">
      <c r="AK815" s="13">
        <v>4180</v>
      </c>
      <c r="AL815" s="13">
        <v>250</v>
      </c>
    </row>
    <row r="816" spans="37:38" x14ac:dyDescent="0.25">
      <c r="AK816" s="13">
        <v>4190</v>
      </c>
      <c r="AL816" s="13">
        <v>250</v>
      </c>
    </row>
    <row r="817" spans="37:38" x14ac:dyDescent="0.25">
      <c r="AK817" s="13">
        <v>4190</v>
      </c>
      <c r="AL817" s="13">
        <v>2323</v>
      </c>
    </row>
    <row r="818" spans="37:38" x14ac:dyDescent="0.25">
      <c r="AK818" s="13">
        <v>4200</v>
      </c>
      <c r="AL818" s="13">
        <v>2323</v>
      </c>
    </row>
    <row r="819" spans="37:38" x14ac:dyDescent="0.25">
      <c r="AK819" s="13">
        <v>4200</v>
      </c>
      <c r="AL819" s="13">
        <v>4953</v>
      </c>
    </row>
    <row r="820" spans="37:38" x14ac:dyDescent="0.25">
      <c r="AK820" s="13">
        <v>4210</v>
      </c>
      <c r="AL820" s="13">
        <v>4953</v>
      </c>
    </row>
    <row r="821" spans="37:38" x14ac:dyDescent="0.25">
      <c r="AK821" s="13">
        <v>4210</v>
      </c>
      <c r="AL821" s="13">
        <v>2266</v>
      </c>
    </row>
    <row r="822" spans="37:38" x14ac:dyDescent="0.25">
      <c r="AK822" s="13">
        <v>4220</v>
      </c>
      <c r="AL822" s="13">
        <v>2266</v>
      </c>
    </row>
    <row r="823" spans="37:38" x14ac:dyDescent="0.25">
      <c r="AK823" s="13">
        <v>4220</v>
      </c>
      <c r="AL823" s="13">
        <v>198</v>
      </c>
    </row>
    <row r="824" spans="37:38" x14ac:dyDescent="0.25">
      <c r="AK824" s="13">
        <v>4230</v>
      </c>
      <c r="AL824" s="13">
        <v>198</v>
      </c>
    </row>
    <row r="825" spans="37:38" x14ac:dyDescent="0.25">
      <c r="AK825" s="13">
        <v>4230</v>
      </c>
      <c r="AL825" s="13">
        <v>3</v>
      </c>
    </row>
    <row r="826" spans="37:38" x14ac:dyDescent="0.25">
      <c r="AK826" s="13">
        <v>4240</v>
      </c>
      <c r="AL826" s="13">
        <v>3</v>
      </c>
    </row>
    <row r="827" spans="37:38" x14ac:dyDescent="0.25">
      <c r="AK827" s="13">
        <v>4240</v>
      </c>
      <c r="AL827" s="13">
        <v>0</v>
      </c>
    </row>
  </sheetData>
  <dataConsolidate/>
  <mergeCells count="4">
    <mergeCell ref="F2:G2"/>
    <mergeCell ref="I4:J4"/>
    <mergeCell ref="K4:L4"/>
    <mergeCell ref="M4:N4"/>
  </mergeCells>
  <pageMargins left="0.75" right="0.75" top="1" bottom="1" header="0.5" footer="0.5"/>
  <pageSetup orientation="portrait" horizontalDpi="200" verticalDpi="200"/>
  <headerFooter alignWithMargins="0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N103"/>
  <sheetViews>
    <sheetView showGridLines="0" workbookViewId="0">
      <selection activeCell="F7" sqref="F7"/>
    </sheetView>
  </sheetViews>
  <sheetFormatPr defaultRowHeight="15.75" x14ac:dyDescent="0.25"/>
  <cols>
    <col min="1" max="1" width="8" style="22" customWidth="1"/>
    <col min="2" max="2" width="10.625" style="11" customWidth="1"/>
    <col min="3" max="3" width="10.625" style="12" customWidth="1"/>
    <col min="4" max="4" width="7.625" style="13" customWidth="1"/>
    <col min="5" max="5" width="7.625" style="14" customWidth="1"/>
    <col min="6" max="6" width="11.625" style="15" customWidth="1"/>
    <col min="7" max="7" width="9" style="14"/>
    <col min="8" max="8" width="6.625" style="14" customWidth="1"/>
    <col min="9" max="14" width="10.125" style="14" customWidth="1"/>
    <col min="15" max="17" width="9" style="14"/>
    <col min="18" max="19" width="9" style="13"/>
    <col min="20" max="20" width="14.25" style="13" customWidth="1"/>
    <col min="21" max="22" width="11.25" style="13" customWidth="1"/>
    <col min="23" max="54" width="9" style="13"/>
    <col min="55" max="256" width="9" style="14"/>
    <col min="257" max="257" width="8" style="14" customWidth="1"/>
    <col min="258" max="259" width="10.625" style="14" customWidth="1"/>
    <col min="260" max="261" width="7.625" style="14" customWidth="1"/>
    <col min="262" max="262" width="11.625" style="14" customWidth="1"/>
    <col min="263" max="263" width="9" style="14"/>
    <col min="264" max="264" width="6.625" style="14" customWidth="1"/>
    <col min="265" max="270" width="10.125" style="14" customWidth="1"/>
    <col min="271" max="275" width="9" style="14"/>
    <col min="276" max="276" width="14.25" style="14" customWidth="1"/>
    <col min="277" max="278" width="11.25" style="14" customWidth="1"/>
    <col min="279" max="512" width="9" style="14"/>
    <col min="513" max="513" width="8" style="14" customWidth="1"/>
    <col min="514" max="515" width="10.625" style="14" customWidth="1"/>
    <col min="516" max="517" width="7.625" style="14" customWidth="1"/>
    <col min="518" max="518" width="11.625" style="14" customWidth="1"/>
    <col min="519" max="519" width="9" style="14"/>
    <col min="520" max="520" width="6.625" style="14" customWidth="1"/>
    <col min="521" max="526" width="10.125" style="14" customWidth="1"/>
    <col min="527" max="531" width="9" style="14"/>
    <col min="532" max="532" width="14.25" style="14" customWidth="1"/>
    <col min="533" max="534" width="11.25" style="14" customWidth="1"/>
    <col min="535" max="768" width="9" style="14"/>
    <col min="769" max="769" width="8" style="14" customWidth="1"/>
    <col min="770" max="771" width="10.625" style="14" customWidth="1"/>
    <col min="772" max="773" width="7.625" style="14" customWidth="1"/>
    <col min="774" max="774" width="11.625" style="14" customWidth="1"/>
    <col min="775" max="775" width="9" style="14"/>
    <col min="776" max="776" width="6.625" style="14" customWidth="1"/>
    <col min="777" max="782" width="10.125" style="14" customWidth="1"/>
    <col min="783" max="787" width="9" style="14"/>
    <col min="788" max="788" width="14.25" style="14" customWidth="1"/>
    <col min="789" max="790" width="11.25" style="14" customWidth="1"/>
    <col min="791" max="1024" width="9" style="14"/>
    <col min="1025" max="1025" width="8" style="14" customWidth="1"/>
    <col min="1026" max="1027" width="10.625" style="14" customWidth="1"/>
    <col min="1028" max="1029" width="7.625" style="14" customWidth="1"/>
    <col min="1030" max="1030" width="11.625" style="14" customWidth="1"/>
    <col min="1031" max="1031" width="9" style="14"/>
    <col min="1032" max="1032" width="6.625" style="14" customWidth="1"/>
    <col min="1033" max="1038" width="10.125" style="14" customWidth="1"/>
    <col min="1039" max="1043" width="9" style="14"/>
    <col min="1044" max="1044" width="14.25" style="14" customWidth="1"/>
    <col min="1045" max="1046" width="11.25" style="14" customWidth="1"/>
    <col min="1047" max="1280" width="9" style="14"/>
    <col min="1281" max="1281" width="8" style="14" customWidth="1"/>
    <col min="1282" max="1283" width="10.625" style="14" customWidth="1"/>
    <col min="1284" max="1285" width="7.625" style="14" customWidth="1"/>
    <col min="1286" max="1286" width="11.625" style="14" customWidth="1"/>
    <col min="1287" max="1287" width="9" style="14"/>
    <col min="1288" max="1288" width="6.625" style="14" customWidth="1"/>
    <col min="1289" max="1294" width="10.125" style="14" customWidth="1"/>
    <col min="1295" max="1299" width="9" style="14"/>
    <col min="1300" max="1300" width="14.25" style="14" customWidth="1"/>
    <col min="1301" max="1302" width="11.25" style="14" customWidth="1"/>
    <col min="1303" max="1536" width="9" style="14"/>
    <col min="1537" max="1537" width="8" style="14" customWidth="1"/>
    <col min="1538" max="1539" width="10.625" style="14" customWidth="1"/>
    <col min="1540" max="1541" width="7.625" style="14" customWidth="1"/>
    <col min="1542" max="1542" width="11.625" style="14" customWidth="1"/>
    <col min="1543" max="1543" width="9" style="14"/>
    <col min="1544" max="1544" width="6.625" style="14" customWidth="1"/>
    <col min="1545" max="1550" width="10.125" style="14" customWidth="1"/>
    <col min="1551" max="1555" width="9" style="14"/>
    <col min="1556" max="1556" width="14.25" style="14" customWidth="1"/>
    <col min="1557" max="1558" width="11.25" style="14" customWidth="1"/>
    <col min="1559" max="1792" width="9" style="14"/>
    <col min="1793" max="1793" width="8" style="14" customWidth="1"/>
    <col min="1794" max="1795" width="10.625" style="14" customWidth="1"/>
    <col min="1796" max="1797" width="7.625" style="14" customWidth="1"/>
    <col min="1798" max="1798" width="11.625" style="14" customWidth="1"/>
    <col min="1799" max="1799" width="9" style="14"/>
    <col min="1800" max="1800" width="6.625" style="14" customWidth="1"/>
    <col min="1801" max="1806" width="10.125" style="14" customWidth="1"/>
    <col min="1807" max="1811" width="9" style="14"/>
    <col min="1812" max="1812" width="14.25" style="14" customWidth="1"/>
    <col min="1813" max="1814" width="11.25" style="14" customWidth="1"/>
    <col min="1815" max="2048" width="9" style="14"/>
    <col min="2049" max="2049" width="8" style="14" customWidth="1"/>
    <col min="2050" max="2051" width="10.625" style="14" customWidth="1"/>
    <col min="2052" max="2053" width="7.625" style="14" customWidth="1"/>
    <col min="2054" max="2054" width="11.625" style="14" customWidth="1"/>
    <col min="2055" max="2055" width="9" style="14"/>
    <col min="2056" max="2056" width="6.625" style="14" customWidth="1"/>
    <col min="2057" max="2062" width="10.125" style="14" customWidth="1"/>
    <col min="2063" max="2067" width="9" style="14"/>
    <col min="2068" max="2068" width="14.25" style="14" customWidth="1"/>
    <col min="2069" max="2070" width="11.25" style="14" customWidth="1"/>
    <col min="2071" max="2304" width="9" style="14"/>
    <col min="2305" max="2305" width="8" style="14" customWidth="1"/>
    <col min="2306" max="2307" width="10.625" style="14" customWidth="1"/>
    <col min="2308" max="2309" width="7.625" style="14" customWidth="1"/>
    <col min="2310" max="2310" width="11.625" style="14" customWidth="1"/>
    <col min="2311" max="2311" width="9" style="14"/>
    <col min="2312" max="2312" width="6.625" style="14" customWidth="1"/>
    <col min="2313" max="2318" width="10.125" style="14" customWidth="1"/>
    <col min="2319" max="2323" width="9" style="14"/>
    <col min="2324" max="2324" width="14.25" style="14" customWidth="1"/>
    <col min="2325" max="2326" width="11.25" style="14" customWidth="1"/>
    <col min="2327" max="2560" width="9" style="14"/>
    <col min="2561" max="2561" width="8" style="14" customWidth="1"/>
    <col min="2562" max="2563" width="10.625" style="14" customWidth="1"/>
    <col min="2564" max="2565" width="7.625" style="14" customWidth="1"/>
    <col min="2566" max="2566" width="11.625" style="14" customWidth="1"/>
    <col min="2567" max="2567" width="9" style="14"/>
    <col min="2568" max="2568" width="6.625" style="14" customWidth="1"/>
    <col min="2569" max="2574" width="10.125" style="14" customWidth="1"/>
    <col min="2575" max="2579" width="9" style="14"/>
    <col min="2580" max="2580" width="14.25" style="14" customWidth="1"/>
    <col min="2581" max="2582" width="11.25" style="14" customWidth="1"/>
    <col min="2583" max="2816" width="9" style="14"/>
    <col min="2817" max="2817" width="8" style="14" customWidth="1"/>
    <col min="2818" max="2819" width="10.625" style="14" customWidth="1"/>
    <col min="2820" max="2821" width="7.625" style="14" customWidth="1"/>
    <col min="2822" max="2822" width="11.625" style="14" customWidth="1"/>
    <col min="2823" max="2823" width="9" style="14"/>
    <col min="2824" max="2824" width="6.625" style="14" customWidth="1"/>
    <col min="2825" max="2830" width="10.125" style="14" customWidth="1"/>
    <col min="2831" max="2835" width="9" style="14"/>
    <col min="2836" max="2836" width="14.25" style="14" customWidth="1"/>
    <col min="2837" max="2838" width="11.25" style="14" customWidth="1"/>
    <col min="2839" max="3072" width="9" style="14"/>
    <col min="3073" max="3073" width="8" style="14" customWidth="1"/>
    <col min="3074" max="3075" width="10.625" style="14" customWidth="1"/>
    <col min="3076" max="3077" width="7.625" style="14" customWidth="1"/>
    <col min="3078" max="3078" width="11.625" style="14" customWidth="1"/>
    <col min="3079" max="3079" width="9" style="14"/>
    <col min="3080" max="3080" width="6.625" style="14" customWidth="1"/>
    <col min="3081" max="3086" width="10.125" style="14" customWidth="1"/>
    <col min="3087" max="3091" width="9" style="14"/>
    <col min="3092" max="3092" width="14.25" style="14" customWidth="1"/>
    <col min="3093" max="3094" width="11.25" style="14" customWidth="1"/>
    <col min="3095" max="3328" width="9" style="14"/>
    <col min="3329" max="3329" width="8" style="14" customWidth="1"/>
    <col min="3330" max="3331" width="10.625" style="14" customWidth="1"/>
    <col min="3332" max="3333" width="7.625" style="14" customWidth="1"/>
    <col min="3334" max="3334" width="11.625" style="14" customWidth="1"/>
    <col min="3335" max="3335" width="9" style="14"/>
    <col min="3336" max="3336" width="6.625" style="14" customWidth="1"/>
    <col min="3337" max="3342" width="10.125" style="14" customWidth="1"/>
    <col min="3343" max="3347" width="9" style="14"/>
    <col min="3348" max="3348" width="14.25" style="14" customWidth="1"/>
    <col min="3349" max="3350" width="11.25" style="14" customWidth="1"/>
    <col min="3351" max="3584" width="9" style="14"/>
    <col min="3585" max="3585" width="8" style="14" customWidth="1"/>
    <col min="3586" max="3587" width="10.625" style="14" customWidth="1"/>
    <col min="3588" max="3589" width="7.625" style="14" customWidth="1"/>
    <col min="3590" max="3590" width="11.625" style="14" customWidth="1"/>
    <col min="3591" max="3591" width="9" style="14"/>
    <col min="3592" max="3592" width="6.625" style="14" customWidth="1"/>
    <col min="3593" max="3598" width="10.125" style="14" customWidth="1"/>
    <col min="3599" max="3603" width="9" style="14"/>
    <col min="3604" max="3604" width="14.25" style="14" customWidth="1"/>
    <col min="3605" max="3606" width="11.25" style="14" customWidth="1"/>
    <col min="3607" max="3840" width="9" style="14"/>
    <col min="3841" max="3841" width="8" style="14" customWidth="1"/>
    <col min="3842" max="3843" width="10.625" style="14" customWidth="1"/>
    <col min="3844" max="3845" width="7.625" style="14" customWidth="1"/>
    <col min="3846" max="3846" width="11.625" style="14" customWidth="1"/>
    <col min="3847" max="3847" width="9" style="14"/>
    <col min="3848" max="3848" width="6.625" style="14" customWidth="1"/>
    <col min="3849" max="3854" width="10.125" style="14" customWidth="1"/>
    <col min="3855" max="3859" width="9" style="14"/>
    <col min="3860" max="3860" width="14.25" style="14" customWidth="1"/>
    <col min="3861" max="3862" width="11.25" style="14" customWidth="1"/>
    <col min="3863" max="4096" width="9" style="14"/>
    <col min="4097" max="4097" width="8" style="14" customWidth="1"/>
    <col min="4098" max="4099" width="10.625" style="14" customWidth="1"/>
    <col min="4100" max="4101" width="7.625" style="14" customWidth="1"/>
    <col min="4102" max="4102" width="11.625" style="14" customWidth="1"/>
    <col min="4103" max="4103" width="9" style="14"/>
    <col min="4104" max="4104" width="6.625" style="14" customWidth="1"/>
    <col min="4105" max="4110" width="10.125" style="14" customWidth="1"/>
    <col min="4111" max="4115" width="9" style="14"/>
    <col min="4116" max="4116" width="14.25" style="14" customWidth="1"/>
    <col min="4117" max="4118" width="11.25" style="14" customWidth="1"/>
    <col min="4119" max="4352" width="9" style="14"/>
    <col min="4353" max="4353" width="8" style="14" customWidth="1"/>
    <col min="4354" max="4355" width="10.625" style="14" customWidth="1"/>
    <col min="4356" max="4357" width="7.625" style="14" customWidth="1"/>
    <col min="4358" max="4358" width="11.625" style="14" customWidth="1"/>
    <col min="4359" max="4359" width="9" style="14"/>
    <col min="4360" max="4360" width="6.625" style="14" customWidth="1"/>
    <col min="4361" max="4366" width="10.125" style="14" customWidth="1"/>
    <col min="4367" max="4371" width="9" style="14"/>
    <col min="4372" max="4372" width="14.25" style="14" customWidth="1"/>
    <col min="4373" max="4374" width="11.25" style="14" customWidth="1"/>
    <col min="4375" max="4608" width="9" style="14"/>
    <col min="4609" max="4609" width="8" style="14" customWidth="1"/>
    <col min="4610" max="4611" width="10.625" style="14" customWidth="1"/>
    <col min="4612" max="4613" width="7.625" style="14" customWidth="1"/>
    <col min="4614" max="4614" width="11.625" style="14" customWidth="1"/>
    <col min="4615" max="4615" width="9" style="14"/>
    <col min="4616" max="4616" width="6.625" style="14" customWidth="1"/>
    <col min="4617" max="4622" width="10.125" style="14" customWidth="1"/>
    <col min="4623" max="4627" width="9" style="14"/>
    <col min="4628" max="4628" width="14.25" style="14" customWidth="1"/>
    <col min="4629" max="4630" width="11.25" style="14" customWidth="1"/>
    <col min="4631" max="4864" width="9" style="14"/>
    <col min="4865" max="4865" width="8" style="14" customWidth="1"/>
    <col min="4866" max="4867" width="10.625" style="14" customWidth="1"/>
    <col min="4868" max="4869" width="7.625" style="14" customWidth="1"/>
    <col min="4870" max="4870" width="11.625" style="14" customWidth="1"/>
    <col min="4871" max="4871" width="9" style="14"/>
    <col min="4872" max="4872" width="6.625" style="14" customWidth="1"/>
    <col min="4873" max="4878" width="10.125" style="14" customWidth="1"/>
    <col min="4879" max="4883" width="9" style="14"/>
    <col min="4884" max="4884" width="14.25" style="14" customWidth="1"/>
    <col min="4885" max="4886" width="11.25" style="14" customWidth="1"/>
    <col min="4887" max="5120" width="9" style="14"/>
    <col min="5121" max="5121" width="8" style="14" customWidth="1"/>
    <col min="5122" max="5123" width="10.625" style="14" customWidth="1"/>
    <col min="5124" max="5125" width="7.625" style="14" customWidth="1"/>
    <col min="5126" max="5126" width="11.625" style="14" customWidth="1"/>
    <col min="5127" max="5127" width="9" style="14"/>
    <col min="5128" max="5128" width="6.625" style="14" customWidth="1"/>
    <col min="5129" max="5134" width="10.125" style="14" customWidth="1"/>
    <col min="5135" max="5139" width="9" style="14"/>
    <col min="5140" max="5140" width="14.25" style="14" customWidth="1"/>
    <col min="5141" max="5142" width="11.25" style="14" customWidth="1"/>
    <col min="5143" max="5376" width="9" style="14"/>
    <col min="5377" max="5377" width="8" style="14" customWidth="1"/>
    <col min="5378" max="5379" width="10.625" style="14" customWidth="1"/>
    <col min="5380" max="5381" width="7.625" style="14" customWidth="1"/>
    <col min="5382" max="5382" width="11.625" style="14" customWidth="1"/>
    <col min="5383" max="5383" width="9" style="14"/>
    <col min="5384" max="5384" width="6.625" style="14" customWidth="1"/>
    <col min="5385" max="5390" width="10.125" style="14" customWidth="1"/>
    <col min="5391" max="5395" width="9" style="14"/>
    <col min="5396" max="5396" width="14.25" style="14" customWidth="1"/>
    <col min="5397" max="5398" width="11.25" style="14" customWidth="1"/>
    <col min="5399" max="5632" width="9" style="14"/>
    <col min="5633" max="5633" width="8" style="14" customWidth="1"/>
    <col min="5634" max="5635" width="10.625" style="14" customWidth="1"/>
    <col min="5636" max="5637" width="7.625" style="14" customWidth="1"/>
    <col min="5638" max="5638" width="11.625" style="14" customWidth="1"/>
    <col min="5639" max="5639" width="9" style="14"/>
    <col min="5640" max="5640" width="6.625" style="14" customWidth="1"/>
    <col min="5641" max="5646" width="10.125" style="14" customWidth="1"/>
    <col min="5647" max="5651" width="9" style="14"/>
    <col min="5652" max="5652" width="14.25" style="14" customWidth="1"/>
    <col min="5653" max="5654" width="11.25" style="14" customWidth="1"/>
    <col min="5655" max="5888" width="9" style="14"/>
    <col min="5889" max="5889" width="8" style="14" customWidth="1"/>
    <col min="5890" max="5891" width="10.625" style="14" customWidth="1"/>
    <col min="5892" max="5893" width="7.625" style="14" customWidth="1"/>
    <col min="5894" max="5894" width="11.625" style="14" customWidth="1"/>
    <col min="5895" max="5895" width="9" style="14"/>
    <col min="5896" max="5896" width="6.625" style="14" customWidth="1"/>
    <col min="5897" max="5902" width="10.125" style="14" customWidth="1"/>
    <col min="5903" max="5907" width="9" style="14"/>
    <col min="5908" max="5908" width="14.25" style="14" customWidth="1"/>
    <col min="5909" max="5910" width="11.25" style="14" customWidth="1"/>
    <col min="5911" max="6144" width="9" style="14"/>
    <col min="6145" max="6145" width="8" style="14" customWidth="1"/>
    <col min="6146" max="6147" width="10.625" style="14" customWidth="1"/>
    <col min="6148" max="6149" width="7.625" style="14" customWidth="1"/>
    <col min="6150" max="6150" width="11.625" style="14" customWidth="1"/>
    <col min="6151" max="6151" width="9" style="14"/>
    <col min="6152" max="6152" width="6.625" style="14" customWidth="1"/>
    <col min="6153" max="6158" width="10.125" style="14" customWidth="1"/>
    <col min="6159" max="6163" width="9" style="14"/>
    <col min="6164" max="6164" width="14.25" style="14" customWidth="1"/>
    <col min="6165" max="6166" width="11.25" style="14" customWidth="1"/>
    <col min="6167" max="6400" width="9" style="14"/>
    <col min="6401" max="6401" width="8" style="14" customWidth="1"/>
    <col min="6402" max="6403" width="10.625" style="14" customWidth="1"/>
    <col min="6404" max="6405" width="7.625" style="14" customWidth="1"/>
    <col min="6406" max="6406" width="11.625" style="14" customWidth="1"/>
    <col min="6407" max="6407" width="9" style="14"/>
    <col min="6408" max="6408" width="6.625" style="14" customWidth="1"/>
    <col min="6409" max="6414" width="10.125" style="14" customWidth="1"/>
    <col min="6415" max="6419" width="9" style="14"/>
    <col min="6420" max="6420" width="14.25" style="14" customWidth="1"/>
    <col min="6421" max="6422" width="11.25" style="14" customWidth="1"/>
    <col min="6423" max="6656" width="9" style="14"/>
    <col min="6657" max="6657" width="8" style="14" customWidth="1"/>
    <col min="6658" max="6659" width="10.625" style="14" customWidth="1"/>
    <col min="6660" max="6661" width="7.625" style="14" customWidth="1"/>
    <col min="6662" max="6662" width="11.625" style="14" customWidth="1"/>
    <col min="6663" max="6663" width="9" style="14"/>
    <col min="6664" max="6664" width="6.625" style="14" customWidth="1"/>
    <col min="6665" max="6670" width="10.125" style="14" customWidth="1"/>
    <col min="6671" max="6675" width="9" style="14"/>
    <col min="6676" max="6676" width="14.25" style="14" customWidth="1"/>
    <col min="6677" max="6678" width="11.25" style="14" customWidth="1"/>
    <col min="6679" max="6912" width="9" style="14"/>
    <col min="6913" max="6913" width="8" style="14" customWidth="1"/>
    <col min="6914" max="6915" width="10.625" style="14" customWidth="1"/>
    <col min="6916" max="6917" width="7.625" style="14" customWidth="1"/>
    <col min="6918" max="6918" width="11.625" style="14" customWidth="1"/>
    <col min="6919" max="6919" width="9" style="14"/>
    <col min="6920" max="6920" width="6.625" style="14" customWidth="1"/>
    <col min="6921" max="6926" width="10.125" style="14" customWidth="1"/>
    <col min="6927" max="6931" width="9" style="14"/>
    <col min="6932" max="6932" width="14.25" style="14" customWidth="1"/>
    <col min="6933" max="6934" width="11.25" style="14" customWidth="1"/>
    <col min="6935" max="7168" width="9" style="14"/>
    <col min="7169" max="7169" width="8" style="14" customWidth="1"/>
    <col min="7170" max="7171" width="10.625" style="14" customWidth="1"/>
    <col min="7172" max="7173" width="7.625" style="14" customWidth="1"/>
    <col min="7174" max="7174" width="11.625" style="14" customWidth="1"/>
    <col min="7175" max="7175" width="9" style="14"/>
    <col min="7176" max="7176" width="6.625" style="14" customWidth="1"/>
    <col min="7177" max="7182" width="10.125" style="14" customWidth="1"/>
    <col min="7183" max="7187" width="9" style="14"/>
    <col min="7188" max="7188" width="14.25" style="14" customWidth="1"/>
    <col min="7189" max="7190" width="11.25" style="14" customWidth="1"/>
    <col min="7191" max="7424" width="9" style="14"/>
    <col min="7425" max="7425" width="8" style="14" customWidth="1"/>
    <col min="7426" max="7427" width="10.625" style="14" customWidth="1"/>
    <col min="7428" max="7429" width="7.625" style="14" customWidth="1"/>
    <col min="7430" max="7430" width="11.625" style="14" customWidth="1"/>
    <col min="7431" max="7431" width="9" style="14"/>
    <col min="7432" max="7432" width="6.625" style="14" customWidth="1"/>
    <col min="7433" max="7438" width="10.125" style="14" customWidth="1"/>
    <col min="7439" max="7443" width="9" style="14"/>
    <col min="7444" max="7444" width="14.25" style="14" customWidth="1"/>
    <col min="7445" max="7446" width="11.25" style="14" customWidth="1"/>
    <col min="7447" max="7680" width="9" style="14"/>
    <col min="7681" max="7681" width="8" style="14" customWidth="1"/>
    <col min="7682" max="7683" width="10.625" style="14" customWidth="1"/>
    <col min="7684" max="7685" width="7.625" style="14" customWidth="1"/>
    <col min="7686" max="7686" width="11.625" style="14" customWidth="1"/>
    <col min="7687" max="7687" width="9" style="14"/>
    <col min="7688" max="7688" width="6.625" style="14" customWidth="1"/>
    <col min="7689" max="7694" width="10.125" style="14" customWidth="1"/>
    <col min="7695" max="7699" width="9" style="14"/>
    <col min="7700" max="7700" width="14.25" style="14" customWidth="1"/>
    <col min="7701" max="7702" width="11.25" style="14" customWidth="1"/>
    <col min="7703" max="7936" width="9" style="14"/>
    <col min="7937" max="7937" width="8" style="14" customWidth="1"/>
    <col min="7938" max="7939" width="10.625" style="14" customWidth="1"/>
    <col min="7940" max="7941" width="7.625" style="14" customWidth="1"/>
    <col min="7942" max="7942" width="11.625" style="14" customWidth="1"/>
    <col min="7943" max="7943" width="9" style="14"/>
    <col min="7944" max="7944" width="6.625" style="14" customWidth="1"/>
    <col min="7945" max="7950" width="10.125" style="14" customWidth="1"/>
    <col min="7951" max="7955" width="9" style="14"/>
    <col min="7956" max="7956" width="14.25" style="14" customWidth="1"/>
    <col min="7957" max="7958" width="11.25" style="14" customWidth="1"/>
    <col min="7959" max="8192" width="9" style="14"/>
    <col min="8193" max="8193" width="8" style="14" customWidth="1"/>
    <col min="8194" max="8195" width="10.625" style="14" customWidth="1"/>
    <col min="8196" max="8197" width="7.625" style="14" customWidth="1"/>
    <col min="8198" max="8198" width="11.625" style="14" customWidth="1"/>
    <col min="8199" max="8199" width="9" style="14"/>
    <col min="8200" max="8200" width="6.625" style="14" customWidth="1"/>
    <col min="8201" max="8206" width="10.125" style="14" customWidth="1"/>
    <col min="8207" max="8211" width="9" style="14"/>
    <col min="8212" max="8212" width="14.25" style="14" customWidth="1"/>
    <col min="8213" max="8214" width="11.25" style="14" customWidth="1"/>
    <col min="8215" max="8448" width="9" style="14"/>
    <col min="8449" max="8449" width="8" style="14" customWidth="1"/>
    <col min="8450" max="8451" width="10.625" style="14" customWidth="1"/>
    <col min="8452" max="8453" width="7.625" style="14" customWidth="1"/>
    <col min="8454" max="8454" width="11.625" style="14" customWidth="1"/>
    <col min="8455" max="8455" width="9" style="14"/>
    <col min="8456" max="8456" width="6.625" style="14" customWidth="1"/>
    <col min="8457" max="8462" width="10.125" style="14" customWidth="1"/>
    <col min="8463" max="8467" width="9" style="14"/>
    <col min="8468" max="8468" width="14.25" style="14" customWidth="1"/>
    <col min="8469" max="8470" width="11.25" style="14" customWidth="1"/>
    <col min="8471" max="8704" width="9" style="14"/>
    <col min="8705" max="8705" width="8" style="14" customWidth="1"/>
    <col min="8706" max="8707" width="10.625" style="14" customWidth="1"/>
    <col min="8708" max="8709" width="7.625" style="14" customWidth="1"/>
    <col min="8710" max="8710" width="11.625" style="14" customWidth="1"/>
    <col min="8711" max="8711" width="9" style="14"/>
    <col min="8712" max="8712" width="6.625" style="14" customWidth="1"/>
    <col min="8713" max="8718" width="10.125" style="14" customWidth="1"/>
    <col min="8719" max="8723" width="9" style="14"/>
    <col min="8724" max="8724" width="14.25" style="14" customWidth="1"/>
    <col min="8725" max="8726" width="11.25" style="14" customWidth="1"/>
    <col min="8727" max="8960" width="9" style="14"/>
    <col min="8961" max="8961" width="8" style="14" customWidth="1"/>
    <col min="8962" max="8963" width="10.625" style="14" customWidth="1"/>
    <col min="8964" max="8965" width="7.625" style="14" customWidth="1"/>
    <col min="8966" max="8966" width="11.625" style="14" customWidth="1"/>
    <col min="8967" max="8967" width="9" style="14"/>
    <col min="8968" max="8968" width="6.625" style="14" customWidth="1"/>
    <col min="8969" max="8974" width="10.125" style="14" customWidth="1"/>
    <col min="8975" max="8979" width="9" style="14"/>
    <col min="8980" max="8980" width="14.25" style="14" customWidth="1"/>
    <col min="8981" max="8982" width="11.25" style="14" customWidth="1"/>
    <col min="8983" max="9216" width="9" style="14"/>
    <col min="9217" max="9217" width="8" style="14" customWidth="1"/>
    <col min="9218" max="9219" width="10.625" style="14" customWidth="1"/>
    <col min="9220" max="9221" width="7.625" style="14" customWidth="1"/>
    <col min="9222" max="9222" width="11.625" style="14" customWidth="1"/>
    <col min="9223" max="9223" width="9" style="14"/>
    <col min="9224" max="9224" width="6.625" style="14" customWidth="1"/>
    <col min="9225" max="9230" width="10.125" style="14" customWidth="1"/>
    <col min="9231" max="9235" width="9" style="14"/>
    <col min="9236" max="9236" width="14.25" style="14" customWidth="1"/>
    <col min="9237" max="9238" width="11.25" style="14" customWidth="1"/>
    <col min="9239" max="9472" width="9" style="14"/>
    <col min="9473" max="9473" width="8" style="14" customWidth="1"/>
    <col min="9474" max="9475" width="10.625" style="14" customWidth="1"/>
    <col min="9476" max="9477" width="7.625" style="14" customWidth="1"/>
    <col min="9478" max="9478" width="11.625" style="14" customWidth="1"/>
    <col min="9479" max="9479" width="9" style="14"/>
    <col min="9480" max="9480" width="6.625" style="14" customWidth="1"/>
    <col min="9481" max="9486" width="10.125" style="14" customWidth="1"/>
    <col min="9487" max="9491" width="9" style="14"/>
    <col min="9492" max="9492" width="14.25" style="14" customWidth="1"/>
    <col min="9493" max="9494" width="11.25" style="14" customWidth="1"/>
    <col min="9495" max="9728" width="9" style="14"/>
    <col min="9729" max="9729" width="8" style="14" customWidth="1"/>
    <col min="9730" max="9731" width="10.625" style="14" customWidth="1"/>
    <col min="9732" max="9733" width="7.625" style="14" customWidth="1"/>
    <col min="9734" max="9734" width="11.625" style="14" customWidth="1"/>
    <col min="9735" max="9735" width="9" style="14"/>
    <col min="9736" max="9736" width="6.625" style="14" customWidth="1"/>
    <col min="9737" max="9742" width="10.125" style="14" customWidth="1"/>
    <col min="9743" max="9747" width="9" style="14"/>
    <col min="9748" max="9748" width="14.25" style="14" customWidth="1"/>
    <col min="9749" max="9750" width="11.25" style="14" customWidth="1"/>
    <col min="9751" max="9984" width="9" style="14"/>
    <col min="9985" max="9985" width="8" style="14" customWidth="1"/>
    <col min="9986" max="9987" width="10.625" style="14" customWidth="1"/>
    <col min="9988" max="9989" width="7.625" style="14" customWidth="1"/>
    <col min="9990" max="9990" width="11.625" style="14" customWidth="1"/>
    <col min="9991" max="9991" width="9" style="14"/>
    <col min="9992" max="9992" width="6.625" style="14" customWidth="1"/>
    <col min="9993" max="9998" width="10.125" style="14" customWidth="1"/>
    <col min="9999" max="10003" width="9" style="14"/>
    <col min="10004" max="10004" width="14.25" style="14" customWidth="1"/>
    <col min="10005" max="10006" width="11.25" style="14" customWidth="1"/>
    <col min="10007" max="10240" width="9" style="14"/>
    <col min="10241" max="10241" width="8" style="14" customWidth="1"/>
    <col min="10242" max="10243" width="10.625" style="14" customWidth="1"/>
    <col min="10244" max="10245" width="7.625" style="14" customWidth="1"/>
    <col min="10246" max="10246" width="11.625" style="14" customWidth="1"/>
    <col min="10247" max="10247" width="9" style="14"/>
    <col min="10248" max="10248" width="6.625" style="14" customWidth="1"/>
    <col min="10249" max="10254" width="10.125" style="14" customWidth="1"/>
    <col min="10255" max="10259" width="9" style="14"/>
    <col min="10260" max="10260" width="14.25" style="14" customWidth="1"/>
    <col min="10261" max="10262" width="11.25" style="14" customWidth="1"/>
    <col min="10263" max="10496" width="9" style="14"/>
    <col min="10497" max="10497" width="8" style="14" customWidth="1"/>
    <col min="10498" max="10499" width="10.625" style="14" customWidth="1"/>
    <col min="10500" max="10501" width="7.625" style="14" customWidth="1"/>
    <col min="10502" max="10502" width="11.625" style="14" customWidth="1"/>
    <col min="10503" max="10503" width="9" style="14"/>
    <col min="10504" max="10504" width="6.625" style="14" customWidth="1"/>
    <col min="10505" max="10510" width="10.125" style="14" customWidth="1"/>
    <col min="10511" max="10515" width="9" style="14"/>
    <col min="10516" max="10516" width="14.25" style="14" customWidth="1"/>
    <col min="10517" max="10518" width="11.25" style="14" customWidth="1"/>
    <col min="10519" max="10752" width="9" style="14"/>
    <col min="10753" max="10753" width="8" style="14" customWidth="1"/>
    <col min="10754" max="10755" width="10.625" style="14" customWidth="1"/>
    <col min="10756" max="10757" width="7.625" style="14" customWidth="1"/>
    <col min="10758" max="10758" width="11.625" style="14" customWidth="1"/>
    <col min="10759" max="10759" width="9" style="14"/>
    <col min="10760" max="10760" width="6.625" style="14" customWidth="1"/>
    <col min="10761" max="10766" width="10.125" style="14" customWidth="1"/>
    <col min="10767" max="10771" width="9" style="14"/>
    <col min="10772" max="10772" width="14.25" style="14" customWidth="1"/>
    <col min="10773" max="10774" width="11.25" style="14" customWidth="1"/>
    <col min="10775" max="11008" width="9" style="14"/>
    <col min="11009" max="11009" width="8" style="14" customWidth="1"/>
    <col min="11010" max="11011" width="10.625" style="14" customWidth="1"/>
    <col min="11012" max="11013" width="7.625" style="14" customWidth="1"/>
    <col min="11014" max="11014" width="11.625" style="14" customWidth="1"/>
    <col min="11015" max="11015" width="9" style="14"/>
    <col min="11016" max="11016" width="6.625" style="14" customWidth="1"/>
    <col min="11017" max="11022" width="10.125" style="14" customWidth="1"/>
    <col min="11023" max="11027" width="9" style="14"/>
    <col min="11028" max="11028" width="14.25" style="14" customWidth="1"/>
    <col min="11029" max="11030" width="11.25" style="14" customWidth="1"/>
    <col min="11031" max="11264" width="9" style="14"/>
    <col min="11265" max="11265" width="8" style="14" customWidth="1"/>
    <col min="11266" max="11267" width="10.625" style="14" customWidth="1"/>
    <col min="11268" max="11269" width="7.625" style="14" customWidth="1"/>
    <col min="11270" max="11270" width="11.625" style="14" customWidth="1"/>
    <col min="11271" max="11271" width="9" style="14"/>
    <col min="11272" max="11272" width="6.625" style="14" customWidth="1"/>
    <col min="11273" max="11278" width="10.125" style="14" customWidth="1"/>
    <col min="11279" max="11283" width="9" style="14"/>
    <col min="11284" max="11284" width="14.25" style="14" customWidth="1"/>
    <col min="11285" max="11286" width="11.25" style="14" customWidth="1"/>
    <col min="11287" max="11520" width="9" style="14"/>
    <col min="11521" max="11521" width="8" style="14" customWidth="1"/>
    <col min="11522" max="11523" width="10.625" style="14" customWidth="1"/>
    <col min="11524" max="11525" width="7.625" style="14" customWidth="1"/>
    <col min="11526" max="11526" width="11.625" style="14" customWidth="1"/>
    <col min="11527" max="11527" width="9" style="14"/>
    <col min="11528" max="11528" width="6.625" style="14" customWidth="1"/>
    <col min="11529" max="11534" width="10.125" style="14" customWidth="1"/>
    <col min="11535" max="11539" width="9" style="14"/>
    <col min="11540" max="11540" width="14.25" style="14" customWidth="1"/>
    <col min="11541" max="11542" width="11.25" style="14" customWidth="1"/>
    <col min="11543" max="11776" width="9" style="14"/>
    <col min="11777" max="11777" width="8" style="14" customWidth="1"/>
    <col min="11778" max="11779" width="10.625" style="14" customWidth="1"/>
    <col min="11780" max="11781" width="7.625" style="14" customWidth="1"/>
    <col min="11782" max="11782" width="11.625" style="14" customWidth="1"/>
    <col min="11783" max="11783" width="9" style="14"/>
    <col min="11784" max="11784" width="6.625" style="14" customWidth="1"/>
    <col min="11785" max="11790" width="10.125" style="14" customWidth="1"/>
    <col min="11791" max="11795" width="9" style="14"/>
    <col min="11796" max="11796" width="14.25" style="14" customWidth="1"/>
    <col min="11797" max="11798" width="11.25" style="14" customWidth="1"/>
    <col min="11799" max="12032" width="9" style="14"/>
    <col min="12033" max="12033" width="8" style="14" customWidth="1"/>
    <col min="12034" max="12035" width="10.625" style="14" customWidth="1"/>
    <col min="12036" max="12037" width="7.625" style="14" customWidth="1"/>
    <col min="12038" max="12038" width="11.625" style="14" customWidth="1"/>
    <col min="12039" max="12039" width="9" style="14"/>
    <col min="12040" max="12040" width="6.625" style="14" customWidth="1"/>
    <col min="12041" max="12046" width="10.125" style="14" customWidth="1"/>
    <col min="12047" max="12051" width="9" style="14"/>
    <col min="12052" max="12052" width="14.25" style="14" customWidth="1"/>
    <col min="12053" max="12054" width="11.25" style="14" customWidth="1"/>
    <col min="12055" max="12288" width="9" style="14"/>
    <col min="12289" max="12289" width="8" style="14" customWidth="1"/>
    <col min="12290" max="12291" width="10.625" style="14" customWidth="1"/>
    <col min="12292" max="12293" width="7.625" style="14" customWidth="1"/>
    <col min="12294" max="12294" width="11.625" style="14" customWidth="1"/>
    <col min="12295" max="12295" width="9" style="14"/>
    <col min="12296" max="12296" width="6.625" style="14" customWidth="1"/>
    <col min="12297" max="12302" width="10.125" style="14" customWidth="1"/>
    <col min="12303" max="12307" width="9" style="14"/>
    <col min="12308" max="12308" width="14.25" style="14" customWidth="1"/>
    <col min="12309" max="12310" width="11.25" style="14" customWidth="1"/>
    <col min="12311" max="12544" width="9" style="14"/>
    <col min="12545" max="12545" width="8" style="14" customWidth="1"/>
    <col min="12546" max="12547" width="10.625" style="14" customWidth="1"/>
    <col min="12548" max="12549" width="7.625" style="14" customWidth="1"/>
    <col min="12550" max="12550" width="11.625" style="14" customWidth="1"/>
    <col min="12551" max="12551" width="9" style="14"/>
    <col min="12552" max="12552" width="6.625" style="14" customWidth="1"/>
    <col min="12553" max="12558" width="10.125" style="14" customWidth="1"/>
    <col min="12559" max="12563" width="9" style="14"/>
    <col min="12564" max="12564" width="14.25" style="14" customWidth="1"/>
    <col min="12565" max="12566" width="11.25" style="14" customWidth="1"/>
    <col min="12567" max="12800" width="9" style="14"/>
    <col min="12801" max="12801" width="8" style="14" customWidth="1"/>
    <col min="12802" max="12803" width="10.625" style="14" customWidth="1"/>
    <col min="12804" max="12805" width="7.625" style="14" customWidth="1"/>
    <col min="12806" max="12806" width="11.625" style="14" customWidth="1"/>
    <col min="12807" max="12807" width="9" style="14"/>
    <col min="12808" max="12808" width="6.625" style="14" customWidth="1"/>
    <col min="12809" max="12814" width="10.125" style="14" customWidth="1"/>
    <col min="12815" max="12819" width="9" style="14"/>
    <col min="12820" max="12820" width="14.25" style="14" customWidth="1"/>
    <col min="12821" max="12822" width="11.25" style="14" customWidth="1"/>
    <col min="12823" max="13056" width="9" style="14"/>
    <col min="13057" max="13057" width="8" style="14" customWidth="1"/>
    <col min="13058" max="13059" width="10.625" style="14" customWidth="1"/>
    <col min="13060" max="13061" width="7.625" style="14" customWidth="1"/>
    <col min="13062" max="13062" width="11.625" style="14" customWidth="1"/>
    <col min="13063" max="13063" width="9" style="14"/>
    <col min="13064" max="13064" width="6.625" style="14" customWidth="1"/>
    <col min="13065" max="13070" width="10.125" style="14" customWidth="1"/>
    <col min="13071" max="13075" width="9" style="14"/>
    <col min="13076" max="13076" width="14.25" style="14" customWidth="1"/>
    <col min="13077" max="13078" width="11.25" style="14" customWidth="1"/>
    <col min="13079" max="13312" width="9" style="14"/>
    <col min="13313" max="13313" width="8" style="14" customWidth="1"/>
    <col min="13314" max="13315" width="10.625" style="14" customWidth="1"/>
    <col min="13316" max="13317" width="7.625" style="14" customWidth="1"/>
    <col min="13318" max="13318" width="11.625" style="14" customWidth="1"/>
    <col min="13319" max="13319" width="9" style="14"/>
    <col min="13320" max="13320" width="6.625" style="14" customWidth="1"/>
    <col min="13321" max="13326" width="10.125" style="14" customWidth="1"/>
    <col min="13327" max="13331" width="9" style="14"/>
    <col min="13332" max="13332" width="14.25" style="14" customWidth="1"/>
    <col min="13333" max="13334" width="11.25" style="14" customWidth="1"/>
    <col min="13335" max="13568" width="9" style="14"/>
    <col min="13569" max="13569" width="8" style="14" customWidth="1"/>
    <col min="13570" max="13571" width="10.625" style="14" customWidth="1"/>
    <col min="13572" max="13573" width="7.625" style="14" customWidth="1"/>
    <col min="13574" max="13574" width="11.625" style="14" customWidth="1"/>
    <col min="13575" max="13575" width="9" style="14"/>
    <col min="13576" max="13576" width="6.625" style="14" customWidth="1"/>
    <col min="13577" max="13582" width="10.125" style="14" customWidth="1"/>
    <col min="13583" max="13587" width="9" style="14"/>
    <col min="13588" max="13588" width="14.25" style="14" customWidth="1"/>
    <col min="13589" max="13590" width="11.25" style="14" customWidth="1"/>
    <col min="13591" max="13824" width="9" style="14"/>
    <col min="13825" max="13825" width="8" style="14" customWidth="1"/>
    <col min="13826" max="13827" width="10.625" style="14" customWidth="1"/>
    <col min="13828" max="13829" width="7.625" style="14" customWidth="1"/>
    <col min="13830" max="13830" width="11.625" style="14" customWidth="1"/>
    <col min="13831" max="13831" width="9" style="14"/>
    <col min="13832" max="13832" width="6.625" style="14" customWidth="1"/>
    <col min="13833" max="13838" width="10.125" style="14" customWidth="1"/>
    <col min="13839" max="13843" width="9" style="14"/>
    <col min="13844" max="13844" width="14.25" style="14" customWidth="1"/>
    <col min="13845" max="13846" width="11.25" style="14" customWidth="1"/>
    <col min="13847" max="14080" width="9" style="14"/>
    <col min="14081" max="14081" width="8" style="14" customWidth="1"/>
    <col min="14082" max="14083" width="10.625" style="14" customWidth="1"/>
    <col min="14084" max="14085" width="7.625" style="14" customWidth="1"/>
    <col min="14086" max="14086" width="11.625" style="14" customWidth="1"/>
    <col min="14087" max="14087" width="9" style="14"/>
    <col min="14088" max="14088" width="6.625" style="14" customWidth="1"/>
    <col min="14089" max="14094" width="10.125" style="14" customWidth="1"/>
    <col min="14095" max="14099" width="9" style="14"/>
    <col min="14100" max="14100" width="14.25" style="14" customWidth="1"/>
    <col min="14101" max="14102" width="11.25" style="14" customWidth="1"/>
    <col min="14103" max="14336" width="9" style="14"/>
    <col min="14337" max="14337" width="8" style="14" customWidth="1"/>
    <col min="14338" max="14339" width="10.625" style="14" customWidth="1"/>
    <col min="14340" max="14341" width="7.625" style="14" customWidth="1"/>
    <col min="14342" max="14342" width="11.625" style="14" customWidth="1"/>
    <col min="14343" max="14343" width="9" style="14"/>
    <col min="14344" max="14344" width="6.625" style="14" customWidth="1"/>
    <col min="14345" max="14350" width="10.125" style="14" customWidth="1"/>
    <col min="14351" max="14355" width="9" style="14"/>
    <col min="14356" max="14356" width="14.25" style="14" customWidth="1"/>
    <col min="14357" max="14358" width="11.25" style="14" customWidth="1"/>
    <col min="14359" max="14592" width="9" style="14"/>
    <col min="14593" max="14593" width="8" style="14" customWidth="1"/>
    <col min="14594" max="14595" width="10.625" style="14" customWidth="1"/>
    <col min="14596" max="14597" width="7.625" style="14" customWidth="1"/>
    <col min="14598" max="14598" width="11.625" style="14" customWidth="1"/>
    <col min="14599" max="14599" width="9" style="14"/>
    <col min="14600" max="14600" width="6.625" style="14" customWidth="1"/>
    <col min="14601" max="14606" width="10.125" style="14" customWidth="1"/>
    <col min="14607" max="14611" width="9" style="14"/>
    <col min="14612" max="14612" width="14.25" style="14" customWidth="1"/>
    <col min="14613" max="14614" width="11.25" style="14" customWidth="1"/>
    <col min="14615" max="14848" width="9" style="14"/>
    <col min="14849" max="14849" width="8" style="14" customWidth="1"/>
    <col min="14850" max="14851" width="10.625" style="14" customWidth="1"/>
    <col min="14852" max="14853" width="7.625" style="14" customWidth="1"/>
    <col min="14854" max="14854" width="11.625" style="14" customWidth="1"/>
    <col min="14855" max="14855" width="9" style="14"/>
    <col min="14856" max="14856" width="6.625" style="14" customWidth="1"/>
    <col min="14857" max="14862" width="10.125" style="14" customWidth="1"/>
    <col min="14863" max="14867" width="9" style="14"/>
    <col min="14868" max="14868" width="14.25" style="14" customWidth="1"/>
    <col min="14869" max="14870" width="11.25" style="14" customWidth="1"/>
    <col min="14871" max="15104" width="9" style="14"/>
    <col min="15105" max="15105" width="8" style="14" customWidth="1"/>
    <col min="15106" max="15107" width="10.625" style="14" customWidth="1"/>
    <col min="15108" max="15109" width="7.625" style="14" customWidth="1"/>
    <col min="15110" max="15110" width="11.625" style="14" customWidth="1"/>
    <col min="15111" max="15111" width="9" style="14"/>
    <col min="15112" max="15112" width="6.625" style="14" customWidth="1"/>
    <col min="15113" max="15118" width="10.125" style="14" customWidth="1"/>
    <col min="15119" max="15123" width="9" style="14"/>
    <col min="15124" max="15124" width="14.25" style="14" customWidth="1"/>
    <col min="15125" max="15126" width="11.25" style="14" customWidth="1"/>
    <col min="15127" max="15360" width="9" style="14"/>
    <col min="15361" max="15361" width="8" style="14" customWidth="1"/>
    <col min="15362" max="15363" width="10.625" style="14" customWidth="1"/>
    <col min="15364" max="15365" width="7.625" style="14" customWidth="1"/>
    <col min="15366" max="15366" width="11.625" style="14" customWidth="1"/>
    <col min="15367" max="15367" width="9" style="14"/>
    <col min="15368" max="15368" width="6.625" style="14" customWidth="1"/>
    <col min="15369" max="15374" width="10.125" style="14" customWidth="1"/>
    <col min="15375" max="15379" width="9" style="14"/>
    <col min="15380" max="15380" width="14.25" style="14" customWidth="1"/>
    <col min="15381" max="15382" width="11.25" style="14" customWidth="1"/>
    <col min="15383" max="15616" width="9" style="14"/>
    <col min="15617" max="15617" width="8" style="14" customWidth="1"/>
    <col min="15618" max="15619" width="10.625" style="14" customWidth="1"/>
    <col min="15620" max="15621" width="7.625" style="14" customWidth="1"/>
    <col min="15622" max="15622" width="11.625" style="14" customWidth="1"/>
    <col min="15623" max="15623" width="9" style="14"/>
    <col min="15624" max="15624" width="6.625" style="14" customWidth="1"/>
    <col min="15625" max="15630" width="10.125" style="14" customWidth="1"/>
    <col min="15631" max="15635" width="9" style="14"/>
    <col min="15636" max="15636" width="14.25" style="14" customWidth="1"/>
    <col min="15637" max="15638" width="11.25" style="14" customWidth="1"/>
    <col min="15639" max="15872" width="9" style="14"/>
    <col min="15873" max="15873" width="8" style="14" customWidth="1"/>
    <col min="15874" max="15875" width="10.625" style="14" customWidth="1"/>
    <col min="15876" max="15877" width="7.625" style="14" customWidth="1"/>
    <col min="15878" max="15878" width="11.625" style="14" customWidth="1"/>
    <col min="15879" max="15879" width="9" style="14"/>
    <col min="15880" max="15880" width="6.625" style="14" customWidth="1"/>
    <col min="15881" max="15886" width="10.125" style="14" customWidth="1"/>
    <col min="15887" max="15891" width="9" style="14"/>
    <col min="15892" max="15892" width="14.25" style="14" customWidth="1"/>
    <col min="15893" max="15894" width="11.25" style="14" customWidth="1"/>
    <col min="15895" max="16128" width="9" style="14"/>
    <col min="16129" max="16129" width="8" style="14" customWidth="1"/>
    <col min="16130" max="16131" width="10.625" style="14" customWidth="1"/>
    <col min="16132" max="16133" width="7.625" style="14" customWidth="1"/>
    <col min="16134" max="16134" width="11.625" style="14" customWidth="1"/>
    <col min="16135" max="16135" width="9" style="14"/>
    <col min="16136" max="16136" width="6.625" style="14" customWidth="1"/>
    <col min="16137" max="16142" width="10.125" style="14" customWidth="1"/>
    <col min="16143" max="16147" width="9" style="14"/>
    <col min="16148" max="16148" width="14.25" style="14" customWidth="1"/>
    <col min="16149" max="16150" width="11.25" style="14" customWidth="1"/>
    <col min="16151" max="16384" width="9" style="14"/>
  </cols>
  <sheetData>
    <row r="1" spans="1:66" ht="31.5" thickBot="1" x14ac:dyDescent="0.5">
      <c r="A1" s="10" t="s">
        <v>19</v>
      </c>
      <c r="I1" s="13"/>
      <c r="J1" s="13"/>
      <c r="K1" s="13"/>
      <c r="L1" s="13"/>
      <c r="M1" s="13"/>
      <c r="N1" s="13"/>
      <c r="O1" s="13"/>
      <c r="Q1" s="13"/>
      <c r="AH1" s="16"/>
      <c r="AI1" s="16"/>
      <c r="AJ1" s="16"/>
      <c r="AK1" s="16"/>
      <c r="AL1" s="58" t="s">
        <v>62</v>
      </c>
      <c r="AM1" s="58" t="s">
        <v>63</v>
      </c>
      <c r="AN1" s="16"/>
      <c r="BC1" s="13"/>
      <c r="BD1" s="13"/>
      <c r="BE1" s="13"/>
      <c r="BF1" s="13"/>
      <c r="BG1" s="13"/>
      <c r="BH1" s="13"/>
      <c r="BI1" s="13"/>
      <c r="BJ1" s="13"/>
      <c r="BK1" s="13"/>
      <c r="BL1" s="13"/>
      <c r="BM1" s="13"/>
      <c r="BN1" s="13"/>
    </row>
    <row r="2" spans="1:66" s="20" customFormat="1" ht="39.75" customHeight="1" thickBot="1" x14ac:dyDescent="0.35">
      <c r="A2" s="17" t="s">
        <v>20</v>
      </c>
      <c r="B2" s="56" t="s">
        <v>62</v>
      </c>
      <c r="C2" s="57" t="s">
        <v>63</v>
      </c>
      <c r="D2" s="13"/>
      <c r="E2" s="19"/>
      <c r="F2" s="59" t="s">
        <v>21</v>
      </c>
      <c r="G2" s="60"/>
      <c r="I2" s="21"/>
      <c r="J2" s="21"/>
      <c r="K2" s="21"/>
      <c r="L2" s="21"/>
      <c r="M2" s="21"/>
      <c r="N2" s="21"/>
      <c r="O2" s="21"/>
      <c r="Q2" s="21"/>
      <c r="R2" s="13"/>
      <c r="S2" s="13"/>
      <c r="T2" s="13"/>
      <c r="U2" s="13"/>
      <c r="V2" s="13"/>
      <c r="W2" s="21"/>
      <c r="X2" s="21"/>
      <c r="Y2" s="13"/>
      <c r="Z2" s="13"/>
      <c r="AA2" s="13"/>
      <c r="AB2" s="13"/>
      <c r="AC2" s="13"/>
      <c r="AD2" s="13"/>
      <c r="AE2" s="13"/>
      <c r="AF2" s="13"/>
      <c r="AG2" s="13"/>
      <c r="AH2" s="16">
        <v>400</v>
      </c>
      <c r="AI2" s="16"/>
      <c r="AJ2" s="16"/>
      <c r="AK2" s="16">
        <v>400</v>
      </c>
      <c r="AL2" s="16">
        <v>0</v>
      </c>
      <c r="AM2" s="16">
        <v>0</v>
      </c>
      <c r="AN2" s="16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21"/>
      <c r="BD2" s="21"/>
      <c r="BE2" s="21"/>
      <c r="BF2" s="21"/>
      <c r="BG2" s="21"/>
      <c r="BH2" s="21"/>
      <c r="BI2" s="21"/>
      <c r="BJ2" s="21"/>
      <c r="BK2" s="21"/>
      <c r="BL2" s="21"/>
      <c r="BM2" s="21"/>
      <c r="BN2" s="21"/>
    </row>
    <row r="3" spans="1:66" ht="16.5" thickBot="1" x14ac:dyDescent="0.3">
      <c r="A3" s="22">
        <v>1</v>
      </c>
      <c r="B3" s="23">
        <v>1559.0675452200519</v>
      </c>
      <c r="C3" s="24">
        <v>924.01018655702489</v>
      </c>
      <c r="E3" s="25"/>
      <c r="F3" s="26">
        <v>10000</v>
      </c>
      <c r="G3" s="27" t="s">
        <v>22</v>
      </c>
      <c r="AH3" s="16">
        <v>450</v>
      </c>
      <c r="AI3" s="16"/>
      <c r="AJ3" s="16"/>
      <c r="AK3" s="16">
        <v>400</v>
      </c>
      <c r="AL3" s="16">
        <v>0</v>
      </c>
      <c r="AM3" s="16">
        <v>6</v>
      </c>
      <c r="AN3" s="16"/>
      <c r="BC3" s="13"/>
      <c r="BD3" s="13"/>
      <c r="BE3" s="13"/>
      <c r="BF3" s="13"/>
      <c r="BG3" s="13"/>
      <c r="BH3" s="13"/>
      <c r="BI3" s="13"/>
      <c r="BJ3" s="13"/>
      <c r="BK3" s="13"/>
      <c r="BL3" s="13"/>
      <c r="BM3" s="13"/>
      <c r="BN3" s="13"/>
    </row>
    <row r="4" spans="1:66" ht="16.5" thickBot="1" x14ac:dyDescent="0.3">
      <c r="A4" s="22">
        <v>2</v>
      </c>
      <c r="B4" s="23">
        <v>1058.8862113441771</v>
      </c>
      <c r="C4" s="24">
        <v>846.82563335798454</v>
      </c>
      <c r="E4" s="25"/>
      <c r="F4" s="28">
        <v>77.000000397674739</v>
      </c>
      <c r="G4" s="29" t="s">
        <v>23</v>
      </c>
      <c r="I4" s="61" t="s">
        <v>36</v>
      </c>
      <c r="J4" s="62"/>
      <c r="K4" s="63" t="s">
        <v>37</v>
      </c>
      <c r="L4" s="64"/>
      <c r="M4" s="65" t="s">
        <v>24</v>
      </c>
      <c r="N4" s="66"/>
      <c r="P4" s="30"/>
      <c r="AH4" s="16">
        <v>500</v>
      </c>
      <c r="AI4" s="16"/>
      <c r="AJ4" s="16"/>
      <c r="AK4" s="16">
        <v>450</v>
      </c>
      <c r="AL4" s="16">
        <v>0</v>
      </c>
      <c r="AM4" s="16">
        <v>6</v>
      </c>
      <c r="AN4" s="16"/>
      <c r="BC4" s="13"/>
      <c r="BD4" s="13"/>
      <c r="BE4" s="13"/>
      <c r="BF4" s="13"/>
      <c r="BG4" s="13"/>
      <c r="BH4" s="13"/>
      <c r="BI4" s="13"/>
      <c r="BJ4" s="13"/>
      <c r="BK4" s="13"/>
      <c r="BL4" s="13"/>
      <c r="BM4" s="13"/>
      <c r="BN4" s="13"/>
    </row>
    <row r="5" spans="1:66" x14ac:dyDescent="0.25">
      <c r="A5" s="22">
        <v>3</v>
      </c>
      <c r="B5" s="23">
        <v>1008.3963770831481</v>
      </c>
      <c r="C5" s="24">
        <v>775.50388734981129</v>
      </c>
      <c r="E5" s="31"/>
      <c r="F5" s="32"/>
      <c r="G5" s="31"/>
      <c r="I5" s="33" t="s">
        <v>25</v>
      </c>
      <c r="J5" s="34">
        <v>1211.4859310290369</v>
      </c>
      <c r="K5" s="35" t="s">
        <v>25</v>
      </c>
      <c r="L5" s="36">
        <v>840.87101177234706</v>
      </c>
      <c r="M5" s="37"/>
      <c r="N5" s="38"/>
      <c r="P5" s="30"/>
      <c r="AH5" s="16">
        <v>550</v>
      </c>
      <c r="AI5" s="16"/>
      <c r="AJ5" s="16"/>
      <c r="AK5" s="16">
        <v>450</v>
      </c>
      <c r="AL5" s="16">
        <v>0</v>
      </c>
      <c r="AM5" s="16">
        <v>33</v>
      </c>
      <c r="AN5" s="16"/>
      <c r="BC5" s="13"/>
      <c r="BD5" s="13"/>
      <c r="BE5" s="13"/>
      <c r="BF5" s="13"/>
      <c r="BG5" s="13"/>
      <c r="BH5" s="13"/>
      <c r="BI5" s="13"/>
      <c r="BJ5" s="13"/>
      <c r="BK5" s="13"/>
      <c r="BL5" s="13"/>
      <c r="BM5" s="13"/>
      <c r="BN5" s="13"/>
    </row>
    <row r="6" spans="1:66" x14ac:dyDescent="0.25">
      <c r="A6" s="22">
        <v>4</v>
      </c>
      <c r="B6" s="23">
        <v>1106.6226904953933</v>
      </c>
      <c r="C6" s="24">
        <v>780.06039550381183</v>
      </c>
      <c r="I6" s="33" t="s">
        <v>26</v>
      </c>
      <c r="J6" s="39">
        <v>254.94087824009443</v>
      </c>
      <c r="K6" s="35" t="s">
        <v>26</v>
      </c>
      <c r="L6" s="40">
        <v>154.27649506939784</v>
      </c>
      <c r="M6" s="41"/>
      <c r="N6" s="42"/>
      <c r="AH6" s="16">
        <v>600</v>
      </c>
      <c r="AI6" s="16"/>
      <c r="AJ6" s="16"/>
      <c r="AK6" s="16">
        <v>500</v>
      </c>
      <c r="AL6" s="16">
        <v>0</v>
      </c>
      <c r="AM6" s="16">
        <v>33</v>
      </c>
      <c r="AN6" s="16"/>
      <c r="BC6" s="13"/>
      <c r="BD6" s="13"/>
      <c r="BE6" s="13"/>
      <c r="BF6" s="13"/>
      <c r="BG6" s="13"/>
      <c r="BH6" s="13"/>
      <c r="BI6" s="13"/>
      <c r="BJ6" s="13"/>
      <c r="BK6" s="13"/>
      <c r="BL6" s="13"/>
      <c r="BM6" s="13"/>
      <c r="BN6" s="13"/>
    </row>
    <row r="7" spans="1:66" x14ac:dyDescent="0.25">
      <c r="A7" s="22">
        <v>5</v>
      </c>
      <c r="B7" s="23">
        <v>1064.3957598395295</v>
      </c>
      <c r="C7" s="24">
        <v>693.38621289668276</v>
      </c>
      <c r="F7" s="43"/>
      <c r="I7" s="33" t="s">
        <v>27</v>
      </c>
      <c r="J7" s="34">
        <v>2862.383846767053</v>
      </c>
      <c r="K7" s="35" t="s">
        <v>27</v>
      </c>
      <c r="L7" s="36">
        <v>1851.748869855767</v>
      </c>
      <c r="M7" s="25"/>
      <c r="N7" s="44"/>
      <c r="AH7" s="16">
        <v>650</v>
      </c>
      <c r="AI7" s="16"/>
      <c r="AJ7" s="16"/>
      <c r="AK7" s="16">
        <v>500</v>
      </c>
      <c r="AL7" s="16">
        <v>2</v>
      </c>
      <c r="AM7" s="16">
        <v>102</v>
      </c>
      <c r="AN7" s="16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</row>
    <row r="8" spans="1:66" ht="16.5" thickBot="1" x14ac:dyDescent="0.3">
      <c r="A8" s="22">
        <v>6</v>
      </c>
      <c r="B8" s="23">
        <v>1342.1801230747844</v>
      </c>
      <c r="C8" s="24">
        <v>964.72358256121993</v>
      </c>
      <c r="F8" s="43"/>
      <c r="I8" s="45" t="s">
        <v>28</v>
      </c>
      <c r="J8" s="46">
        <v>521.32125922480361</v>
      </c>
      <c r="K8" s="47" t="s">
        <v>28</v>
      </c>
      <c r="L8" s="48">
        <v>419.2652920156732</v>
      </c>
      <c r="M8" s="49"/>
      <c r="N8" s="50"/>
      <c r="AH8" s="16">
        <v>700</v>
      </c>
      <c r="AI8" s="16"/>
      <c r="AJ8" s="16"/>
      <c r="AK8" s="16">
        <v>550</v>
      </c>
      <c r="AL8" s="16">
        <v>2</v>
      </c>
      <c r="AM8" s="16">
        <v>102</v>
      </c>
      <c r="AN8" s="16"/>
      <c r="BC8" s="13"/>
      <c r="BD8" s="13"/>
      <c r="BE8" s="13"/>
      <c r="BF8" s="13"/>
      <c r="BG8" s="13"/>
      <c r="BH8" s="13"/>
      <c r="BI8" s="13"/>
      <c r="BJ8" s="13"/>
      <c r="BK8" s="13"/>
      <c r="BL8" s="13"/>
      <c r="BM8" s="13"/>
      <c r="BN8" s="13"/>
    </row>
    <row r="9" spans="1:66" x14ac:dyDescent="0.25">
      <c r="A9" s="22">
        <v>7</v>
      </c>
      <c r="B9" s="23">
        <v>1440.7093556267464</v>
      </c>
      <c r="C9" s="24">
        <v>970.54161787574469</v>
      </c>
      <c r="F9" s="43"/>
      <c r="I9" s="31"/>
      <c r="J9" s="51"/>
      <c r="K9" s="31"/>
      <c r="L9" s="31"/>
      <c r="M9" s="31"/>
      <c r="N9" s="31"/>
      <c r="AH9" s="16">
        <v>750</v>
      </c>
      <c r="AI9" s="16"/>
      <c r="AJ9" s="16"/>
      <c r="AK9" s="16">
        <v>550</v>
      </c>
      <c r="AL9" s="16">
        <v>8</v>
      </c>
      <c r="AM9" s="16">
        <v>247</v>
      </c>
      <c r="AN9" s="16"/>
      <c r="BC9" s="13"/>
      <c r="BD9" s="13"/>
      <c r="BE9" s="13"/>
      <c r="BF9" s="13"/>
      <c r="BG9" s="13"/>
      <c r="BH9" s="13"/>
      <c r="BI9" s="13"/>
      <c r="BJ9" s="13"/>
      <c r="BK9" s="13"/>
      <c r="BL9" s="13"/>
      <c r="BM9" s="13"/>
      <c r="BN9" s="13"/>
    </row>
    <row r="10" spans="1:66" x14ac:dyDescent="0.25">
      <c r="A10" s="22">
        <v>8</v>
      </c>
      <c r="B10" s="23">
        <v>982.69530254993401</v>
      </c>
      <c r="C10" s="24">
        <v>670.29793239285425</v>
      </c>
      <c r="F10" s="43"/>
      <c r="I10" s="25"/>
      <c r="J10" s="51"/>
      <c r="K10" s="31"/>
      <c r="L10" s="31"/>
      <c r="M10" s="31"/>
      <c r="N10" s="31"/>
      <c r="P10" s="30"/>
      <c r="AH10" s="16">
        <v>800</v>
      </c>
      <c r="AI10" s="16"/>
      <c r="AJ10" s="16"/>
      <c r="AK10" s="16">
        <v>600</v>
      </c>
      <c r="AL10" s="16">
        <v>8</v>
      </c>
      <c r="AM10" s="16">
        <v>247</v>
      </c>
      <c r="AN10" s="16"/>
      <c r="BC10" s="13"/>
      <c r="BD10" s="13"/>
      <c r="BE10" s="13"/>
      <c r="BF10" s="13"/>
      <c r="BG10" s="13"/>
      <c r="BH10" s="13"/>
      <c r="BI10" s="13"/>
      <c r="BJ10" s="13"/>
      <c r="BK10" s="13"/>
      <c r="BL10" s="13"/>
      <c r="BM10" s="13"/>
      <c r="BN10" s="13"/>
    </row>
    <row r="11" spans="1:66" x14ac:dyDescent="0.25">
      <c r="A11" s="22">
        <v>9</v>
      </c>
      <c r="B11" s="23">
        <v>1097.6040537831261</v>
      </c>
      <c r="C11" s="24">
        <v>898.30708670541128</v>
      </c>
      <c r="I11" s="31"/>
      <c r="J11" s="51"/>
      <c r="K11" s="31"/>
      <c r="L11" s="31"/>
      <c r="M11" s="31"/>
      <c r="N11" s="31"/>
      <c r="P11" s="30"/>
      <c r="AH11" s="16">
        <v>850</v>
      </c>
      <c r="AI11" s="16"/>
      <c r="AJ11" s="16"/>
      <c r="AK11" s="16">
        <v>600</v>
      </c>
      <c r="AL11" s="16">
        <v>23</v>
      </c>
      <c r="AM11" s="16">
        <v>556</v>
      </c>
      <c r="AN11" s="16"/>
      <c r="BC11" s="13"/>
      <c r="BD11" s="13"/>
      <c r="BE11" s="13"/>
      <c r="BF11" s="13"/>
      <c r="BG11" s="13"/>
      <c r="BH11" s="13"/>
      <c r="BI11" s="13"/>
      <c r="BJ11" s="13"/>
      <c r="BK11" s="13"/>
      <c r="BL11" s="13"/>
      <c r="BM11" s="13"/>
      <c r="BN11" s="13"/>
    </row>
    <row r="12" spans="1:66" x14ac:dyDescent="0.25">
      <c r="A12" s="22">
        <v>10</v>
      </c>
      <c r="B12" s="23">
        <v>945.48809052630509</v>
      </c>
      <c r="C12" s="24">
        <v>1065.0843290713499</v>
      </c>
      <c r="I12" s="31"/>
      <c r="J12" s="31"/>
      <c r="K12" s="31"/>
      <c r="L12" s="31"/>
      <c r="M12" s="31"/>
      <c r="N12" s="31"/>
      <c r="P12" s="30"/>
      <c r="AH12" s="16">
        <v>900</v>
      </c>
      <c r="AI12" s="16"/>
      <c r="AJ12" s="16"/>
      <c r="AK12" s="16">
        <v>650</v>
      </c>
      <c r="AL12" s="16">
        <v>23</v>
      </c>
      <c r="AM12" s="16">
        <v>556</v>
      </c>
      <c r="AN12" s="16"/>
      <c r="BC12" s="13"/>
      <c r="BD12" s="13"/>
      <c r="BE12" s="13"/>
      <c r="BF12" s="13"/>
      <c r="BG12" s="13"/>
      <c r="BH12" s="13"/>
      <c r="BI12" s="13"/>
      <c r="BJ12" s="13"/>
      <c r="BK12" s="13"/>
      <c r="BL12" s="13"/>
      <c r="BM12" s="13"/>
      <c r="BN12" s="13"/>
    </row>
    <row r="13" spans="1:66" x14ac:dyDescent="0.25">
      <c r="A13" s="22">
        <v>11</v>
      </c>
      <c r="B13" s="23">
        <v>939.01920758352162</v>
      </c>
      <c r="C13" s="24">
        <v>1000.523739467579</v>
      </c>
      <c r="I13" s="31"/>
      <c r="J13" s="31"/>
      <c r="K13" s="31"/>
      <c r="L13" s="31"/>
      <c r="M13" s="31"/>
      <c r="N13" s="31"/>
      <c r="AH13" s="16">
        <v>950</v>
      </c>
      <c r="AI13" s="16"/>
      <c r="AJ13" s="16"/>
      <c r="AK13" s="16">
        <v>650</v>
      </c>
      <c r="AL13" s="16">
        <v>58</v>
      </c>
      <c r="AM13" s="16">
        <v>873</v>
      </c>
      <c r="AN13" s="16"/>
      <c r="BC13" s="13"/>
      <c r="BD13" s="13"/>
      <c r="BE13" s="13"/>
      <c r="BF13" s="13"/>
      <c r="BG13" s="13"/>
      <c r="BH13" s="13"/>
      <c r="BI13" s="13"/>
      <c r="BJ13" s="13"/>
      <c r="BK13" s="13"/>
      <c r="BL13" s="13"/>
      <c r="BM13" s="13"/>
      <c r="BN13" s="13"/>
    </row>
    <row r="14" spans="1:66" x14ac:dyDescent="0.25">
      <c r="A14" s="22">
        <v>12</v>
      </c>
      <c r="B14" s="23">
        <v>1502.2566974374804</v>
      </c>
      <c r="C14" s="24">
        <v>848.11710138178364</v>
      </c>
      <c r="E14" s="52"/>
      <c r="I14" s="31"/>
      <c r="J14" s="31"/>
      <c r="K14" s="31"/>
      <c r="L14" s="31"/>
      <c r="M14" s="31"/>
      <c r="N14" s="31"/>
      <c r="AH14" s="16">
        <v>1000</v>
      </c>
      <c r="AI14" s="16"/>
      <c r="AJ14" s="16"/>
      <c r="AK14" s="16">
        <v>700</v>
      </c>
      <c r="AL14" s="16">
        <v>58</v>
      </c>
      <c r="AM14" s="16">
        <v>873</v>
      </c>
      <c r="AN14" s="16"/>
      <c r="BC14" s="13"/>
      <c r="BD14" s="13"/>
      <c r="BE14" s="13"/>
      <c r="BF14" s="13"/>
      <c r="BG14" s="13"/>
      <c r="BH14" s="13"/>
      <c r="BI14" s="13"/>
      <c r="BJ14" s="13"/>
      <c r="BK14" s="13"/>
      <c r="BL14" s="13"/>
      <c r="BM14" s="13"/>
      <c r="BN14" s="13"/>
    </row>
    <row r="15" spans="1:66" x14ac:dyDescent="0.25">
      <c r="A15" s="22">
        <v>13</v>
      </c>
      <c r="B15" s="23">
        <v>1575.3590054852523</v>
      </c>
      <c r="C15" s="24">
        <v>1051.9556534978249</v>
      </c>
      <c r="E15" s="52"/>
      <c r="I15" s="31"/>
      <c r="J15" s="31"/>
      <c r="K15" s="31"/>
      <c r="L15" s="31"/>
      <c r="M15" s="31"/>
      <c r="N15" s="31"/>
      <c r="AH15" s="16">
        <v>1050</v>
      </c>
      <c r="AI15" s="16"/>
      <c r="AJ15" s="16"/>
      <c r="AK15" s="16">
        <v>700</v>
      </c>
      <c r="AL15" s="16">
        <v>98</v>
      </c>
      <c r="AM15" s="16">
        <v>1109</v>
      </c>
      <c r="AN15" s="16"/>
      <c r="BC15" s="13"/>
      <c r="BD15" s="13"/>
      <c r="BE15" s="13"/>
      <c r="BF15" s="13"/>
      <c r="BG15" s="13"/>
      <c r="BH15" s="13"/>
      <c r="BI15" s="13"/>
      <c r="BJ15" s="13"/>
      <c r="BK15" s="13"/>
      <c r="BL15" s="13"/>
      <c r="BM15" s="13"/>
      <c r="BN15" s="13"/>
    </row>
    <row r="16" spans="1:66" x14ac:dyDescent="0.25">
      <c r="A16" s="22">
        <v>14</v>
      </c>
      <c r="B16" s="23">
        <v>1400.8859592826032</v>
      </c>
      <c r="C16" s="24">
        <v>1151.6554318406579</v>
      </c>
      <c r="E16" s="52"/>
      <c r="I16" s="31"/>
      <c r="J16" s="31"/>
      <c r="K16" s="31"/>
      <c r="L16" s="31"/>
      <c r="M16" s="31"/>
      <c r="N16" s="31"/>
      <c r="AH16" s="16">
        <v>1100</v>
      </c>
      <c r="AI16" s="16"/>
      <c r="AJ16" s="16"/>
      <c r="AK16" s="16">
        <v>750</v>
      </c>
      <c r="AL16" s="16">
        <v>98</v>
      </c>
      <c r="AM16" s="16">
        <v>1109</v>
      </c>
      <c r="AN16" s="16"/>
      <c r="BC16" s="13"/>
      <c r="BD16" s="13"/>
      <c r="BE16" s="13"/>
      <c r="BF16" s="13"/>
      <c r="BG16" s="13"/>
      <c r="BH16" s="13"/>
      <c r="BI16" s="13"/>
      <c r="BJ16" s="13"/>
      <c r="BK16" s="13"/>
      <c r="BL16" s="13"/>
      <c r="BM16" s="13"/>
      <c r="BN16" s="13"/>
    </row>
    <row r="17" spans="1:66" x14ac:dyDescent="0.25">
      <c r="A17" s="22">
        <v>15</v>
      </c>
      <c r="B17" s="23">
        <v>1052.861732515252</v>
      </c>
      <c r="C17" s="24">
        <v>829.47269620231157</v>
      </c>
      <c r="I17" s="31"/>
      <c r="J17" s="31"/>
      <c r="K17" s="31"/>
      <c r="L17" s="31"/>
      <c r="M17" s="31"/>
      <c r="N17" s="31"/>
      <c r="AH17" s="16">
        <v>1150</v>
      </c>
      <c r="AI17" s="16"/>
      <c r="AJ17" s="16"/>
      <c r="AK17" s="16">
        <v>750</v>
      </c>
      <c r="AL17" s="16">
        <v>152</v>
      </c>
      <c r="AM17" s="16">
        <v>1308</v>
      </c>
      <c r="AN17" s="16"/>
      <c r="BC17" s="13"/>
      <c r="BD17" s="13"/>
      <c r="BE17" s="13"/>
      <c r="BF17" s="13"/>
      <c r="BG17" s="13"/>
      <c r="BH17" s="13"/>
      <c r="BI17" s="13"/>
      <c r="BJ17" s="13"/>
      <c r="BK17" s="13"/>
      <c r="BL17" s="13"/>
      <c r="BM17" s="13"/>
      <c r="BN17" s="13"/>
    </row>
    <row r="18" spans="1:66" x14ac:dyDescent="0.25">
      <c r="A18" s="22">
        <v>16</v>
      </c>
      <c r="B18" s="23">
        <v>842.13896691794241</v>
      </c>
      <c r="C18" s="24">
        <v>851.90866504281985</v>
      </c>
      <c r="I18" s="31"/>
      <c r="J18" s="31"/>
      <c r="K18" s="31"/>
      <c r="L18" s="31"/>
      <c r="M18" s="31"/>
      <c r="N18" s="31"/>
      <c r="AH18" s="16">
        <v>1200</v>
      </c>
      <c r="AI18" s="16"/>
      <c r="AJ18" s="16"/>
      <c r="AK18" s="16">
        <v>800</v>
      </c>
      <c r="AL18" s="16">
        <v>152</v>
      </c>
      <c r="AM18" s="16">
        <v>1308</v>
      </c>
      <c r="AN18" s="16"/>
      <c r="BC18" s="13"/>
      <c r="BD18" s="13"/>
      <c r="BE18" s="13"/>
      <c r="BF18" s="13"/>
      <c r="BG18" s="13"/>
      <c r="BH18" s="13"/>
      <c r="BI18" s="13"/>
      <c r="BJ18" s="13"/>
      <c r="BK18" s="13"/>
      <c r="BL18" s="13"/>
      <c r="BM18" s="13"/>
      <c r="BN18" s="13"/>
    </row>
    <row r="19" spans="1:66" x14ac:dyDescent="0.25">
      <c r="A19" s="22">
        <v>17</v>
      </c>
      <c r="B19" s="23">
        <v>1367.0586519324668</v>
      </c>
      <c r="C19" s="24">
        <v>702.49098114194726</v>
      </c>
      <c r="F19" s="53">
        <v>1</v>
      </c>
      <c r="I19" s="31"/>
      <c r="J19" s="31"/>
      <c r="K19" s="31"/>
      <c r="L19" s="31"/>
      <c r="M19" s="31"/>
      <c r="N19" s="31"/>
      <c r="AH19" s="16">
        <v>1250</v>
      </c>
      <c r="AI19" s="16"/>
      <c r="AJ19" s="16"/>
      <c r="AK19" s="16">
        <v>800</v>
      </c>
      <c r="AL19" s="16">
        <v>266</v>
      </c>
      <c r="AM19" s="16">
        <v>1349</v>
      </c>
      <c r="AN19" s="16"/>
      <c r="BC19" s="13"/>
      <c r="BD19" s="13"/>
      <c r="BE19" s="13"/>
      <c r="BF19" s="13"/>
      <c r="BG19" s="13"/>
      <c r="BH19" s="13"/>
      <c r="BI19" s="13"/>
      <c r="BJ19" s="13"/>
      <c r="BK19" s="13"/>
      <c r="BL19" s="13"/>
      <c r="BM19" s="13"/>
      <c r="BN19" s="13"/>
    </row>
    <row r="20" spans="1:66" x14ac:dyDescent="0.25">
      <c r="A20" s="22">
        <v>18</v>
      </c>
      <c r="B20" s="23">
        <v>1145.3012663522163</v>
      </c>
      <c r="C20" s="24">
        <v>719.04596226910542</v>
      </c>
      <c r="I20" s="31"/>
      <c r="J20" s="31"/>
      <c r="K20" s="31"/>
      <c r="L20" s="31"/>
      <c r="M20" s="31"/>
      <c r="N20" s="31"/>
      <c r="AH20" s="16">
        <v>1300</v>
      </c>
      <c r="AI20" s="16"/>
      <c r="AJ20" s="16"/>
      <c r="AK20" s="16">
        <v>850</v>
      </c>
      <c r="AL20" s="16">
        <v>266</v>
      </c>
      <c r="AM20" s="16">
        <v>1349</v>
      </c>
      <c r="AN20" s="16"/>
      <c r="BC20" s="13"/>
      <c r="BD20" s="13"/>
      <c r="BE20" s="13"/>
      <c r="BF20" s="13"/>
      <c r="BG20" s="13"/>
      <c r="BH20" s="13"/>
      <c r="BI20" s="13"/>
      <c r="BJ20" s="13"/>
      <c r="BK20" s="13"/>
      <c r="BL20" s="13"/>
      <c r="BM20" s="13"/>
      <c r="BN20" s="13"/>
    </row>
    <row r="21" spans="1:66" x14ac:dyDescent="0.25">
      <c r="A21" s="22">
        <v>19</v>
      </c>
      <c r="B21" s="23">
        <v>1156.9728808441359</v>
      </c>
      <c r="C21" s="24">
        <v>869.80549988078451</v>
      </c>
      <c r="I21" s="31"/>
      <c r="J21" s="31"/>
      <c r="K21" s="31"/>
      <c r="L21" s="31"/>
      <c r="M21" s="31"/>
      <c r="N21" s="31"/>
      <c r="AH21" s="16">
        <v>1350</v>
      </c>
      <c r="AI21" s="16"/>
      <c r="AJ21" s="16"/>
      <c r="AK21" s="16">
        <v>850</v>
      </c>
      <c r="AL21" s="16">
        <v>374</v>
      </c>
      <c r="AM21" s="16">
        <v>1167</v>
      </c>
      <c r="AN21" s="16"/>
      <c r="BC21" s="13"/>
      <c r="BD21" s="13"/>
      <c r="BE21" s="13"/>
      <c r="BF21" s="13"/>
      <c r="BG21" s="13"/>
      <c r="BH21" s="13"/>
      <c r="BI21" s="13"/>
      <c r="BJ21" s="13"/>
      <c r="BK21" s="13"/>
      <c r="BL21" s="13"/>
      <c r="BM21" s="13"/>
      <c r="BN21" s="13"/>
    </row>
    <row r="22" spans="1:66" x14ac:dyDescent="0.25">
      <c r="A22" s="22">
        <v>20</v>
      </c>
      <c r="B22" s="23">
        <v>928.20218344740601</v>
      </c>
      <c r="C22" s="24">
        <v>1058.3173326336846</v>
      </c>
      <c r="I22" s="31"/>
      <c r="J22" s="31"/>
      <c r="K22" s="31"/>
      <c r="L22" s="31"/>
      <c r="M22" s="31"/>
      <c r="N22" s="31"/>
      <c r="AH22" s="16">
        <v>1400</v>
      </c>
      <c r="AI22" s="16"/>
      <c r="AJ22" s="16"/>
      <c r="AK22" s="16">
        <v>900</v>
      </c>
      <c r="AL22" s="16">
        <v>374</v>
      </c>
      <c r="AM22" s="16">
        <v>1167</v>
      </c>
      <c r="AN22" s="16"/>
      <c r="BC22" s="13"/>
      <c r="BD22" s="13"/>
      <c r="BE22" s="13"/>
      <c r="BF22" s="13"/>
      <c r="BG22" s="13"/>
      <c r="BH22" s="13"/>
      <c r="BI22" s="13"/>
      <c r="BJ22" s="13"/>
      <c r="BK22" s="13"/>
      <c r="BL22" s="13"/>
      <c r="BM22" s="13"/>
      <c r="BN22" s="13"/>
    </row>
    <row r="23" spans="1:66" x14ac:dyDescent="0.25">
      <c r="A23" s="22">
        <v>21</v>
      </c>
      <c r="B23" s="23">
        <v>1108.2046799821319</v>
      </c>
      <c r="C23" s="24">
        <v>594.96877195251227</v>
      </c>
      <c r="AH23" s="16">
        <v>1450</v>
      </c>
      <c r="AI23" s="16"/>
      <c r="AJ23" s="16"/>
      <c r="AK23" s="16">
        <v>900</v>
      </c>
      <c r="AL23" s="16">
        <v>469</v>
      </c>
      <c r="AM23" s="16">
        <v>1003</v>
      </c>
      <c r="AN23" s="16"/>
      <c r="BC23" s="13"/>
      <c r="BD23" s="13"/>
      <c r="BE23" s="13"/>
      <c r="BF23" s="13"/>
      <c r="BG23" s="13"/>
      <c r="BH23" s="13"/>
      <c r="BI23" s="13"/>
      <c r="BJ23" s="13"/>
      <c r="BK23" s="13"/>
      <c r="BL23" s="13"/>
      <c r="BM23" s="13"/>
      <c r="BN23" s="13"/>
    </row>
    <row r="24" spans="1:66" x14ac:dyDescent="0.25">
      <c r="A24" s="22">
        <v>22</v>
      </c>
      <c r="B24" s="23">
        <v>1209.9196550615763</v>
      </c>
      <c r="C24" s="24">
        <v>763.69708483791555</v>
      </c>
      <c r="I24" s="54"/>
      <c r="AH24" s="16">
        <v>1500</v>
      </c>
      <c r="AI24" s="16"/>
      <c r="AJ24" s="16"/>
      <c r="AK24" s="16">
        <v>950</v>
      </c>
      <c r="AL24" s="16">
        <v>469</v>
      </c>
      <c r="AM24" s="16">
        <v>1003</v>
      </c>
      <c r="AN24" s="16"/>
      <c r="BC24" s="13"/>
      <c r="BD24" s="13"/>
      <c r="BE24" s="13"/>
      <c r="BF24" s="13"/>
      <c r="BG24" s="13"/>
      <c r="BH24" s="13"/>
      <c r="BI24" s="13"/>
      <c r="BJ24" s="13"/>
      <c r="BK24" s="13"/>
      <c r="BL24" s="13"/>
      <c r="BM24" s="13"/>
      <c r="BN24" s="13"/>
    </row>
    <row r="25" spans="1:66" x14ac:dyDescent="0.25">
      <c r="A25" s="22">
        <v>23</v>
      </c>
      <c r="B25" s="23">
        <v>1010.0922048510645</v>
      </c>
      <c r="C25" s="24">
        <v>956.26495315462512</v>
      </c>
      <c r="AH25" s="16">
        <v>1550</v>
      </c>
      <c r="AI25" s="16"/>
      <c r="AJ25" s="16"/>
      <c r="AK25" s="16">
        <v>950</v>
      </c>
      <c r="AL25" s="16">
        <v>619</v>
      </c>
      <c r="AM25" s="16">
        <v>798</v>
      </c>
      <c r="AN25" s="16"/>
      <c r="BC25" s="13"/>
      <c r="BD25" s="13"/>
      <c r="BE25" s="13"/>
      <c r="BF25" s="13"/>
      <c r="BG25" s="13"/>
      <c r="BH25" s="13"/>
      <c r="BI25" s="13"/>
      <c r="BJ25" s="13"/>
      <c r="BK25" s="13"/>
      <c r="BL25" s="13"/>
      <c r="BM25" s="13"/>
      <c r="BN25" s="13"/>
    </row>
    <row r="26" spans="1:66" x14ac:dyDescent="0.25">
      <c r="A26" s="22">
        <v>24</v>
      </c>
      <c r="B26" s="23">
        <v>1310.8256332046769</v>
      </c>
      <c r="C26" s="24">
        <v>743.03949939058271</v>
      </c>
      <c r="AH26" s="16">
        <v>1600</v>
      </c>
      <c r="AI26" s="16"/>
      <c r="AJ26" s="16"/>
      <c r="AK26" s="16">
        <v>1000</v>
      </c>
      <c r="AL26" s="16">
        <v>619</v>
      </c>
      <c r="AM26" s="16">
        <v>798</v>
      </c>
      <c r="AN26" s="16"/>
      <c r="BC26" s="13"/>
      <c r="BD26" s="13"/>
      <c r="BE26" s="13"/>
      <c r="BF26" s="13"/>
      <c r="BG26" s="13"/>
      <c r="BH26" s="13"/>
      <c r="BI26" s="13"/>
      <c r="BJ26" s="13"/>
      <c r="BK26" s="13"/>
      <c r="BL26" s="13"/>
      <c r="BM26" s="13"/>
      <c r="BN26" s="13"/>
    </row>
    <row r="27" spans="1:66" x14ac:dyDescent="0.25">
      <c r="A27" s="22">
        <v>25</v>
      </c>
      <c r="B27" s="23">
        <v>955.57028871322609</v>
      </c>
      <c r="C27" s="24">
        <v>1187.5169245935006</v>
      </c>
      <c r="AH27" s="16">
        <v>1650</v>
      </c>
      <c r="AI27" s="16"/>
      <c r="AJ27" s="16"/>
      <c r="AK27" s="16">
        <v>1000</v>
      </c>
      <c r="AL27" s="16">
        <v>714</v>
      </c>
      <c r="AM27" s="16">
        <v>520</v>
      </c>
      <c r="AN27" s="16"/>
      <c r="BC27" s="13"/>
      <c r="BD27" s="13"/>
      <c r="BE27" s="13"/>
      <c r="BF27" s="13"/>
      <c r="BG27" s="13"/>
      <c r="BH27" s="13"/>
      <c r="BI27" s="13"/>
      <c r="BJ27" s="13"/>
      <c r="BK27" s="13"/>
      <c r="BL27" s="13"/>
      <c r="BM27" s="13"/>
      <c r="BN27" s="13"/>
    </row>
    <row r="28" spans="1:66" x14ac:dyDescent="0.25">
      <c r="A28" s="22">
        <v>26</v>
      </c>
      <c r="B28" s="23">
        <v>1270.6284385534589</v>
      </c>
      <c r="C28" s="24">
        <v>944.92274673354507</v>
      </c>
      <c r="AH28" s="16">
        <v>1700</v>
      </c>
      <c r="AI28" s="16"/>
      <c r="AJ28" s="16"/>
      <c r="AK28" s="16">
        <v>1050</v>
      </c>
      <c r="AL28" s="16">
        <v>714</v>
      </c>
      <c r="AM28" s="16">
        <v>520</v>
      </c>
      <c r="AN28" s="16"/>
      <c r="BC28" s="13"/>
      <c r="BD28" s="13"/>
      <c r="BE28" s="13"/>
      <c r="BF28" s="13"/>
      <c r="BG28" s="13"/>
      <c r="BH28" s="13"/>
      <c r="BI28" s="13"/>
      <c r="BJ28" s="13"/>
      <c r="BK28" s="13"/>
      <c r="BL28" s="13"/>
      <c r="BM28" s="13"/>
      <c r="BN28" s="13"/>
    </row>
    <row r="29" spans="1:66" x14ac:dyDescent="0.25">
      <c r="A29" s="22">
        <v>27</v>
      </c>
      <c r="B29" s="23">
        <v>1404.5747387446063</v>
      </c>
      <c r="C29" s="24">
        <v>843.95286588273655</v>
      </c>
      <c r="AH29" s="16">
        <v>1750</v>
      </c>
      <c r="AI29" s="16"/>
      <c r="AJ29" s="16"/>
      <c r="AK29" s="16">
        <v>1050</v>
      </c>
      <c r="AL29" s="16">
        <v>790</v>
      </c>
      <c r="AM29" s="16">
        <v>347</v>
      </c>
      <c r="AN29" s="16"/>
      <c r="BC29" s="13"/>
      <c r="BD29" s="13"/>
      <c r="BE29" s="13"/>
      <c r="BF29" s="13"/>
      <c r="BG29" s="13"/>
      <c r="BH29" s="13"/>
      <c r="BI29" s="13"/>
      <c r="BJ29" s="13"/>
      <c r="BK29" s="13"/>
      <c r="BL29" s="13"/>
      <c r="BM29" s="13"/>
      <c r="BN29" s="13"/>
    </row>
    <row r="30" spans="1:66" x14ac:dyDescent="0.25">
      <c r="A30" s="22">
        <v>28</v>
      </c>
      <c r="B30" s="23">
        <v>1079.4363424578735</v>
      </c>
      <c r="C30" s="24">
        <v>1026.2035455205005</v>
      </c>
      <c r="AH30" s="16">
        <v>1800</v>
      </c>
      <c r="AI30" s="16"/>
      <c r="AJ30" s="16"/>
      <c r="AK30" s="16">
        <v>1100</v>
      </c>
      <c r="AL30" s="16">
        <v>790</v>
      </c>
      <c r="AM30" s="16">
        <v>347</v>
      </c>
      <c r="AN30" s="16"/>
      <c r="BC30" s="13"/>
      <c r="BD30" s="13"/>
      <c r="BE30" s="13"/>
      <c r="BF30" s="13"/>
      <c r="BG30" s="13"/>
      <c r="BH30" s="13"/>
      <c r="BI30" s="13"/>
      <c r="BJ30" s="13"/>
      <c r="BK30" s="13"/>
      <c r="BL30" s="13"/>
      <c r="BM30" s="13"/>
      <c r="BN30" s="13"/>
    </row>
    <row r="31" spans="1:66" x14ac:dyDescent="0.25">
      <c r="A31" s="22">
        <v>29</v>
      </c>
      <c r="B31" s="23">
        <v>1166.7891227297546</v>
      </c>
      <c r="C31" s="24">
        <v>815.1589082521557</v>
      </c>
      <c r="AH31" s="16">
        <v>1850</v>
      </c>
      <c r="AI31" s="16"/>
      <c r="AJ31" s="16"/>
      <c r="AK31" s="16">
        <v>1100</v>
      </c>
      <c r="AL31" s="16">
        <v>807</v>
      </c>
      <c r="AM31" s="16">
        <v>242</v>
      </c>
      <c r="AN31" s="16"/>
      <c r="BC31" s="13"/>
      <c r="BD31" s="13"/>
      <c r="BE31" s="13"/>
      <c r="BF31" s="13"/>
      <c r="BG31" s="13"/>
      <c r="BH31" s="13"/>
      <c r="BI31" s="13"/>
      <c r="BJ31" s="13"/>
      <c r="BK31" s="13"/>
      <c r="BL31" s="13"/>
      <c r="BM31" s="13"/>
      <c r="BN31" s="13"/>
    </row>
    <row r="32" spans="1:66" x14ac:dyDescent="0.25">
      <c r="A32" s="22">
        <v>30</v>
      </c>
      <c r="B32" s="23">
        <v>1091.5888146075988</v>
      </c>
      <c r="C32" s="24">
        <v>783.0437905842773</v>
      </c>
      <c r="AH32" s="16">
        <v>1900</v>
      </c>
      <c r="AI32" s="16"/>
      <c r="AJ32" s="16"/>
      <c r="AK32" s="16">
        <v>1150</v>
      </c>
      <c r="AL32" s="16">
        <v>807</v>
      </c>
      <c r="AM32" s="16">
        <v>242</v>
      </c>
      <c r="AN32" s="16"/>
      <c r="BC32" s="13"/>
      <c r="BD32" s="13"/>
      <c r="BE32" s="13"/>
      <c r="BF32" s="13"/>
      <c r="BG32" s="13"/>
      <c r="BH32" s="13"/>
      <c r="BI32" s="13"/>
      <c r="BJ32" s="13"/>
      <c r="BK32" s="13"/>
      <c r="BL32" s="13"/>
      <c r="BM32" s="13"/>
      <c r="BN32" s="13"/>
    </row>
    <row r="33" spans="1:66" x14ac:dyDescent="0.25">
      <c r="A33" s="22">
        <v>31</v>
      </c>
      <c r="B33" s="23">
        <v>1261.5227265262129</v>
      </c>
      <c r="C33" s="24">
        <v>634.15965046184738</v>
      </c>
      <c r="AH33" s="16">
        <v>1950</v>
      </c>
      <c r="AI33" s="16"/>
      <c r="AJ33" s="16"/>
      <c r="AK33" s="16">
        <v>1150</v>
      </c>
      <c r="AL33" s="16">
        <v>775</v>
      </c>
      <c r="AM33" s="16">
        <v>149</v>
      </c>
      <c r="AN33" s="16"/>
      <c r="BC33" s="13"/>
      <c r="BD33" s="13"/>
      <c r="BE33" s="13"/>
      <c r="BF33" s="13"/>
      <c r="BG33" s="13"/>
      <c r="BH33" s="13"/>
      <c r="BI33" s="13"/>
      <c r="BJ33" s="13"/>
      <c r="BK33" s="13"/>
      <c r="BL33" s="13"/>
      <c r="BM33" s="13"/>
      <c r="BN33" s="13"/>
    </row>
    <row r="34" spans="1:66" x14ac:dyDescent="0.25">
      <c r="A34" s="22">
        <v>32</v>
      </c>
      <c r="B34" s="23">
        <v>1236.2509809072174</v>
      </c>
      <c r="C34" s="24">
        <v>775.38579195234217</v>
      </c>
      <c r="AH34" s="16">
        <v>2000</v>
      </c>
      <c r="AI34" s="16"/>
      <c r="AJ34" s="16"/>
      <c r="AK34" s="16">
        <v>1200</v>
      </c>
      <c r="AL34" s="16">
        <v>775</v>
      </c>
      <c r="AM34" s="16">
        <v>149</v>
      </c>
      <c r="AN34" s="16"/>
      <c r="BC34" s="13"/>
      <c r="BD34" s="13"/>
      <c r="BE34" s="13"/>
      <c r="BF34" s="13"/>
      <c r="BG34" s="13"/>
      <c r="BH34" s="13"/>
      <c r="BI34" s="13"/>
      <c r="BJ34" s="13"/>
      <c r="BK34" s="13"/>
      <c r="BL34" s="13"/>
      <c r="BM34" s="13"/>
      <c r="BN34" s="13"/>
    </row>
    <row r="35" spans="1:66" x14ac:dyDescent="0.25">
      <c r="A35" s="22">
        <v>33</v>
      </c>
      <c r="B35" s="23">
        <v>1460.4331772440942</v>
      </c>
      <c r="C35" s="24">
        <v>933.03439885935666</v>
      </c>
      <c r="AH35" s="16">
        <v>2050</v>
      </c>
      <c r="AI35" s="16"/>
      <c r="AJ35" s="16"/>
      <c r="AK35" s="16">
        <v>1200</v>
      </c>
      <c r="AL35" s="16">
        <v>799</v>
      </c>
      <c r="AM35" s="16">
        <v>82</v>
      </c>
      <c r="AN35" s="16"/>
      <c r="BC35" s="13"/>
      <c r="BD35" s="13"/>
      <c r="BE35" s="13"/>
      <c r="BF35" s="13"/>
      <c r="BG35" s="13"/>
      <c r="BH35" s="13"/>
      <c r="BI35" s="13"/>
      <c r="BJ35" s="13"/>
      <c r="BK35" s="13"/>
      <c r="BL35" s="13"/>
      <c r="BM35" s="13"/>
      <c r="BN35" s="13"/>
    </row>
    <row r="36" spans="1:66" x14ac:dyDescent="0.25">
      <c r="A36" s="22">
        <v>34</v>
      </c>
      <c r="B36" s="23">
        <v>883.11285078618039</v>
      </c>
      <c r="C36" s="24">
        <v>1031.4036865426483</v>
      </c>
      <c r="AH36" s="16">
        <v>2100</v>
      </c>
      <c r="AI36" s="16"/>
      <c r="AJ36" s="16"/>
      <c r="AK36" s="16">
        <v>1250</v>
      </c>
      <c r="AL36" s="16">
        <v>799</v>
      </c>
      <c r="AM36" s="16">
        <v>82</v>
      </c>
      <c r="AN36" s="16"/>
      <c r="BC36" s="13"/>
      <c r="BD36" s="13"/>
      <c r="BE36" s="13"/>
      <c r="BF36" s="13"/>
      <c r="BG36" s="13"/>
      <c r="BH36" s="13"/>
      <c r="BI36" s="13"/>
      <c r="BJ36" s="13"/>
      <c r="BK36" s="13"/>
      <c r="BL36" s="13"/>
      <c r="BM36" s="13"/>
      <c r="BN36" s="13"/>
    </row>
    <row r="37" spans="1:66" x14ac:dyDescent="0.25">
      <c r="A37" s="22">
        <v>35</v>
      </c>
      <c r="B37" s="23">
        <v>1656.2192592037611</v>
      </c>
      <c r="C37" s="24">
        <v>777.02210105243944</v>
      </c>
      <c r="AH37" s="16">
        <v>2150</v>
      </c>
      <c r="AI37" s="16"/>
      <c r="AJ37" s="16"/>
      <c r="AK37" s="16">
        <v>1250</v>
      </c>
      <c r="AL37" s="16">
        <v>676</v>
      </c>
      <c r="AM37" s="16">
        <v>47</v>
      </c>
      <c r="AN37" s="16"/>
      <c r="BC37" s="13"/>
      <c r="BD37" s="13"/>
      <c r="BE37" s="13"/>
      <c r="BF37" s="13"/>
      <c r="BG37" s="13"/>
      <c r="BH37" s="13"/>
      <c r="BI37" s="13"/>
      <c r="BJ37" s="13"/>
      <c r="BK37" s="13"/>
      <c r="BL37" s="13"/>
      <c r="BM37" s="13"/>
      <c r="BN37" s="13"/>
    </row>
    <row r="38" spans="1:66" x14ac:dyDescent="0.25">
      <c r="A38" s="22">
        <v>36</v>
      </c>
      <c r="B38" s="23">
        <v>1236.4997544155801</v>
      </c>
      <c r="C38" s="24">
        <v>825.08062342997675</v>
      </c>
      <c r="AH38" s="16">
        <v>2200</v>
      </c>
      <c r="AI38" s="16"/>
      <c r="AJ38" s="16"/>
      <c r="AK38" s="16">
        <v>1300</v>
      </c>
      <c r="AL38" s="16">
        <v>676</v>
      </c>
      <c r="AM38" s="16">
        <v>47</v>
      </c>
      <c r="AN38" s="16"/>
      <c r="BC38" s="13"/>
      <c r="BD38" s="13"/>
      <c r="BE38" s="13"/>
      <c r="BF38" s="13"/>
      <c r="BG38" s="13"/>
      <c r="BH38" s="13"/>
      <c r="BI38" s="13"/>
      <c r="BJ38" s="13"/>
      <c r="BK38" s="13"/>
      <c r="BL38" s="13"/>
      <c r="BM38" s="13"/>
      <c r="BN38" s="13"/>
    </row>
    <row r="39" spans="1:66" x14ac:dyDescent="0.25">
      <c r="A39" s="22">
        <v>37</v>
      </c>
      <c r="B39" s="23">
        <v>896.89347058884402</v>
      </c>
      <c r="C39" s="24">
        <v>989.78499290875925</v>
      </c>
      <c r="AH39" s="16">
        <v>2250</v>
      </c>
      <c r="AI39" s="16"/>
      <c r="AJ39" s="16"/>
      <c r="AK39" s="16">
        <v>1300</v>
      </c>
      <c r="AL39" s="16">
        <v>627</v>
      </c>
      <c r="AM39" s="16">
        <v>21</v>
      </c>
      <c r="AN39" s="16"/>
      <c r="BC39" s="13"/>
      <c r="BD39" s="13"/>
      <c r="BE39" s="13"/>
      <c r="BF39" s="13"/>
      <c r="BG39" s="13"/>
      <c r="BH39" s="13"/>
      <c r="BI39" s="13"/>
      <c r="BJ39" s="13"/>
      <c r="BK39" s="13"/>
      <c r="BL39" s="13"/>
      <c r="BM39" s="13"/>
      <c r="BN39" s="13"/>
    </row>
    <row r="40" spans="1:66" x14ac:dyDescent="0.25">
      <c r="A40" s="22">
        <v>38</v>
      </c>
      <c r="B40" s="23">
        <v>1118.933979598349</v>
      </c>
      <c r="C40" s="24">
        <v>743.28380670000547</v>
      </c>
      <c r="AH40" s="16">
        <v>2300</v>
      </c>
      <c r="AI40" s="16"/>
      <c r="AJ40" s="16"/>
      <c r="AK40" s="16">
        <v>1350</v>
      </c>
      <c r="AL40" s="16">
        <v>627</v>
      </c>
      <c r="AM40" s="16">
        <v>21</v>
      </c>
      <c r="AN40" s="16"/>
      <c r="BC40" s="13"/>
      <c r="BD40" s="13"/>
      <c r="BE40" s="13"/>
      <c r="BF40" s="13"/>
      <c r="BG40" s="13"/>
      <c r="BH40" s="13"/>
      <c r="BI40" s="13"/>
      <c r="BJ40" s="13"/>
      <c r="BK40" s="13"/>
      <c r="BL40" s="13"/>
      <c r="BM40" s="13"/>
      <c r="BN40" s="13"/>
    </row>
    <row r="41" spans="1:66" x14ac:dyDescent="0.25">
      <c r="A41" s="22">
        <v>39</v>
      </c>
      <c r="B41" s="23">
        <v>970.71951865843164</v>
      </c>
      <c r="C41" s="24">
        <v>1004.3613388779663</v>
      </c>
      <c r="AH41" s="16">
        <v>2350</v>
      </c>
      <c r="AI41" s="16"/>
      <c r="AJ41" s="16"/>
      <c r="AK41" s="16">
        <v>1350</v>
      </c>
      <c r="AL41" s="16">
        <v>576</v>
      </c>
      <c r="AM41" s="16">
        <v>15</v>
      </c>
      <c r="AN41" s="16"/>
      <c r="BC41" s="13"/>
      <c r="BD41" s="13"/>
      <c r="BE41" s="13"/>
      <c r="BF41" s="13"/>
      <c r="BG41" s="13"/>
      <c r="BH41" s="13"/>
      <c r="BI41" s="13"/>
      <c r="BJ41" s="13"/>
      <c r="BK41" s="13"/>
      <c r="BL41" s="13"/>
      <c r="BM41" s="13"/>
      <c r="BN41" s="13"/>
    </row>
    <row r="42" spans="1:66" x14ac:dyDescent="0.25">
      <c r="A42" s="22">
        <v>40</v>
      </c>
      <c r="B42" s="23">
        <v>1208.7202423983633</v>
      </c>
      <c r="C42" s="24">
        <v>590.55501313908201</v>
      </c>
      <c r="AH42" s="16">
        <v>2400</v>
      </c>
      <c r="AI42" s="16"/>
      <c r="AJ42" s="16"/>
      <c r="AK42" s="16">
        <v>1400</v>
      </c>
      <c r="AL42" s="16">
        <v>576</v>
      </c>
      <c r="AM42" s="16">
        <v>15</v>
      </c>
      <c r="AN42" s="16"/>
      <c r="BC42" s="13"/>
      <c r="BD42" s="13"/>
      <c r="BE42" s="13"/>
      <c r="BF42" s="13"/>
      <c r="BG42" s="13"/>
      <c r="BH42" s="13"/>
      <c r="BI42" s="13"/>
      <c r="BJ42" s="13"/>
      <c r="BK42" s="13"/>
      <c r="BL42" s="13"/>
      <c r="BM42" s="13"/>
      <c r="BN42" s="13"/>
    </row>
    <row r="43" spans="1:66" x14ac:dyDescent="0.25">
      <c r="A43" s="22">
        <v>41</v>
      </c>
      <c r="B43" s="23">
        <v>1141.8836414462673</v>
      </c>
      <c r="C43" s="24">
        <v>637.20207560729602</v>
      </c>
      <c r="AH43" s="16">
        <v>2450</v>
      </c>
      <c r="AI43" s="16"/>
      <c r="AJ43" s="16"/>
      <c r="AK43" s="16">
        <v>1400</v>
      </c>
      <c r="AL43" s="16">
        <v>493</v>
      </c>
      <c r="AM43" s="16">
        <v>12</v>
      </c>
      <c r="AN43" s="16"/>
      <c r="BC43" s="13"/>
      <c r="BD43" s="13"/>
      <c r="BE43" s="13"/>
      <c r="BF43" s="13"/>
      <c r="BG43" s="13"/>
      <c r="BH43" s="13"/>
      <c r="BI43" s="13"/>
      <c r="BJ43" s="13"/>
      <c r="BK43" s="13"/>
      <c r="BL43" s="13"/>
      <c r="BM43" s="13"/>
      <c r="BN43" s="13"/>
    </row>
    <row r="44" spans="1:66" x14ac:dyDescent="0.25">
      <c r="A44" s="22">
        <v>42</v>
      </c>
      <c r="B44" s="23">
        <v>1145.7088250463926</v>
      </c>
      <c r="C44" s="24">
        <v>756.37633674825963</v>
      </c>
      <c r="AH44" s="16">
        <v>2500</v>
      </c>
      <c r="AI44" s="16"/>
      <c r="AJ44" s="16"/>
      <c r="AK44" s="16">
        <v>1450</v>
      </c>
      <c r="AL44" s="16">
        <v>493</v>
      </c>
      <c r="AM44" s="16">
        <v>12</v>
      </c>
      <c r="AN44" s="16"/>
      <c r="BC44" s="13"/>
      <c r="BD44" s="13"/>
      <c r="BE44" s="13"/>
      <c r="BF44" s="13"/>
      <c r="BG44" s="13"/>
      <c r="BH44" s="13"/>
      <c r="BI44" s="13"/>
      <c r="BJ44" s="13"/>
      <c r="BK44" s="13"/>
      <c r="BL44" s="13"/>
      <c r="BM44" s="13"/>
      <c r="BN44" s="13"/>
    </row>
    <row r="45" spans="1:66" x14ac:dyDescent="0.25">
      <c r="A45" s="22">
        <v>43</v>
      </c>
      <c r="B45" s="23">
        <v>1089.093684326288</v>
      </c>
      <c r="C45" s="24">
        <v>794.98902282346808</v>
      </c>
      <c r="AH45" s="16">
        <v>2550</v>
      </c>
      <c r="AI45" s="16"/>
      <c r="AJ45" s="16"/>
      <c r="AK45" s="16">
        <v>1450</v>
      </c>
      <c r="AL45" s="16">
        <v>364</v>
      </c>
      <c r="AM45" s="16">
        <v>11</v>
      </c>
      <c r="AN45" s="16"/>
      <c r="BC45" s="13"/>
      <c r="BD45" s="13"/>
      <c r="BE45" s="13"/>
      <c r="BF45" s="13"/>
      <c r="BG45" s="13"/>
      <c r="BH45" s="13"/>
      <c r="BI45" s="13"/>
      <c r="BJ45" s="13"/>
      <c r="BK45" s="13"/>
      <c r="BL45" s="13"/>
      <c r="BM45" s="13"/>
      <c r="BN45" s="13"/>
    </row>
    <row r="46" spans="1:66" x14ac:dyDescent="0.25">
      <c r="A46" s="22">
        <v>44</v>
      </c>
      <c r="B46" s="23">
        <v>1244.4431576135109</v>
      </c>
      <c r="C46" s="24">
        <v>1218.7684788570696</v>
      </c>
      <c r="I46" s="54"/>
      <c r="AH46" s="16">
        <v>2600</v>
      </c>
      <c r="AI46" s="16"/>
      <c r="AJ46" s="16"/>
      <c r="AK46" s="16">
        <v>1500</v>
      </c>
      <c r="AL46" s="16">
        <v>364</v>
      </c>
      <c r="AM46" s="16">
        <v>11</v>
      </c>
      <c r="AN46" s="16"/>
      <c r="BC46" s="13"/>
      <c r="BD46" s="13"/>
      <c r="BE46" s="13"/>
      <c r="BF46" s="13"/>
      <c r="BG46" s="13"/>
      <c r="BH46" s="13"/>
      <c r="BI46" s="13"/>
      <c r="BJ46" s="13"/>
      <c r="BK46" s="13"/>
      <c r="BL46" s="13"/>
      <c r="BM46" s="13"/>
      <c r="BN46" s="13"/>
    </row>
    <row r="47" spans="1:66" x14ac:dyDescent="0.25">
      <c r="A47" s="22">
        <v>45</v>
      </c>
      <c r="B47" s="23">
        <v>1116.3100950811017</v>
      </c>
      <c r="C47" s="24">
        <v>712.80926163760182</v>
      </c>
      <c r="AH47" s="16">
        <v>2650</v>
      </c>
      <c r="AI47" s="16"/>
      <c r="AJ47" s="16"/>
      <c r="AK47" s="16">
        <v>1500</v>
      </c>
      <c r="AL47" s="16">
        <v>311</v>
      </c>
      <c r="AM47" s="16">
        <v>0</v>
      </c>
      <c r="AN47" s="16"/>
      <c r="BC47" s="13"/>
      <c r="BD47" s="13"/>
      <c r="BE47" s="13"/>
      <c r="BF47" s="13"/>
      <c r="BG47" s="13"/>
      <c r="BH47" s="13"/>
      <c r="BI47" s="13"/>
      <c r="BJ47" s="13"/>
      <c r="BK47" s="13"/>
      <c r="BL47" s="13"/>
      <c r="BM47" s="13"/>
      <c r="BN47" s="13"/>
    </row>
    <row r="48" spans="1:66" x14ac:dyDescent="0.25">
      <c r="A48" s="22">
        <v>46</v>
      </c>
      <c r="B48" s="23">
        <v>1319.1288006272175</v>
      </c>
      <c r="C48" s="24">
        <v>951.58461335287325</v>
      </c>
      <c r="AH48" s="16">
        <v>2700</v>
      </c>
      <c r="AI48" s="16"/>
      <c r="AJ48" s="16"/>
      <c r="AK48" s="16">
        <v>1550</v>
      </c>
      <c r="AL48" s="16">
        <v>311</v>
      </c>
      <c r="AM48" s="16">
        <v>0</v>
      </c>
      <c r="AN48" s="16"/>
      <c r="BC48" s="13"/>
      <c r="BD48" s="13"/>
      <c r="BE48" s="13"/>
      <c r="BF48" s="13"/>
      <c r="BG48" s="13"/>
      <c r="BH48" s="13"/>
      <c r="BI48" s="13"/>
      <c r="BJ48" s="13"/>
      <c r="BK48" s="13"/>
      <c r="BL48" s="13"/>
      <c r="BM48" s="13"/>
      <c r="BN48" s="13"/>
    </row>
    <row r="49" spans="1:66" x14ac:dyDescent="0.25">
      <c r="A49" s="22">
        <v>47</v>
      </c>
      <c r="B49" s="23">
        <v>1150.993350510654</v>
      </c>
      <c r="C49" s="24">
        <v>807.04956037242277</v>
      </c>
      <c r="AH49" s="16">
        <v>2750</v>
      </c>
      <c r="AI49" s="16"/>
      <c r="AJ49" s="16"/>
      <c r="AK49" s="16">
        <v>1550</v>
      </c>
      <c r="AL49" s="16">
        <v>247</v>
      </c>
      <c r="AM49" s="16">
        <v>1</v>
      </c>
      <c r="AN49" s="16"/>
      <c r="BC49" s="13"/>
      <c r="BD49" s="13"/>
      <c r="BE49" s="13"/>
      <c r="BF49" s="13"/>
      <c r="BG49" s="13"/>
      <c r="BH49" s="13"/>
      <c r="BI49" s="13"/>
      <c r="BJ49" s="13"/>
      <c r="BK49" s="13"/>
      <c r="BL49" s="13"/>
      <c r="BM49" s="13"/>
      <c r="BN49" s="13"/>
    </row>
    <row r="50" spans="1:66" x14ac:dyDescent="0.25">
      <c r="A50" s="22">
        <v>48</v>
      </c>
      <c r="B50" s="23">
        <v>945.84017329839173</v>
      </c>
      <c r="C50" s="24">
        <v>995.90057982278347</v>
      </c>
      <c r="AH50" s="16">
        <v>2800</v>
      </c>
      <c r="AI50" s="16"/>
      <c r="AJ50" s="16"/>
      <c r="AK50" s="16">
        <v>1600</v>
      </c>
      <c r="AL50" s="16">
        <v>247</v>
      </c>
      <c r="AM50" s="16">
        <v>1</v>
      </c>
      <c r="AN50" s="16"/>
      <c r="BC50" s="13"/>
      <c r="BD50" s="13"/>
      <c r="BE50" s="13"/>
      <c r="BF50" s="13"/>
      <c r="BG50" s="13"/>
      <c r="BH50" s="13"/>
      <c r="BI50" s="13"/>
      <c r="BJ50" s="13"/>
      <c r="BK50" s="13"/>
      <c r="BL50" s="13"/>
      <c r="BM50" s="13"/>
      <c r="BN50" s="13"/>
    </row>
    <row r="51" spans="1:66" x14ac:dyDescent="0.25">
      <c r="A51" s="22">
        <v>49</v>
      </c>
      <c r="B51" s="23">
        <v>1392.2465597734194</v>
      </c>
      <c r="C51" s="24">
        <v>837.37241140698734</v>
      </c>
      <c r="AH51" s="16">
        <v>2850</v>
      </c>
      <c r="AI51" s="16"/>
      <c r="AJ51" s="16"/>
      <c r="AK51" s="16">
        <v>1600</v>
      </c>
      <c r="AL51" s="16">
        <v>211</v>
      </c>
      <c r="AM51" s="16">
        <v>0</v>
      </c>
      <c r="AN51" s="16"/>
      <c r="BC51" s="13"/>
      <c r="BD51" s="13"/>
      <c r="BE51" s="13"/>
      <c r="BF51" s="13"/>
      <c r="BG51" s="13"/>
      <c r="BH51" s="13"/>
      <c r="BI51" s="13"/>
      <c r="BJ51" s="13"/>
      <c r="BK51" s="13"/>
      <c r="BL51" s="13"/>
      <c r="BM51" s="13"/>
      <c r="BN51" s="13"/>
    </row>
    <row r="52" spans="1:66" x14ac:dyDescent="0.25">
      <c r="A52" s="22">
        <v>50</v>
      </c>
      <c r="B52" s="23">
        <v>1179.258994596069</v>
      </c>
      <c r="C52" s="24">
        <v>995.25305017934193</v>
      </c>
      <c r="AH52" s="16">
        <v>2900</v>
      </c>
      <c r="AI52" s="16"/>
      <c r="AJ52" s="16"/>
      <c r="AK52" s="16">
        <v>1650</v>
      </c>
      <c r="AL52" s="16">
        <v>211</v>
      </c>
      <c r="AM52" s="16">
        <v>0</v>
      </c>
      <c r="AN52" s="16"/>
      <c r="BC52" s="13"/>
      <c r="BD52" s="13"/>
      <c r="BE52" s="13"/>
      <c r="BF52" s="13"/>
      <c r="BG52" s="13"/>
      <c r="BH52" s="13"/>
      <c r="BI52" s="13"/>
      <c r="BJ52" s="13"/>
      <c r="BK52" s="13"/>
      <c r="BL52" s="13"/>
      <c r="BM52" s="13"/>
      <c r="BN52" s="13"/>
    </row>
    <row r="53" spans="1:66" x14ac:dyDescent="0.25">
      <c r="A53" s="22">
        <v>51</v>
      </c>
      <c r="B53" s="23">
        <v>1187.8458137009152</v>
      </c>
      <c r="C53" s="24">
        <v>773.65783654774566</v>
      </c>
      <c r="AH53" s="16"/>
      <c r="AI53" s="16"/>
      <c r="AJ53" s="16"/>
      <c r="AK53" s="16">
        <v>1650</v>
      </c>
      <c r="AL53" s="16">
        <v>172</v>
      </c>
      <c r="AM53" s="16">
        <v>1</v>
      </c>
      <c r="AN53" s="16"/>
      <c r="BC53" s="13"/>
      <c r="BD53" s="13"/>
      <c r="BE53" s="13"/>
      <c r="BF53" s="13"/>
      <c r="BG53" s="13"/>
      <c r="BH53" s="13"/>
      <c r="BI53" s="13"/>
      <c r="BJ53" s="13"/>
      <c r="BK53" s="13"/>
      <c r="BL53" s="13"/>
      <c r="BM53" s="13"/>
      <c r="BN53" s="13"/>
    </row>
    <row r="54" spans="1:66" x14ac:dyDescent="0.25">
      <c r="A54" s="22">
        <v>52</v>
      </c>
      <c r="B54" s="23">
        <v>1061.5113167988534</v>
      </c>
      <c r="C54" s="24">
        <v>709.98427072178924</v>
      </c>
      <c r="AH54" s="16"/>
      <c r="AI54" s="16"/>
      <c r="AJ54" s="16"/>
      <c r="AK54" s="16">
        <v>1700</v>
      </c>
      <c r="AL54" s="16">
        <v>172</v>
      </c>
      <c r="AM54" s="16">
        <v>1</v>
      </c>
      <c r="AN54" s="16"/>
      <c r="BC54" s="13"/>
      <c r="BD54" s="13"/>
      <c r="BE54" s="13"/>
      <c r="BF54" s="13"/>
      <c r="BG54" s="13"/>
      <c r="BH54" s="13"/>
      <c r="BI54" s="13"/>
      <c r="BJ54" s="13"/>
      <c r="BK54" s="13"/>
      <c r="BL54" s="13"/>
      <c r="BM54" s="13"/>
      <c r="BN54" s="13"/>
    </row>
    <row r="55" spans="1:66" x14ac:dyDescent="0.25">
      <c r="A55" s="22">
        <v>53</v>
      </c>
      <c r="B55" s="23">
        <v>1393.6260966847624</v>
      </c>
      <c r="C55" s="24">
        <v>668.36891893388008</v>
      </c>
      <c r="AH55" s="16"/>
      <c r="AI55" s="16"/>
      <c r="AJ55" s="16"/>
      <c r="AK55" s="16">
        <v>1700</v>
      </c>
      <c r="AL55" s="16">
        <v>91</v>
      </c>
      <c r="AM55" s="16">
        <v>0</v>
      </c>
      <c r="AN55" s="16"/>
      <c r="BC55" s="13"/>
      <c r="BD55" s="13"/>
      <c r="BE55" s="13"/>
      <c r="BF55" s="13"/>
      <c r="BG55" s="13"/>
      <c r="BH55" s="13"/>
      <c r="BI55" s="13"/>
      <c r="BJ55" s="13"/>
      <c r="BK55" s="13"/>
      <c r="BL55" s="13"/>
      <c r="BM55" s="13"/>
      <c r="BN55" s="13"/>
    </row>
    <row r="56" spans="1:66" x14ac:dyDescent="0.25">
      <c r="A56" s="22">
        <v>54</v>
      </c>
      <c r="B56" s="23">
        <v>878.703622206163</v>
      </c>
      <c r="C56" s="24">
        <v>713.41279366725439</v>
      </c>
      <c r="AH56" s="16"/>
      <c r="AI56" s="16"/>
      <c r="AJ56" s="16"/>
      <c r="AK56" s="16">
        <v>1750</v>
      </c>
      <c r="AL56" s="16">
        <v>91</v>
      </c>
      <c r="AM56" s="16">
        <v>0</v>
      </c>
      <c r="AN56" s="16"/>
      <c r="BC56" s="13"/>
      <c r="BD56" s="13"/>
      <c r="BE56" s="13"/>
      <c r="BF56" s="13"/>
      <c r="BG56" s="13"/>
      <c r="BH56" s="13"/>
      <c r="BI56" s="13"/>
      <c r="BJ56" s="13"/>
      <c r="BK56" s="13"/>
      <c r="BL56" s="13"/>
      <c r="BM56" s="13"/>
      <c r="BN56" s="13"/>
    </row>
    <row r="57" spans="1:66" x14ac:dyDescent="0.25">
      <c r="A57" s="22">
        <v>55</v>
      </c>
      <c r="B57" s="23">
        <v>1123.5171955254334</v>
      </c>
      <c r="C57" s="24">
        <v>641.73254082013659</v>
      </c>
      <c r="AH57" s="16"/>
      <c r="AI57" s="16"/>
      <c r="AJ57" s="16"/>
      <c r="AK57" s="16">
        <v>1750</v>
      </c>
      <c r="AL57" s="16">
        <v>90</v>
      </c>
      <c r="AM57" s="16">
        <v>0</v>
      </c>
      <c r="AN57" s="16"/>
      <c r="BC57" s="13"/>
      <c r="BD57" s="13"/>
      <c r="BE57" s="13"/>
      <c r="BF57" s="13"/>
      <c r="BG57" s="13"/>
      <c r="BH57" s="13"/>
      <c r="BI57" s="13"/>
      <c r="BJ57" s="13"/>
      <c r="BK57" s="13"/>
      <c r="BL57" s="13"/>
      <c r="BM57" s="13"/>
      <c r="BN57" s="13"/>
    </row>
    <row r="58" spans="1:66" x14ac:dyDescent="0.25">
      <c r="A58" s="22">
        <v>56</v>
      </c>
      <c r="B58" s="23">
        <v>1108.3955474971103</v>
      </c>
      <c r="C58" s="24">
        <v>961.67957891972276</v>
      </c>
      <c r="AH58" s="16"/>
      <c r="AI58" s="16"/>
      <c r="AJ58" s="16"/>
      <c r="AK58" s="16">
        <v>1800</v>
      </c>
      <c r="AL58" s="16">
        <v>90</v>
      </c>
      <c r="AM58" s="16">
        <v>0</v>
      </c>
      <c r="AN58" s="16"/>
      <c r="BC58" s="13"/>
      <c r="BD58" s="13"/>
      <c r="BE58" s="13"/>
      <c r="BF58" s="13"/>
      <c r="BG58" s="13"/>
      <c r="BH58" s="13"/>
      <c r="BI58" s="13"/>
      <c r="BJ58" s="13"/>
      <c r="BK58" s="13"/>
      <c r="BL58" s="13"/>
      <c r="BM58" s="13"/>
      <c r="BN58" s="13"/>
    </row>
    <row r="59" spans="1:66" x14ac:dyDescent="0.25">
      <c r="A59" s="22">
        <v>57</v>
      </c>
      <c r="B59" s="23">
        <v>1290.4987843979416</v>
      </c>
      <c r="C59" s="24">
        <v>883.15039080664587</v>
      </c>
      <c r="AH59" s="16"/>
      <c r="AI59" s="16"/>
      <c r="AJ59" s="16"/>
      <c r="AK59" s="16">
        <v>1800</v>
      </c>
      <c r="AL59" s="16">
        <v>49</v>
      </c>
      <c r="AM59" s="16">
        <v>0</v>
      </c>
      <c r="AN59" s="16"/>
      <c r="BC59" s="13"/>
      <c r="BD59" s="13"/>
      <c r="BE59" s="13"/>
      <c r="BF59" s="13"/>
      <c r="BG59" s="13"/>
      <c r="BH59" s="13"/>
      <c r="BI59" s="13"/>
      <c r="BJ59" s="13"/>
      <c r="BK59" s="13"/>
      <c r="BL59" s="13"/>
      <c r="BM59" s="13"/>
      <c r="BN59" s="13"/>
    </row>
    <row r="60" spans="1:66" x14ac:dyDescent="0.25">
      <c r="A60" s="22">
        <v>58</v>
      </c>
      <c r="B60" s="23">
        <v>1306.5978885752909</v>
      </c>
      <c r="C60" s="24">
        <v>685.74399959420441</v>
      </c>
      <c r="AH60" s="16"/>
      <c r="AI60" s="16"/>
      <c r="AJ60" s="16"/>
      <c r="AK60" s="16">
        <v>1850</v>
      </c>
      <c r="AL60" s="16">
        <v>49</v>
      </c>
      <c r="AM60" s="16">
        <v>0</v>
      </c>
      <c r="AN60" s="16"/>
      <c r="BC60" s="13"/>
      <c r="BD60" s="13"/>
      <c r="BE60" s="13"/>
      <c r="BF60" s="13"/>
      <c r="BG60" s="13"/>
      <c r="BH60" s="13"/>
      <c r="BI60" s="13"/>
      <c r="BJ60" s="13"/>
      <c r="BK60" s="13"/>
      <c r="BL60" s="13"/>
      <c r="BM60" s="13"/>
      <c r="BN60" s="13"/>
    </row>
    <row r="61" spans="1:66" x14ac:dyDescent="0.25">
      <c r="A61" s="22">
        <v>59</v>
      </c>
      <c r="B61" s="23">
        <v>910.84572904428967</v>
      </c>
      <c r="C61" s="24">
        <v>1075.613208997172</v>
      </c>
      <c r="AH61" s="16"/>
      <c r="AI61" s="16"/>
      <c r="AJ61" s="16"/>
      <c r="AK61" s="16">
        <v>1850</v>
      </c>
      <c r="AL61" s="16">
        <v>31</v>
      </c>
      <c r="AM61" s="16">
        <v>1</v>
      </c>
      <c r="AN61" s="16"/>
      <c r="BC61" s="13"/>
      <c r="BD61" s="13"/>
      <c r="BE61" s="13"/>
      <c r="BF61" s="13"/>
      <c r="BG61" s="13"/>
      <c r="BH61" s="13"/>
      <c r="BI61" s="13"/>
      <c r="BJ61" s="13"/>
      <c r="BK61" s="13"/>
      <c r="BL61" s="13"/>
      <c r="BM61" s="13"/>
      <c r="BN61" s="13"/>
    </row>
    <row r="62" spans="1:66" x14ac:dyDescent="0.25">
      <c r="A62" s="22">
        <v>60</v>
      </c>
      <c r="B62" s="23">
        <v>1003.6652264470008</v>
      </c>
      <c r="C62" s="24">
        <v>582.16766017276018</v>
      </c>
      <c r="AH62" s="16"/>
      <c r="AI62" s="16"/>
      <c r="AJ62" s="16"/>
      <c r="AK62" s="16">
        <v>1900</v>
      </c>
      <c r="AL62" s="16">
        <v>31</v>
      </c>
      <c r="AM62" s="16">
        <v>1</v>
      </c>
      <c r="AN62" s="16"/>
      <c r="BC62" s="13"/>
      <c r="BD62" s="13"/>
      <c r="BE62" s="13"/>
      <c r="BF62" s="13"/>
      <c r="BG62" s="13"/>
      <c r="BH62" s="13"/>
      <c r="BI62" s="13"/>
      <c r="BJ62" s="13"/>
      <c r="BK62" s="13"/>
      <c r="BL62" s="13"/>
      <c r="BM62" s="13"/>
      <c r="BN62" s="13"/>
    </row>
    <row r="63" spans="1:66" x14ac:dyDescent="0.25">
      <c r="A63" s="22">
        <v>61</v>
      </c>
      <c r="B63" s="23">
        <v>840.03593457555428</v>
      </c>
      <c r="C63" s="24">
        <v>654.96582167558336</v>
      </c>
      <c r="AH63" s="16"/>
      <c r="AI63" s="16"/>
      <c r="AJ63" s="16"/>
      <c r="AK63" s="16">
        <v>1900</v>
      </c>
      <c r="AL63" s="16">
        <v>34</v>
      </c>
      <c r="AM63" s="16">
        <v>0</v>
      </c>
      <c r="AN63" s="16"/>
      <c r="BC63" s="13"/>
      <c r="BD63" s="13"/>
      <c r="BE63" s="13"/>
      <c r="BF63" s="13"/>
      <c r="BG63" s="13"/>
      <c r="BH63" s="13"/>
      <c r="BI63" s="13"/>
      <c r="BJ63" s="13"/>
      <c r="BK63" s="13"/>
      <c r="BL63" s="13"/>
      <c r="BM63" s="13"/>
      <c r="BN63" s="13"/>
    </row>
    <row r="64" spans="1:66" x14ac:dyDescent="0.25">
      <c r="A64" s="22">
        <v>62</v>
      </c>
      <c r="B64" s="23">
        <v>1417.951466203956</v>
      </c>
      <c r="C64" s="24">
        <v>952.5913485875061</v>
      </c>
      <c r="AH64" s="16"/>
      <c r="AI64" s="16"/>
      <c r="AJ64" s="16"/>
      <c r="AK64" s="16">
        <v>1950</v>
      </c>
      <c r="AL64" s="16">
        <v>34</v>
      </c>
      <c r="AM64" s="16"/>
      <c r="AN64" s="16"/>
      <c r="BC64" s="13"/>
      <c r="BD64" s="13"/>
      <c r="BE64" s="13"/>
      <c r="BF64" s="13"/>
      <c r="BG64" s="13"/>
      <c r="BH64" s="13"/>
      <c r="BI64" s="13"/>
      <c r="BJ64" s="13"/>
      <c r="BK64" s="13"/>
      <c r="BL64" s="13"/>
      <c r="BM64" s="13"/>
      <c r="BN64" s="13"/>
    </row>
    <row r="65" spans="1:66" x14ac:dyDescent="0.25">
      <c r="A65" s="22">
        <v>63</v>
      </c>
      <c r="B65" s="23">
        <v>1206.199630688023</v>
      </c>
      <c r="C65" s="24">
        <v>918.11006873714621</v>
      </c>
      <c r="AH65" s="16"/>
      <c r="AI65" s="16"/>
      <c r="AJ65" s="16"/>
      <c r="AK65" s="16">
        <v>1950</v>
      </c>
      <c r="AL65" s="16">
        <v>25</v>
      </c>
      <c r="AM65" s="16"/>
      <c r="AN65" s="16"/>
      <c r="BC65" s="13"/>
      <c r="BD65" s="13"/>
      <c r="BE65" s="13"/>
      <c r="BF65" s="13"/>
      <c r="BG65" s="13"/>
      <c r="BH65" s="13"/>
      <c r="BI65" s="13"/>
      <c r="BJ65" s="13"/>
      <c r="BK65" s="13"/>
      <c r="BL65" s="13"/>
      <c r="BM65" s="13"/>
      <c r="BN65" s="13"/>
    </row>
    <row r="66" spans="1:66" x14ac:dyDescent="0.25">
      <c r="A66" s="22">
        <v>64</v>
      </c>
      <c r="B66" s="23">
        <v>1299.5281598776851</v>
      </c>
      <c r="C66" s="24">
        <v>840.79731616600338</v>
      </c>
      <c r="AH66" s="16"/>
      <c r="AI66" s="16"/>
      <c r="AJ66" s="16"/>
      <c r="AK66" s="16">
        <v>2000</v>
      </c>
      <c r="AL66" s="16">
        <v>25</v>
      </c>
      <c r="AM66" s="16"/>
      <c r="AN66" s="16"/>
      <c r="BC66" s="13"/>
      <c r="BD66" s="13"/>
      <c r="BE66" s="13"/>
      <c r="BF66" s="13"/>
      <c r="BG66" s="13"/>
      <c r="BH66" s="13"/>
      <c r="BI66" s="13"/>
      <c r="BJ66" s="13"/>
      <c r="BK66" s="13"/>
      <c r="BL66" s="13"/>
      <c r="BM66" s="13"/>
      <c r="BN66" s="13"/>
    </row>
    <row r="67" spans="1:66" x14ac:dyDescent="0.25">
      <c r="A67" s="22">
        <v>65</v>
      </c>
      <c r="B67" s="23">
        <v>1588.1674241081839</v>
      </c>
      <c r="C67" s="24">
        <v>702.32826040062685</v>
      </c>
      <c r="AH67" s="16"/>
      <c r="AI67" s="16"/>
      <c r="AJ67" s="16"/>
      <c r="AK67" s="16">
        <v>2000</v>
      </c>
      <c r="AL67" s="16">
        <v>17</v>
      </c>
      <c r="AM67" s="16"/>
      <c r="AN67" s="16"/>
      <c r="BC67" s="13"/>
      <c r="BD67" s="13"/>
      <c r="BE67" s="13"/>
      <c r="BF67" s="13"/>
      <c r="BG67" s="13"/>
      <c r="BH67" s="13"/>
      <c r="BI67" s="13"/>
      <c r="BJ67" s="13"/>
      <c r="BK67" s="13"/>
      <c r="BL67" s="13"/>
      <c r="BM67" s="13"/>
      <c r="BN67" s="13"/>
    </row>
    <row r="68" spans="1:66" x14ac:dyDescent="0.25">
      <c r="A68" s="22">
        <v>66</v>
      </c>
      <c r="B68" s="23">
        <v>934.2677336135431</v>
      </c>
      <c r="C68" s="24">
        <v>730.11274661499988</v>
      </c>
      <c r="AK68" s="13">
        <v>2050</v>
      </c>
      <c r="AL68" s="13">
        <v>17</v>
      </c>
      <c r="BC68" s="13"/>
      <c r="BD68" s="13"/>
      <c r="BE68" s="13"/>
      <c r="BF68" s="13"/>
      <c r="BG68" s="13"/>
      <c r="BH68" s="13"/>
      <c r="BI68" s="13"/>
      <c r="BJ68" s="13"/>
      <c r="BK68" s="13"/>
      <c r="BL68" s="13"/>
      <c r="BM68" s="13"/>
      <c r="BN68" s="13"/>
    </row>
    <row r="69" spans="1:66" x14ac:dyDescent="0.25">
      <c r="A69" s="22">
        <v>67</v>
      </c>
      <c r="B69" s="23">
        <v>1341.0190253694193</v>
      </c>
      <c r="C69" s="24">
        <v>878.51414161208163</v>
      </c>
      <c r="AK69" s="13">
        <v>2050</v>
      </c>
      <c r="AL69" s="13">
        <v>7</v>
      </c>
      <c r="BC69" s="13"/>
      <c r="BD69" s="13"/>
      <c r="BE69" s="13"/>
      <c r="BF69" s="13"/>
      <c r="BG69" s="13"/>
      <c r="BH69" s="13"/>
      <c r="BI69" s="13"/>
      <c r="BJ69" s="13"/>
      <c r="BK69" s="13"/>
      <c r="BL69" s="13"/>
      <c r="BM69" s="13"/>
      <c r="BN69" s="13"/>
    </row>
    <row r="70" spans="1:66" x14ac:dyDescent="0.25">
      <c r="A70" s="22">
        <v>68</v>
      </c>
      <c r="B70" s="23">
        <v>1432.7603134909966</v>
      </c>
      <c r="C70" s="24">
        <v>904.49452693355568</v>
      </c>
      <c r="AK70" s="13">
        <v>2100</v>
      </c>
      <c r="AL70" s="13">
        <v>7</v>
      </c>
      <c r="BC70" s="13"/>
      <c r="BD70" s="13"/>
      <c r="BE70" s="13"/>
      <c r="BF70" s="13"/>
      <c r="BG70" s="13"/>
      <c r="BH70" s="13"/>
      <c r="BI70" s="13"/>
      <c r="BJ70" s="13"/>
      <c r="BK70" s="13"/>
      <c r="BL70" s="13"/>
      <c r="BM70" s="13"/>
      <c r="BN70" s="13"/>
    </row>
    <row r="71" spans="1:66" x14ac:dyDescent="0.25">
      <c r="A71" s="22">
        <v>69</v>
      </c>
      <c r="B71" s="23">
        <v>1045.2123776934052</v>
      </c>
      <c r="C71" s="24">
        <v>837.70084588626548</v>
      </c>
      <c r="AK71" s="13">
        <v>2100</v>
      </c>
      <c r="AL71" s="13">
        <v>8</v>
      </c>
      <c r="BC71" s="13"/>
      <c r="BD71" s="13"/>
      <c r="BE71" s="13"/>
      <c r="BF71" s="13"/>
      <c r="BG71" s="13"/>
      <c r="BH71" s="13"/>
      <c r="BI71" s="13"/>
      <c r="BJ71" s="13"/>
      <c r="BK71" s="13"/>
      <c r="BL71" s="13"/>
      <c r="BM71" s="13"/>
      <c r="BN71" s="13"/>
    </row>
    <row r="72" spans="1:66" x14ac:dyDescent="0.25">
      <c r="A72" s="22">
        <v>70</v>
      </c>
      <c r="B72" s="23">
        <v>1509.9815328766474</v>
      </c>
      <c r="C72" s="24">
        <v>773.20033418585285</v>
      </c>
      <c r="AK72" s="13">
        <v>2150</v>
      </c>
      <c r="AL72" s="13">
        <v>8</v>
      </c>
      <c r="BC72" s="13"/>
      <c r="BD72" s="13"/>
      <c r="BE72" s="13"/>
      <c r="BF72" s="13"/>
      <c r="BG72" s="13"/>
      <c r="BH72" s="13"/>
      <c r="BI72" s="13"/>
      <c r="BJ72" s="13"/>
      <c r="BK72" s="13"/>
      <c r="BL72" s="13"/>
      <c r="BM72" s="13"/>
      <c r="BN72" s="13"/>
    </row>
    <row r="73" spans="1:66" x14ac:dyDescent="0.25">
      <c r="A73" s="22">
        <v>71</v>
      </c>
      <c r="B73" s="23">
        <v>1322.8502456547453</v>
      </c>
      <c r="C73" s="24">
        <v>736.00862792123121</v>
      </c>
      <c r="AK73" s="13">
        <v>2150</v>
      </c>
      <c r="AL73" s="13">
        <v>8</v>
      </c>
      <c r="BC73" s="13"/>
      <c r="BD73" s="13"/>
      <c r="BE73" s="13"/>
      <c r="BF73" s="13"/>
      <c r="BG73" s="13"/>
      <c r="BH73" s="13"/>
      <c r="BI73" s="13"/>
      <c r="BJ73" s="13"/>
      <c r="BK73" s="13"/>
      <c r="BL73" s="13"/>
      <c r="BM73" s="13"/>
      <c r="BN73" s="13"/>
    </row>
    <row r="74" spans="1:66" x14ac:dyDescent="0.25">
      <c r="A74" s="22">
        <v>72</v>
      </c>
      <c r="B74" s="23">
        <v>1276.9485014110649</v>
      </c>
      <c r="C74" s="24">
        <v>598.02573966312798</v>
      </c>
      <c r="AK74" s="13">
        <v>2200</v>
      </c>
      <c r="AL74" s="13">
        <v>8</v>
      </c>
      <c r="BC74" s="13"/>
      <c r="BD74" s="13"/>
      <c r="BE74" s="13"/>
      <c r="BF74" s="13"/>
      <c r="BG74" s="13"/>
      <c r="BH74" s="13"/>
      <c r="BI74" s="13"/>
      <c r="BJ74" s="13"/>
      <c r="BK74" s="13"/>
      <c r="BL74" s="13"/>
      <c r="BM74" s="13"/>
      <c r="BN74" s="13"/>
    </row>
    <row r="75" spans="1:66" x14ac:dyDescent="0.25">
      <c r="A75" s="22">
        <v>73</v>
      </c>
      <c r="B75" s="23">
        <v>1381.9732418046683</v>
      </c>
      <c r="C75" s="24">
        <v>680.14797605558215</v>
      </c>
      <c r="AK75" s="13">
        <v>2200</v>
      </c>
      <c r="AL75" s="13">
        <v>1</v>
      </c>
      <c r="BC75" s="13"/>
      <c r="BD75" s="13"/>
      <c r="BE75" s="13"/>
      <c r="BF75" s="13"/>
      <c r="BG75" s="13"/>
      <c r="BH75" s="13"/>
      <c r="BI75" s="13"/>
      <c r="BJ75" s="13"/>
      <c r="BK75" s="13"/>
      <c r="BL75" s="13"/>
      <c r="BM75" s="13"/>
      <c r="BN75" s="13"/>
    </row>
    <row r="76" spans="1:66" x14ac:dyDescent="0.25">
      <c r="A76" s="22">
        <v>74</v>
      </c>
      <c r="B76" s="23">
        <v>1066.6423020664897</v>
      </c>
      <c r="C76" s="24">
        <v>853.63633132002997</v>
      </c>
      <c r="AK76" s="13">
        <v>2250</v>
      </c>
      <c r="AL76" s="13">
        <v>1</v>
      </c>
      <c r="BC76" s="13"/>
      <c r="BD76" s="13"/>
      <c r="BE76" s="13"/>
      <c r="BF76" s="13"/>
      <c r="BG76" s="13"/>
      <c r="BH76" s="13"/>
      <c r="BI76" s="13"/>
      <c r="BJ76" s="13"/>
      <c r="BK76" s="13"/>
      <c r="BL76" s="13"/>
      <c r="BM76" s="13"/>
      <c r="BN76" s="13"/>
    </row>
    <row r="77" spans="1:66" x14ac:dyDescent="0.25">
      <c r="A77" s="22">
        <v>75</v>
      </c>
      <c r="B77" s="23">
        <v>1059.2027890853972</v>
      </c>
      <c r="C77" s="24">
        <v>1152.699890658851</v>
      </c>
      <c r="AK77" s="13">
        <v>2250</v>
      </c>
      <c r="AL77" s="13">
        <v>2</v>
      </c>
      <c r="BC77" s="13"/>
      <c r="BD77" s="13"/>
      <c r="BE77" s="13"/>
      <c r="BF77" s="13"/>
      <c r="BG77" s="13"/>
      <c r="BH77" s="13"/>
      <c r="BI77" s="13"/>
      <c r="BJ77" s="13"/>
      <c r="BK77" s="13"/>
      <c r="BL77" s="13"/>
      <c r="BM77" s="13"/>
      <c r="BN77" s="13"/>
    </row>
    <row r="78" spans="1:66" x14ac:dyDescent="0.25">
      <c r="A78" s="22">
        <v>76</v>
      </c>
      <c r="B78" s="23">
        <v>1340.1434572879248</v>
      </c>
      <c r="C78" s="24">
        <v>1009.1374897569556</v>
      </c>
      <c r="AK78" s="13">
        <v>2300</v>
      </c>
      <c r="AL78" s="13">
        <v>2</v>
      </c>
      <c r="BC78" s="13"/>
      <c r="BD78" s="13"/>
      <c r="BE78" s="13"/>
      <c r="BF78" s="13"/>
      <c r="BG78" s="13"/>
      <c r="BH78" s="13"/>
      <c r="BI78" s="13"/>
      <c r="BJ78" s="13"/>
      <c r="BK78" s="13"/>
      <c r="BL78" s="13"/>
      <c r="BM78" s="13"/>
      <c r="BN78" s="13"/>
    </row>
    <row r="79" spans="1:66" x14ac:dyDescent="0.25">
      <c r="A79" s="22">
        <v>77</v>
      </c>
      <c r="B79" s="23">
        <v>1277.3320038035479</v>
      </c>
      <c r="C79" s="24">
        <v>961.88363554388138</v>
      </c>
      <c r="AK79" s="13">
        <v>2300</v>
      </c>
      <c r="AL79" s="13">
        <v>3</v>
      </c>
      <c r="BC79" s="13"/>
      <c r="BD79" s="13"/>
      <c r="BE79" s="13"/>
      <c r="BF79" s="13"/>
      <c r="BG79" s="13"/>
      <c r="BH79" s="13"/>
      <c r="BI79" s="13"/>
      <c r="BJ79" s="13"/>
      <c r="BK79" s="13"/>
      <c r="BL79" s="13"/>
      <c r="BM79" s="13"/>
      <c r="BN79" s="13"/>
    </row>
    <row r="80" spans="1:66" x14ac:dyDescent="0.25">
      <c r="A80" s="22">
        <v>78</v>
      </c>
      <c r="B80" s="23">
        <v>1312.0713660444521</v>
      </c>
      <c r="C80" s="24">
        <v>805.93150527908006</v>
      </c>
      <c r="AK80" s="13">
        <v>2350</v>
      </c>
      <c r="AL80" s="13">
        <v>3</v>
      </c>
      <c r="BC80" s="13"/>
      <c r="BD80" s="13"/>
      <c r="BE80" s="13"/>
      <c r="BF80" s="13"/>
      <c r="BG80" s="13"/>
      <c r="BH80" s="13"/>
      <c r="BI80" s="13"/>
      <c r="BJ80" s="13"/>
      <c r="BK80" s="13"/>
      <c r="BL80" s="13"/>
      <c r="BM80" s="13"/>
      <c r="BN80" s="13"/>
    </row>
    <row r="81" spans="1:66" x14ac:dyDescent="0.25">
      <c r="A81" s="22">
        <v>79</v>
      </c>
      <c r="B81" s="23">
        <v>998.10000320793984</v>
      </c>
      <c r="C81" s="24">
        <v>651.94290638508812</v>
      </c>
      <c r="AK81" s="13">
        <v>2350</v>
      </c>
      <c r="AL81" s="13">
        <v>2</v>
      </c>
      <c r="BC81" s="13"/>
      <c r="BD81" s="13"/>
      <c r="BE81" s="13"/>
      <c r="BF81" s="13"/>
      <c r="BG81" s="13"/>
      <c r="BH81" s="13"/>
      <c r="BI81" s="13"/>
      <c r="BJ81" s="13"/>
      <c r="BK81" s="13"/>
      <c r="BL81" s="13"/>
      <c r="BM81" s="13"/>
      <c r="BN81" s="13"/>
    </row>
    <row r="82" spans="1:66" x14ac:dyDescent="0.25">
      <c r="A82" s="22">
        <v>80</v>
      </c>
      <c r="B82" s="23">
        <v>1060.1686211653437</v>
      </c>
      <c r="C82" s="24">
        <v>919.54872046177513</v>
      </c>
      <c r="AK82" s="13">
        <v>2400</v>
      </c>
      <c r="AL82" s="13">
        <v>2</v>
      </c>
      <c r="BC82" s="13"/>
      <c r="BD82" s="13"/>
      <c r="BE82" s="13"/>
      <c r="BF82" s="13"/>
      <c r="BG82" s="13"/>
      <c r="BH82" s="13"/>
      <c r="BI82" s="13"/>
      <c r="BJ82" s="13"/>
      <c r="BK82" s="13"/>
      <c r="BL82" s="13"/>
      <c r="BM82" s="13"/>
      <c r="BN82" s="13"/>
    </row>
    <row r="83" spans="1:66" x14ac:dyDescent="0.25">
      <c r="A83" s="22">
        <v>81</v>
      </c>
      <c r="B83" s="23">
        <v>1008.6612071446806</v>
      </c>
      <c r="C83" s="24">
        <v>766.7169990765459</v>
      </c>
      <c r="AK83" s="13">
        <v>2400</v>
      </c>
      <c r="AL83" s="13">
        <v>0</v>
      </c>
      <c r="BC83" s="13"/>
      <c r="BD83" s="13"/>
      <c r="BE83" s="13"/>
      <c r="BF83" s="13"/>
      <c r="BG83" s="13"/>
      <c r="BH83" s="13"/>
      <c r="BI83" s="13"/>
      <c r="BJ83" s="13"/>
      <c r="BK83" s="13"/>
      <c r="BL83" s="13"/>
      <c r="BM83" s="13"/>
      <c r="BN83" s="13"/>
    </row>
    <row r="84" spans="1:66" x14ac:dyDescent="0.25">
      <c r="A84" s="22">
        <v>82</v>
      </c>
      <c r="B84" s="23">
        <v>918.61863293239821</v>
      </c>
      <c r="C84" s="24">
        <v>669.01299152205684</v>
      </c>
      <c r="AK84" s="13">
        <v>2450</v>
      </c>
      <c r="AL84" s="13">
        <v>0</v>
      </c>
      <c r="BC84" s="13"/>
      <c r="BD84" s="13"/>
      <c r="BE84" s="13"/>
      <c r="BF84" s="13"/>
      <c r="BG84" s="13"/>
      <c r="BH84" s="13"/>
      <c r="BI84" s="13"/>
      <c r="BJ84" s="13"/>
      <c r="BK84" s="13"/>
      <c r="BL84" s="13"/>
      <c r="BM84" s="13"/>
      <c r="BN84" s="13"/>
    </row>
    <row r="85" spans="1:66" x14ac:dyDescent="0.25">
      <c r="A85" s="22">
        <v>83</v>
      </c>
      <c r="B85" s="23">
        <v>698.72136762223658</v>
      </c>
      <c r="C85" s="24">
        <v>639.90364105089418</v>
      </c>
      <c r="AK85" s="13">
        <v>2450</v>
      </c>
      <c r="AL85" s="13">
        <v>0</v>
      </c>
      <c r="BC85" s="13"/>
      <c r="BD85" s="13"/>
      <c r="BE85" s="13"/>
      <c r="BF85" s="13"/>
      <c r="BG85" s="13"/>
      <c r="BH85" s="13"/>
      <c r="BI85" s="13"/>
      <c r="BJ85" s="13"/>
      <c r="BK85" s="13"/>
      <c r="BL85" s="13"/>
      <c r="BM85" s="13"/>
      <c r="BN85" s="13"/>
    </row>
    <row r="86" spans="1:66" x14ac:dyDescent="0.25">
      <c r="A86" s="22">
        <v>84</v>
      </c>
      <c r="B86" s="23">
        <v>1097.828167693046</v>
      </c>
      <c r="C86" s="24">
        <v>964.89350526382987</v>
      </c>
      <c r="AK86" s="13">
        <v>2500</v>
      </c>
      <c r="AL86" s="13">
        <v>0</v>
      </c>
      <c r="BC86" s="13"/>
      <c r="BD86" s="13"/>
      <c r="BE86" s="13"/>
      <c r="BF86" s="13"/>
      <c r="BG86" s="13"/>
      <c r="BH86" s="13"/>
      <c r="BI86" s="13"/>
      <c r="BJ86" s="13"/>
      <c r="BK86" s="13"/>
      <c r="BL86" s="13"/>
      <c r="BM86" s="13"/>
      <c r="BN86" s="13"/>
    </row>
    <row r="87" spans="1:66" x14ac:dyDescent="0.25">
      <c r="A87" s="22">
        <v>85</v>
      </c>
      <c r="B87" s="23">
        <v>846.67700853716769</v>
      </c>
      <c r="C87" s="24">
        <v>802.14883624178719</v>
      </c>
      <c r="AK87" s="13">
        <v>2500</v>
      </c>
      <c r="AL87" s="13">
        <v>0</v>
      </c>
      <c r="BC87" s="13"/>
      <c r="BD87" s="13"/>
      <c r="BE87" s="13"/>
      <c r="BF87" s="13"/>
      <c r="BG87" s="13"/>
      <c r="BH87" s="13"/>
      <c r="BI87" s="13"/>
      <c r="BJ87" s="13"/>
      <c r="BK87" s="13"/>
      <c r="BL87" s="13"/>
      <c r="BM87" s="13"/>
      <c r="BN87" s="13"/>
    </row>
    <row r="88" spans="1:66" x14ac:dyDescent="0.25">
      <c r="A88" s="22">
        <v>86</v>
      </c>
      <c r="B88" s="23">
        <v>1165.8168594006895</v>
      </c>
      <c r="C88" s="24">
        <v>635.31618943484955</v>
      </c>
      <c r="AK88" s="13">
        <v>2550</v>
      </c>
      <c r="AL88" s="13">
        <v>0</v>
      </c>
      <c r="BC88" s="13"/>
      <c r="BD88" s="13"/>
      <c r="BE88" s="13"/>
      <c r="BF88" s="13"/>
      <c r="BG88" s="13"/>
      <c r="BH88" s="13"/>
      <c r="BI88" s="13"/>
      <c r="BJ88" s="13"/>
      <c r="BK88" s="13"/>
      <c r="BL88" s="13"/>
      <c r="BM88" s="13"/>
      <c r="BN88" s="13"/>
    </row>
    <row r="89" spans="1:66" x14ac:dyDescent="0.25">
      <c r="A89" s="22">
        <v>87</v>
      </c>
      <c r="B89" s="23">
        <v>1501.3831205231338</v>
      </c>
      <c r="C89" s="24">
        <v>856.46456994393975</v>
      </c>
      <c r="AK89" s="13">
        <v>2550</v>
      </c>
      <c r="AL89" s="13">
        <v>0</v>
      </c>
      <c r="BC89" s="13"/>
      <c r="BD89" s="13"/>
      <c r="BE89" s="13"/>
      <c r="BF89" s="13"/>
      <c r="BG89" s="13"/>
      <c r="BH89" s="13"/>
      <c r="BI89" s="13"/>
      <c r="BJ89" s="13"/>
      <c r="BK89" s="13"/>
      <c r="BL89" s="13"/>
      <c r="BM89" s="13"/>
      <c r="BN89" s="13"/>
    </row>
    <row r="90" spans="1:66" x14ac:dyDescent="0.25">
      <c r="A90" s="22">
        <v>88</v>
      </c>
      <c r="B90" s="23">
        <v>1219.7316664582561</v>
      </c>
      <c r="C90" s="24">
        <v>851.28486341272685</v>
      </c>
      <c r="AK90" s="13">
        <v>2600</v>
      </c>
      <c r="AL90" s="13">
        <v>0</v>
      </c>
      <c r="BC90" s="13"/>
      <c r="BD90" s="13"/>
      <c r="BE90" s="13"/>
      <c r="BF90" s="13"/>
      <c r="BG90" s="13"/>
      <c r="BH90" s="13"/>
      <c r="BI90" s="13"/>
      <c r="BJ90" s="13"/>
      <c r="BK90" s="13"/>
      <c r="BL90" s="13"/>
      <c r="BM90" s="13"/>
      <c r="BN90" s="13"/>
    </row>
    <row r="91" spans="1:66" x14ac:dyDescent="0.25">
      <c r="A91" s="22">
        <v>89</v>
      </c>
      <c r="B91" s="23">
        <v>960.17420858831758</v>
      </c>
      <c r="C91" s="24">
        <v>934.81221177985628</v>
      </c>
      <c r="AK91" s="13">
        <v>2600</v>
      </c>
      <c r="AL91" s="13">
        <v>0</v>
      </c>
      <c r="BC91" s="13"/>
      <c r="BD91" s="13"/>
      <c r="BE91" s="13"/>
      <c r="BF91" s="13"/>
      <c r="BG91" s="13"/>
      <c r="BH91" s="13"/>
      <c r="BI91" s="13"/>
      <c r="BJ91" s="13"/>
      <c r="BK91" s="13"/>
      <c r="BL91" s="13"/>
      <c r="BM91" s="13"/>
      <c r="BN91" s="13"/>
    </row>
    <row r="92" spans="1:66" x14ac:dyDescent="0.25">
      <c r="A92" s="22">
        <v>90</v>
      </c>
      <c r="B92" s="23">
        <v>1095.5916587099705</v>
      </c>
      <c r="C92" s="24">
        <v>794.23848802314819</v>
      </c>
      <c r="AK92" s="13">
        <v>2650</v>
      </c>
      <c r="AL92" s="13">
        <v>0</v>
      </c>
      <c r="BC92" s="13"/>
      <c r="BD92" s="13"/>
      <c r="BE92" s="13"/>
      <c r="BF92" s="13"/>
      <c r="BG92" s="13"/>
      <c r="BH92" s="13"/>
      <c r="BI92" s="13"/>
      <c r="BJ92" s="13"/>
      <c r="BK92" s="13"/>
      <c r="BL92" s="13"/>
      <c r="BM92" s="13"/>
      <c r="BN92" s="13"/>
    </row>
    <row r="93" spans="1:66" x14ac:dyDescent="0.25">
      <c r="A93" s="22">
        <v>91</v>
      </c>
      <c r="B93" s="23">
        <v>1542.3161608001601</v>
      </c>
      <c r="C93" s="24">
        <v>991.00000883124244</v>
      </c>
      <c r="AK93" s="13">
        <v>2650</v>
      </c>
      <c r="AL93" s="13">
        <v>0</v>
      </c>
      <c r="BC93" s="13"/>
      <c r="BD93" s="13"/>
      <c r="BE93" s="13"/>
      <c r="BF93" s="13"/>
      <c r="BG93" s="13"/>
      <c r="BH93" s="13"/>
      <c r="BI93" s="13"/>
      <c r="BJ93" s="13"/>
      <c r="BK93" s="13"/>
      <c r="BL93" s="13"/>
      <c r="BM93" s="13"/>
      <c r="BN93" s="13"/>
    </row>
    <row r="94" spans="1:66" x14ac:dyDescent="0.25">
      <c r="A94" s="22">
        <v>92</v>
      </c>
      <c r="B94" s="23">
        <v>1529.4632737829738</v>
      </c>
      <c r="C94" s="24">
        <v>1028.9672148546128</v>
      </c>
      <c r="AK94" s="13">
        <v>2700</v>
      </c>
      <c r="AL94" s="13">
        <v>0</v>
      </c>
      <c r="BC94" s="13"/>
      <c r="BD94" s="13"/>
      <c r="BE94" s="13"/>
      <c r="BF94" s="13"/>
      <c r="BG94" s="13"/>
      <c r="BH94" s="13"/>
      <c r="BI94" s="13"/>
      <c r="BJ94" s="13"/>
      <c r="BK94" s="13"/>
      <c r="BL94" s="13"/>
      <c r="BM94" s="13"/>
      <c r="BN94" s="13"/>
    </row>
    <row r="95" spans="1:66" x14ac:dyDescent="0.25">
      <c r="A95" s="22">
        <v>93</v>
      </c>
      <c r="B95" s="23">
        <v>950.19081354370826</v>
      </c>
      <c r="C95" s="24">
        <v>958.32537455052375</v>
      </c>
      <c r="AK95" s="13">
        <v>2700</v>
      </c>
      <c r="AL95" s="13">
        <v>0</v>
      </c>
      <c r="BC95" s="13"/>
      <c r="BD95" s="13"/>
      <c r="BE95" s="13"/>
      <c r="BF95" s="13"/>
      <c r="BG95" s="13"/>
      <c r="BH95" s="13"/>
      <c r="BI95" s="13"/>
      <c r="BJ95" s="13"/>
      <c r="BK95" s="13"/>
      <c r="BL95" s="13"/>
      <c r="BM95" s="13"/>
      <c r="BN95" s="13"/>
    </row>
    <row r="96" spans="1:66" x14ac:dyDescent="0.25">
      <c r="A96" s="22">
        <v>94</v>
      </c>
      <c r="B96" s="23">
        <v>1171.1664494631355</v>
      </c>
      <c r="C96" s="24">
        <v>701.47940093445027</v>
      </c>
      <c r="AK96" s="13">
        <v>2750</v>
      </c>
      <c r="AL96" s="13">
        <v>0</v>
      </c>
      <c r="BC96" s="13"/>
      <c r="BD96" s="13"/>
      <c r="BE96" s="13"/>
      <c r="BF96" s="13"/>
      <c r="BG96" s="13"/>
      <c r="BH96" s="13"/>
      <c r="BI96" s="13"/>
      <c r="BJ96" s="13"/>
      <c r="BK96" s="13"/>
      <c r="BL96" s="13"/>
      <c r="BM96" s="13"/>
      <c r="BN96" s="13"/>
    </row>
    <row r="97" spans="1:66" x14ac:dyDescent="0.25">
      <c r="A97" s="22">
        <v>95</v>
      </c>
      <c r="B97" s="23">
        <v>1054.0526210702342</v>
      </c>
      <c r="C97" s="24">
        <v>865.27774316656257</v>
      </c>
      <c r="AK97" s="13">
        <v>2750</v>
      </c>
      <c r="AL97" s="13">
        <v>0</v>
      </c>
      <c r="BC97" s="13"/>
      <c r="BD97" s="13"/>
      <c r="BE97" s="13"/>
      <c r="BF97" s="13"/>
      <c r="BG97" s="13"/>
      <c r="BH97" s="13"/>
      <c r="BI97" s="13"/>
      <c r="BJ97" s="13"/>
      <c r="BK97" s="13"/>
      <c r="BL97" s="13"/>
      <c r="BM97" s="13"/>
      <c r="BN97" s="13"/>
    </row>
    <row r="98" spans="1:66" x14ac:dyDescent="0.25">
      <c r="A98" s="22">
        <v>96</v>
      </c>
      <c r="B98" s="23">
        <v>931.50942770656491</v>
      </c>
      <c r="C98" s="24">
        <v>643.58798609907626</v>
      </c>
      <c r="AK98" s="13">
        <v>2800</v>
      </c>
      <c r="AL98" s="13">
        <v>0</v>
      </c>
      <c r="BC98" s="13"/>
      <c r="BD98" s="13"/>
      <c r="BE98" s="13"/>
      <c r="BF98" s="13"/>
      <c r="BG98" s="13"/>
      <c r="BH98" s="13"/>
      <c r="BI98" s="13"/>
      <c r="BJ98" s="13"/>
      <c r="BK98" s="13"/>
      <c r="BL98" s="13"/>
      <c r="BM98" s="13"/>
      <c r="BN98" s="13"/>
    </row>
    <row r="99" spans="1:66" x14ac:dyDescent="0.25">
      <c r="A99" s="22">
        <v>97</v>
      </c>
      <c r="B99" s="23">
        <v>1123.3675197491521</v>
      </c>
      <c r="C99" s="24">
        <v>978.06663266897067</v>
      </c>
      <c r="AK99" s="13">
        <v>2800</v>
      </c>
      <c r="AL99" s="13">
        <v>0</v>
      </c>
      <c r="BC99" s="13"/>
      <c r="BD99" s="13"/>
      <c r="BE99" s="13"/>
      <c r="BF99" s="13"/>
      <c r="BG99" s="13"/>
      <c r="BH99" s="13"/>
      <c r="BI99" s="13"/>
      <c r="BJ99" s="13"/>
      <c r="BK99" s="13"/>
      <c r="BL99" s="13"/>
      <c r="BM99" s="13"/>
      <c r="BN99" s="13"/>
    </row>
    <row r="100" spans="1:66" x14ac:dyDescent="0.25">
      <c r="A100" s="22">
        <v>98</v>
      </c>
      <c r="B100" s="23">
        <v>1407.7491222749534</v>
      </c>
      <c r="C100" s="24">
        <v>802.68015966318524</v>
      </c>
      <c r="AK100" s="13">
        <v>2850</v>
      </c>
      <c r="AL100" s="13">
        <v>0</v>
      </c>
      <c r="BC100" s="13"/>
      <c r="BD100" s="13"/>
      <c r="BE100" s="13"/>
      <c r="BF100" s="13"/>
      <c r="BG100" s="13"/>
      <c r="BH100" s="13"/>
      <c r="BI100" s="13"/>
      <c r="BJ100" s="13"/>
      <c r="BK100" s="13"/>
      <c r="BL100" s="13"/>
      <c r="BM100" s="13"/>
      <c r="BN100" s="13"/>
    </row>
    <row r="101" spans="1:66" x14ac:dyDescent="0.25">
      <c r="A101" s="22">
        <v>99</v>
      </c>
      <c r="B101" s="23">
        <v>1237.5320268279729</v>
      </c>
      <c r="C101" s="24">
        <v>654.24899399487276</v>
      </c>
      <c r="AK101" s="13">
        <v>2850</v>
      </c>
      <c r="AL101" s="13">
        <v>1</v>
      </c>
      <c r="BC101" s="13"/>
      <c r="BD101" s="13"/>
      <c r="BE101" s="13"/>
      <c r="BF101" s="13"/>
      <c r="BG101" s="13"/>
      <c r="BH101" s="13"/>
      <c r="BI101" s="13"/>
      <c r="BJ101" s="13"/>
      <c r="BK101" s="13"/>
      <c r="BL101" s="13"/>
      <c r="BM101" s="13"/>
      <c r="BN101" s="13"/>
    </row>
    <row r="102" spans="1:66" x14ac:dyDescent="0.25">
      <c r="A102" s="22">
        <v>100</v>
      </c>
      <c r="B102" s="23">
        <v>1341.4920910529841</v>
      </c>
      <c r="C102" s="24">
        <v>1058.0043827614584</v>
      </c>
      <c r="AK102" s="13">
        <v>2900</v>
      </c>
      <c r="AL102" s="13">
        <v>1</v>
      </c>
      <c r="BC102" s="13"/>
      <c r="BD102" s="13"/>
      <c r="BE102" s="13"/>
      <c r="BF102" s="13"/>
      <c r="BG102" s="13"/>
      <c r="BH102" s="13"/>
      <c r="BI102" s="13"/>
      <c r="BJ102" s="13"/>
      <c r="BK102" s="13"/>
      <c r="BL102" s="13"/>
      <c r="BM102" s="13"/>
      <c r="BN102" s="13"/>
    </row>
    <row r="103" spans="1:66" x14ac:dyDescent="0.25">
      <c r="A103" s="55" t="s">
        <v>29</v>
      </c>
      <c r="AK103" s="13">
        <v>2900</v>
      </c>
      <c r="AL103" s="13">
        <v>0</v>
      </c>
    </row>
  </sheetData>
  <dataConsolidate/>
  <mergeCells count="4">
    <mergeCell ref="F2:G2"/>
    <mergeCell ref="I4:J4"/>
    <mergeCell ref="K4:L4"/>
    <mergeCell ref="M4:N4"/>
  </mergeCells>
  <pageMargins left="0.75" right="0.75" top="1" bottom="1" header="0.5" footer="0.5"/>
  <pageSetup orientation="portrait" horizontalDpi="200" verticalDpi="200"/>
  <headerFooter alignWithMargins="0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BN103"/>
  <sheetViews>
    <sheetView showGridLines="0" workbookViewId="0">
      <selection activeCell="F18" sqref="F18"/>
    </sheetView>
  </sheetViews>
  <sheetFormatPr defaultRowHeight="15.75" x14ac:dyDescent="0.25"/>
  <cols>
    <col min="1" max="1" width="8" style="22" customWidth="1"/>
    <col min="2" max="2" width="10.625" style="11" customWidth="1"/>
    <col min="3" max="3" width="10.625" style="12" customWidth="1"/>
    <col min="4" max="4" width="7.625" style="13" customWidth="1"/>
    <col min="5" max="5" width="7.625" style="14" customWidth="1"/>
    <col min="6" max="6" width="11.625" style="15" customWidth="1"/>
    <col min="7" max="7" width="9" style="14"/>
    <col min="8" max="8" width="6.625" style="14" customWidth="1"/>
    <col min="9" max="14" width="10.125" style="14" customWidth="1"/>
    <col min="15" max="17" width="9" style="14"/>
    <col min="18" max="19" width="9" style="13"/>
    <col min="20" max="20" width="14.25" style="13" customWidth="1"/>
    <col min="21" max="22" width="11.25" style="13" customWidth="1"/>
    <col min="23" max="54" width="9" style="13"/>
    <col min="55" max="256" width="9" style="14"/>
    <col min="257" max="257" width="8" style="14" customWidth="1"/>
    <col min="258" max="259" width="10.625" style="14" customWidth="1"/>
    <col min="260" max="261" width="7.625" style="14" customWidth="1"/>
    <col min="262" max="262" width="11.625" style="14" customWidth="1"/>
    <col min="263" max="263" width="9" style="14"/>
    <col min="264" max="264" width="6.625" style="14" customWidth="1"/>
    <col min="265" max="270" width="10.125" style="14" customWidth="1"/>
    <col min="271" max="275" width="9" style="14"/>
    <col min="276" max="276" width="14.25" style="14" customWidth="1"/>
    <col min="277" max="278" width="11.25" style="14" customWidth="1"/>
    <col min="279" max="512" width="9" style="14"/>
    <col min="513" max="513" width="8" style="14" customWidth="1"/>
    <col min="514" max="515" width="10.625" style="14" customWidth="1"/>
    <col min="516" max="517" width="7.625" style="14" customWidth="1"/>
    <col min="518" max="518" width="11.625" style="14" customWidth="1"/>
    <col min="519" max="519" width="9" style="14"/>
    <col min="520" max="520" width="6.625" style="14" customWidth="1"/>
    <col min="521" max="526" width="10.125" style="14" customWidth="1"/>
    <col min="527" max="531" width="9" style="14"/>
    <col min="532" max="532" width="14.25" style="14" customWidth="1"/>
    <col min="533" max="534" width="11.25" style="14" customWidth="1"/>
    <col min="535" max="768" width="9" style="14"/>
    <col min="769" max="769" width="8" style="14" customWidth="1"/>
    <col min="770" max="771" width="10.625" style="14" customWidth="1"/>
    <col min="772" max="773" width="7.625" style="14" customWidth="1"/>
    <col min="774" max="774" width="11.625" style="14" customWidth="1"/>
    <col min="775" max="775" width="9" style="14"/>
    <col min="776" max="776" width="6.625" style="14" customWidth="1"/>
    <col min="777" max="782" width="10.125" style="14" customWidth="1"/>
    <col min="783" max="787" width="9" style="14"/>
    <col min="788" max="788" width="14.25" style="14" customWidth="1"/>
    <col min="789" max="790" width="11.25" style="14" customWidth="1"/>
    <col min="791" max="1024" width="9" style="14"/>
    <col min="1025" max="1025" width="8" style="14" customWidth="1"/>
    <col min="1026" max="1027" width="10.625" style="14" customWidth="1"/>
    <col min="1028" max="1029" width="7.625" style="14" customWidth="1"/>
    <col min="1030" max="1030" width="11.625" style="14" customWidth="1"/>
    <col min="1031" max="1031" width="9" style="14"/>
    <col min="1032" max="1032" width="6.625" style="14" customWidth="1"/>
    <col min="1033" max="1038" width="10.125" style="14" customWidth="1"/>
    <col min="1039" max="1043" width="9" style="14"/>
    <col min="1044" max="1044" width="14.25" style="14" customWidth="1"/>
    <col min="1045" max="1046" width="11.25" style="14" customWidth="1"/>
    <col min="1047" max="1280" width="9" style="14"/>
    <col min="1281" max="1281" width="8" style="14" customWidth="1"/>
    <col min="1282" max="1283" width="10.625" style="14" customWidth="1"/>
    <col min="1284" max="1285" width="7.625" style="14" customWidth="1"/>
    <col min="1286" max="1286" width="11.625" style="14" customWidth="1"/>
    <col min="1287" max="1287" width="9" style="14"/>
    <col min="1288" max="1288" width="6.625" style="14" customWidth="1"/>
    <col min="1289" max="1294" width="10.125" style="14" customWidth="1"/>
    <col min="1295" max="1299" width="9" style="14"/>
    <col min="1300" max="1300" width="14.25" style="14" customWidth="1"/>
    <col min="1301" max="1302" width="11.25" style="14" customWidth="1"/>
    <col min="1303" max="1536" width="9" style="14"/>
    <col min="1537" max="1537" width="8" style="14" customWidth="1"/>
    <col min="1538" max="1539" width="10.625" style="14" customWidth="1"/>
    <col min="1540" max="1541" width="7.625" style="14" customWidth="1"/>
    <col min="1542" max="1542" width="11.625" style="14" customWidth="1"/>
    <col min="1543" max="1543" width="9" style="14"/>
    <col min="1544" max="1544" width="6.625" style="14" customWidth="1"/>
    <col min="1545" max="1550" width="10.125" style="14" customWidth="1"/>
    <col min="1551" max="1555" width="9" style="14"/>
    <col min="1556" max="1556" width="14.25" style="14" customWidth="1"/>
    <col min="1557" max="1558" width="11.25" style="14" customWidth="1"/>
    <col min="1559" max="1792" width="9" style="14"/>
    <col min="1793" max="1793" width="8" style="14" customWidth="1"/>
    <col min="1794" max="1795" width="10.625" style="14" customWidth="1"/>
    <col min="1796" max="1797" width="7.625" style="14" customWidth="1"/>
    <col min="1798" max="1798" width="11.625" style="14" customWidth="1"/>
    <col min="1799" max="1799" width="9" style="14"/>
    <col min="1800" max="1800" width="6.625" style="14" customWidth="1"/>
    <col min="1801" max="1806" width="10.125" style="14" customWidth="1"/>
    <col min="1807" max="1811" width="9" style="14"/>
    <col min="1812" max="1812" width="14.25" style="14" customWidth="1"/>
    <col min="1813" max="1814" width="11.25" style="14" customWidth="1"/>
    <col min="1815" max="2048" width="9" style="14"/>
    <col min="2049" max="2049" width="8" style="14" customWidth="1"/>
    <col min="2050" max="2051" width="10.625" style="14" customWidth="1"/>
    <col min="2052" max="2053" width="7.625" style="14" customWidth="1"/>
    <col min="2054" max="2054" width="11.625" style="14" customWidth="1"/>
    <col min="2055" max="2055" width="9" style="14"/>
    <col min="2056" max="2056" width="6.625" style="14" customWidth="1"/>
    <col min="2057" max="2062" width="10.125" style="14" customWidth="1"/>
    <col min="2063" max="2067" width="9" style="14"/>
    <col min="2068" max="2068" width="14.25" style="14" customWidth="1"/>
    <col min="2069" max="2070" width="11.25" style="14" customWidth="1"/>
    <col min="2071" max="2304" width="9" style="14"/>
    <col min="2305" max="2305" width="8" style="14" customWidth="1"/>
    <col min="2306" max="2307" width="10.625" style="14" customWidth="1"/>
    <col min="2308" max="2309" width="7.625" style="14" customWidth="1"/>
    <col min="2310" max="2310" width="11.625" style="14" customWidth="1"/>
    <col min="2311" max="2311" width="9" style="14"/>
    <col min="2312" max="2312" width="6.625" style="14" customWidth="1"/>
    <col min="2313" max="2318" width="10.125" style="14" customWidth="1"/>
    <col min="2319" max="2323" width="9" style="14"/>
    <col min="2324" max="2324" width="14.25" style="14" customWidth="1"/>
    <col min="2325" max="2326" width="11.25" style="14" customWidth="1"/>
    <col min="2327" max="2560" width="9" style="14"/>
    <col min="2561" max="2561" width="8" style="14" customWidth="1"/>
    <col min="2562" max="2563" width="10.625" style="14" customWidth="1"/>
    <col min="2564" max="2565" width="7.625" style="14" customWidth="1"/>
    <col min="2566" max="2566" width="11.625" style="14" customWidth="1"/>
    <col min="2567" max="2567" width="9" style="14"/>
    <col min="2568" max="2568" width="6.625" style="14" customWidth="1"/>
    <col min="2569" max="2574" width="10.125" style="14" customWidth="1"/>
    <col min="2575" max="2579" width="9" style="14"/>
    <col min="2580" max="2580" width="14.25" style="14" customWidth="1"/>
    <col min="2581" max="2582" width="11.25" style="14" customWidth="1"/>
    <col min="2583" max="2816" width="9" style="14"/>
    <col min="2817" max="2817" width="8" style="14" customWidth="1"/>
    <col min="2818" max="2819" width="10.625" style="14" customWidth="1"/>
    <col min="2820" max="2821" width="7.625" style="14" customWidth="1"/>
    <col min="2822" max="2822" width="11.625" style="14" customWidth="1"/>
    <col min="2823" max="2823" width="9" style="14"/>
    <col min="2824" max="2824" width="6.625" style="14" customWidth="1"/>
    <col min="2825" max="2830" width="10.125" style="14" customWidth="1"/>
    <col min="2831" max="2835" width="9" style="14"/>
    <col min="2836" max="2836" width="14.25" style="14" customWidth="1"/>
    <col min="2837" max="2838" width="11.25" style="14" customWidth="1"/>
    <col min="2839" max="3072" width="9" style="14"/>
    <col min="3073" max="3073" width="8" style="14" customWidth="1"/>
    <col min="3074" max="3075" width="10.625" style="14" customWidth="1"/>
    <col min="3076" max="3077" width="7.625" style="14" customWidth="1"/>
    <col min="3078" max="3078" width="11.625" style="14" customWidth="1"/>
    <col min="3079" max="3079" width="9" style="14"/>
    <col min="3080" max="3080" width="6.625" style="14" customWidth="1"/>
    <col min="3081" max="3086" width="10.125" style="14" customWidth="1"/>
    <col min="3087" max="3091" width="9" style="14"/>
    <col min="3092" max="3092" width="14.25" style="14" customWidth="1"/>
    <col min="3093" max="3094" width="11.25" style="14" customWidth="1"/>
    <col min="3095" max="3328" width="9" style="14"/>
    <col min="3329" max="3329" width="8" style="14" customWidth="1"/>
    <col min="3330" max="3331" width="10.625" style="14" customWidth="1"/>
    <col min="3332" max="3333" width="7.625" style="14" customWidth="1"/>
    <col min="3334" max="3334" width="11.625" style="14" customWidth="1"/>
    <col min="3335" max="3335" width="9" style="14"/>
    <col min="3336" max="3336" width="6.625" style="14" customWidth="1"/>
    <col min="3337" max="3342" width="10.125" style="14" customWidth="1"/>
    <col min="3343" max="3347" width="9" style="14"/>
    <col min="3348" max="3348" width="14.25" style="14" customWidth="1"/>
    <col min="3349" max="3350" width="11.25" style="14" customWidth="1"/>
    <col min="3351" max="3584" width="9" style="14"/>
    <col min="3585" max="3585" width="8" style="14" customWidth="1"/>
    <col min="3586" max="3587" width="10.625" style="14" customWidth="1"/>
    <col min="3588" max="3589" width="7.625" style="14" customWidth="1"/>
    <col min="3590" max="3590" width="11.625" style="14" customWidth="1"/>
    <col min="3591" max="3591" width="9" style="14"/>
    <col min="3592" max="3592" width="6.625" style="14" customWidth="1"/>
    <col min="3593" max="3598" width="10.125" style="14" customWidth="1"/>
    <col min="3599" max="3603" width="9" style="14"/>
    <col min="3604" max="3604" width="14.25" style="14" customWidth="1"/>
    <col min="3605" max="3606" width="11.25" style="14" customWidth="1"/>
    <col min="3607" max="3840" width="9" style="14"/>
    <col min="3841" max="3841" width="8" style="14" customWidth="1"/>
    <col min="3842" max="3843" width="10.625" style="14" customWidth="1"/>
    <col min="3844" max="3845" width="7.625" style="14" customWidth="1"/>
    <col min="3846" max="3846" width="11.625" style="14" customWidth="1"/>
    <col min="3847" max="3847" width="9" style="14"/>
    <col min="3848" max="3848" width="6.625" style="14" customWidth="1"/>
    <col min="3849" max="3854" width="10.125" style="14" customWidth="1"/>
    <col min="3855" max="3859" width="9" style="14"/>
    <col min="3860" max="3860" width="14.25" style="14" customWidth="1"/>
    <col min="3861" max="3862" width="11.25" style="14" customWidth="1"/>
    <col min="3863" max="4096" width="9" style="14"/>
    <col min="4097" max="4097" width="8" style="14" customWidth="1"/>
    <col min="4098" max="4099" width="10.625" style="14" customWidth="1"/>
    <col min="4100" max="4101" width="7.625" style="14" customWidth="1"/>
    <col min="4102" max="4102" width="11.625" style="14" customWidth="1"/>
    <col min="4103" max="4103" width="9" style="14"/>
    <col min="4104" max="4104" width="6.625" style="14" customWidth="1"/>
    <col min="4105" max="4110" width="10.125" style="14" customWidth="1"/>
    <col min="4111" max="4115" width="9" style="14"/>
    <col min="4116" max="4116" width="14.25" style="14" customWidth="1"/>
    <col min="4117" max="4118" width="11.25" style="14" customWidth="1"/>
    <col min="4119" max="4352" width="9" style="14"/>
    <col min="4353" max="4353" width="8" style="14" customWidth="1"/>
    <col min="4354" max="4355" width="10.625" style="14" customWidth="1"/>
    <col min="4356" max="4357" width="7.625" style="14" customWidth="1"/>
    <col min="4358" max="4358" width="11.625" style="14" customWidth="1"/>
    <col min="4359" max="4359" width="9" style="14"/>
    <col min="4360" max="4360" width="6.625" style="14" customWidth="1"/>
    <col min="4361" max="4366" width="10.125" style="14" customWidth="1"/>
    <col min="4367" max="4371" width="9" style="14"/>
    <col min="4372" max="4372" width="14.25" style="14" customWidth="1"/>
    <col min="4373" max="4374" width="11.25" style="14" customWidth="1"/>
    <col min="4375" max="4608" width="9" style="14"/>
    <col min="4609" max="4609" width="8" style="14" customWidth="1"/>
    <col min="4610" max="4611" width="10.625" style="14" customWidth="1"/>
    <col min="4612" max="4613" width="7.625" style="14" customWidth="1"/>
    <col min="4614" max="4614" width="11.625" style="14" customWidth="1"/>
    <col min="4615" max="4615" width="9" style="14"/>
    <col min="4616" max="4616" width="6.625" style="14" customWidth="1"/>
    <col min="4617" max="4622" width="10.125" style="14" customWidth="1"/>
    <col min="4623" max="4627" width="9" style="14"/>
    <col min="4628" max="4628" width="14.25" style="14" customWidth="1"/>
    <col min="4629" max="4630" width="11.25" style="14" customWidth="1"/>
    <col min="4631" max="4864" width="9" style="14"/>
    <col min="4865" max="4865" width="8" style="14" customWidth="1"/>
    <col min="4866" max="4867" width="10.625" style="14" customWidth="1"/>
    <col min="4868" max="4869" width="7.625" style="14" customWidth="1"/>
    <col min="4870" max="4870" width="11.625" style="14" customWidth="1"/>
    <col min="4871" max="4871" width="9" style="14"/>
    <col min="4872" max="4872" width="6.625" style="14" customWidth="1"/>
    <col min="4873" max="4878" width="10.125" style="14" customWidth="1"/>
    <col min="4879" max="4883" width="9" style="14"/>
    <col min="4884" max="4884" width="14.25" style="14" customWidth="1"/>
    <col min="4885" max="4886" width="11.25" style="14" customWidth="1"/>
    <col min="4887" max="5120" width="9" style="14"/>
    <col min="5121" max="5121" width="8" style="14" customWidth="1"/>
    <col min="5122" max="5123" width="10.625" style="14" customWidth="1"/>
    <col min="5124" max="5125" width="7.625" style="14" customWidth="1"/>
    <col min="5126" max="5126" width="11.625" style="14" customWidth="1"/>
    <col min="5127" max="5127" width="9" style="14"/>
    <col min="5128" max="5128" width="6.625" style="14" customWidth="1"/>
    <col min="5129" max="5134" width="10.125" style="14" customWidth="1"/>
    <col min="5135" max="5139" width="9" style="14"/>
    <col min="5140" max="5140" width="14.25" style="14" customWidth="1"/>
    <col min="5141" max="5142" width="11.25" style="14" customWidth="1"/>
    <col min="5143" max="5376" width="9" style="14"/>
    <col min="5377" max="5377" width="8" style="14" customWidth="1"/>
    <col min="5378" max="5379" width="10.625" style="14" customWidth="1"/>
    <col min="5380" max="5381" width="7.625" style="14" customWidth="1"/>
    <col min="5382" max="5382" width="11.625" style="14" customWidth="1"/>
    <col min="5383" max="5383" width="9" style="14"/>
    <col min="5384" max="5384" width="6.625" style="14" customWidth="1"/>
    <col min="5385" max="5390" width="10.125" style="14" customWidth="1"/>
    <col min="5391" max="5395" width="9" style="14"/>
    <col min="5396" max="5396" width="14.25" style="14" customWidth="1"/>
    <col min="5397" max="5398" width="11.25" style="14" customWidth="1"/>
    <col min="5399" max="5632" width="9" style="14"/>
    <col min="5633" max="5633" width="8" style="14" customWidth="1"/>
    <col min="5634" max="5635" width="10.625" style="14" customWidth="1"/>
    <col min="5636" max="5637" width="7.625" style="14" customWidth="1"/>
    <col min="5638" max="5638" width="11.625" style="14" customWidth="1"/>
    <col min="5639" max="5639" width="9" style="14"/>
    <col min="5640" max="5640" width="6.625" style="14" customWidth="1"/>
    <col min="5641" max="5646" width="10.125" style="14" customWidth="1"/>
    <col min="5647" max="5651" width="9" style="14"/>
    <col min="5652" max="5652" width="14.25" style="14" customWidth="1"/>
    <col min="5653" max="5654" width="11.25" style="14" customWidth="1"/>
    <col min="5655" max="5888" width="9" style="14"/>
    <col min="5889" max="5889" width="8" style="14" customWidth="1"/>
    <col min="5890" max="5891" width="10.625" style="14" customWidth="1"/>
    <col min="5892" max="5893" width="7.625" style="14" customWidth="1"/>
    <col min="5894" max="5894" width="11.625" style="14" customWidth="1"/>
    <col min="5895" max="5895" width="9" style="14"/>
    <col min="5896" max="5896" width="6.625" style="14" customWidth="1"/>
    <col min="5897" max="5902" width="10.125" style="14" customWidth="1"/>
    <col min="5903" max="5907" width="9" style="14"/>
    <col min="5908" max="5908" width="14.25" style="14" customWidth="1"/>
    <col min="5909" max="5910" width="11.25" style="14" customWidth="1"/>
    <col min="5911" max="6144" width="9" style="14"/>
    <col min="6145" max="6145" width="8" style="14" customWidth="1"/>
    <col min="6146" max="6147" width="10.625" style="14" customWidth="1"/>
    <col min="6148" max="6149" width="7.625" style="14" customWidth="1"/>
    <col min="6150" max="6150" width="11.625" style="14" customWidth="1"/>
    <col min="6151" max="6151" width="9" style="14"/>
    <col min="6152" max="6152" width="6.625" style="14" customWidth="1"/>
    <col min="6153" max="6158" width="10.125" style="14" customWidth="1"/>
    <col min="6159" max="6163" width="9" style="14"/>
    <col min="6164" max="6164" width="14.25" style="14" customWidth="1"/>
    <col min="6165" max="6166" width="11.25" style="14" customWidth="1"/>
    <col min="6167" max="6400" width="9" style="14"/>
    <col min="6401" max="6401" width="8" style="14" customWidth="1"/>
    <col min="6402" max="6403" width="10.625" style="14" customWidth="1"/>
    <col min="6404" max="6405" width="7.625" style="14" customWidth="1"/>
    <col min="6406" max="6406" width="11.625" style="14" customWidth="1"/>
    <col min="6407" max="6407" width="9" style="14"/>
    <col min="6408" max="6408" width="6.625" style="14" customWidth="1"/>
    <col min="6409" max="6414" width="10.125" style="14" customWidth="1"/>
    <col min="6415" max="6419" width="9" style="14"/>
    <col min="6420" max="6420" width="14.25" style="14" customWidth="1"/>
    <col min="6421" max="6422" width="11.25" style="14" customWidth="1"/>
    <col min="6423" max="6656" width="9" style="14"/>
    <col min="6657" max="6657" width="8" style="14" customWidth="1"/>
    <col min="6658" max="6659" width="10.625" style="14" customWidth="1"/>
    <col min="6660" max="6661" width="7.625" style="14" customWidth="1"/>
    <col min="6662" max="6662" width="11.625" style="14" customWidth="1"/>
    <col min="6663" max="6663" width="9" style="14"/>
    <col min="6664" max="6664" width="6.625" style="14" customWidth="1"/>
    <col min="6665" max="6670" width="10.125" style="14" customWidth="1"/>
    <col min="6671" max="6675" width="9" style="14"/>
    <col min="6676" max="6676" width="14.25" style="14" customWidth="1"/>
    <col min="6677" max="6678" width="11.25" style="14" customWidth="1"/>
    <col min="6679" max="6912" width="9" style="14"/>
    <col min="6913" max="6913" width="8" style="14" customWidth="1"/>
    <col min="6914" max="6915" width="10.625" style="14" customWidth="1"/>
    <col min="6916" max="6917" width="7.625" style="14" customWidth="1"/>
    <col min="6918" max="6918" width="11.625" style="14" customWidth="1"/>
    <col min="6919" max="6919" width="9" style="14"/>
    <col min="6920" max="6920" width="6.625" style="14" customWidth="1"/>
    <col min="6921" max="6926" width="10.125" style="14" customWidth="1"/>
    <col min="6927" max="6931" width="9" style="14"/>
    <col min="6932" max="6932" width="14.25" style="14" customWidth="1"/>
    <col min="6933" max="6934" width="11.25" style="14" customWidth="1"/>
    <col min="6935" max="7168" width="9" style="14"/>
    <col min="7169" max="7169" width="8" style="14" customWidth="1"/>
    <col min="7170" max="7171" width="10.625" style="14" customWidth="1"/>
    <col min="7172" max="7173" width="7.625" style="14" customWidth="1"/>
    <col min="7174" max="7174" width="11.625" style="14" customWidth="1"/>
    <col min="7175" max="7175" width="9" style="14"/>
    <col min="7176" max="7176" width="6.625" style="14" customWidth="1"/>
    <col min="7177" max="7182" width="10.125" style="14" customWidth="1"/>
    <col min="7183" max="7187" width="9" style="14"/>
    <col min="7188" max="7188" width="14.25" style="14" customWidth="1"/>
    <col min="7189" max="7190" width="11.25" style="14" customWidth="1"/>
    <col min="7191" max="7424" width="9" style="14"/>
    <col min="7425" max="7425" width="8" style="14" customWidth="1"/>
    <col min="7426" max="7427" width="10.625" style="14" customWidth="1"/>
    <col min="7428" max="7429" width="7.625" style="14" customWidth="1"/>
    <col min="7430" max="7430" width="11.625" style="14" customWidth="1"/>
    <col min="7431" max="7431" width="9" style="14"/>
    <col min="7432" max="7432" width="6.625" style="14" customWidth="1"/>
    <col min="7433" max="7438" width="10.125" style="14" customWidth="1"/>
    <col min="7439" max="7443" width="9" style="14"/>
    <col min="7444" max="7444" width="14.25" style="14" customWidth="1"/>
    <col min="7445" max="7446" width="11.25" style="14" customWidth="1"/>
    <col min="7447" max="7680" width="9" style="14"/>
    <col min="7681" max="7681" width="8" style="14" customWidth="1"/>
    <col min="7682" max="7683" width="10.625" style="14" customWidth="1"/>
    <col min="7684" max="7685" width="7.625" style="14" customWidth="1"/>
    <col min="7686" max="7686" width="11.625" style="14" customWidth="1"/>
    <col min="7687" max="7687" width="9" style="14"/>
    <col min="7688" max="7688" width="6.625" style="14" customWidth="1"/>
    <col min="7689" max="7694" width="10.125" style="14" customWidth="1"/>
    <col min="7695" max="7699" width="9" style="14"/>
    <col min="7700" max="7700" width="14.25" style="14" customWidth="1"/>
    <col min="7701" max="7702" width="11.25" style="14" customWidth="1"/>
    <col min="7703" max="7936" width="9" style="14"/>
    <col min="7937" max="7937" width="8" style="14" customWidth="1"/>
    <col min="7938" max="7939" width="10.625" style="14" customWidth="1"/>
    <col min="7940" max="7941" width="7.625" style="14" customWidth="1"/>
    <col min="7942" max="7942" width="11.625" style="14" customWidth="1"/>
    <col min="7943" max="7943" width="9" style="14"/>
    <col min="7944" max="7944" width="6.625" style="14" customWidth="1"/>
    <col min="7945" max="7950" width="10.125" style="14" customWidth="1"/>
    <col min="7951" max="7955" width="9" style="14"/>
    <col min="7956" max="7956" width="14.25" style="14" customWidth="1"/>
    <col min="7957" max="7958" width="11.25" style="14" customWidth="1"/>
    <col min="7959" max="8192" width="9" style="14"/>
    <col min="8193" max="8193" width="8" style="14" customWidth="1"/>
    <col min="8194" max="8195" width="10.625" style="14" customWidth="1"/>
    <col min="8196" max="8197" width="7.625" style="14" customWidth="1"/>
    <col min="8198" max="8198" width="11.625" style="14" customWidth="1"/>
    <col min="8199" max="8199" width="9" style="14"/>
    <col min="8200" max="8200" width="6.625" style="14" customWidth="1"/>
    <col min="8201" max="8206" width="10.125" style="14" customWidth="1"/>
    <col min="8207" max="8211" width="9" style="14"/>
    <col min="8212" max="8212" width="14.25" style="14" customWidth="1"/>
    <col min="8213" max="8214" width="11.25" style="14" customWidth="1"/>
    <col min="8215" max="8448" width="9" style="14"/>
    <col min="8449" max="8449" width="8" style="14" customWidth="1"/>
    <col min="8450" max="8451" width="10.625" style="14" customWidth="1"/>
    <col min="8452" max="8453" width="7.625" style="14" customWidth="1"/>
    <col min="8454" max="8454" width="11.625" style="14" customWidth="1"/>
    <col min="8455" max="8455" width="9" style="14"/>
    <col min="8456" max="8456" width="6.625" style="14" customWidth="1"/>
    <col min="8457" max="8462" width="10.125" style="14" customWidth="1"/>
    <col min="8463" max="8467" width="9" style="14"/>
    <col min="8468" max="8468" width="14.25" style="14" customWidth="1"/>
    <col min="8469" max="8470" width="11.25" style="14" customWidth="1"/>
    <col min="8471" max="8704" width="9" style="14"/>
    <col min="8705" max="8705" width="8" style="14" customWidth="1"/>
    <col min="8706" max="8707" width="10.625" style="14" customWidth="1"/>
    <col min="8708" max="8709" width="7.625" style="14" customWidth="1"/>
    <col min="8710" max="8710" width="11.625" style="14" customWidth="1"/>
    <col min="8711" max="8711" width="9" style="14"/>
    <col min="8712" max="8712" width="6.625" style="14" customWidth="1"/>
    <col min="8713" max="8718" width="10.125" style="14" customWidth="1"/>
    <col min="8719" max="8723" width="9" style="14"/>
    <col min="8724" max="8724" width="14.25" style="14" customWidth="1"/>
    <col min="8725" max="8726" width="11.25" style="14" customWidth="1"/>
    <col min="8727" max="8960" width="9" style="14"/>
    <col min="8961" max="8961" width="8" style="14" customWidth="1"/>
    <col min="8962" max="8963" width="10.625" style="14" customWidth="1"/>
    <col min="8964" max="8965" width="7.625" style="14" customWidth="1"/>
    <col min="8966" max="8966" width="11.625" style="14" customWidth="1"/>
    <col min="8967" max="8967" width="9" style="14"/>
    <col min="8968" max="8968" width="6.625" style="14" customWidth="1"/>
    <col min="8969" max="8974" width="10.125" style="14" customWidth="1"/>
    <col min="8975" max="8979" width="9" style="14"/>
    <col min="8980" max="8980" width="14.25" style="14" customWidth="1"/>
    <col min="8981" max="8982" width="11.25" style="14" customWidth="1"/>
    <col min="8983" max="9216" width="9" style="14"/>
    <col min="9217" max="9217" width="8" style="14" customWidth="1"/>
    <col min="9218" max="9219" width="10.625" style="14" customWidth="1"/>
    <col min="9220" max="9221" width="7.625" style="14" customWidth="1"/>
    <col min="9222" max="9222" width="11.625" style="14" customWidth="1"/>
    <col min="9223" max="9223" width="9" style="14"/>
    <col min="9224" max="9224" width="6.625" style="14" customWidth="1"/>
    <col min="9225" max="9230" width="10.125" style="14" customWidth="1"/>
    <col min="9231" max="9235" width="9" style="14"/>
    <col min="9236" max="9236" width="14.25" style="14" customWidth="1"/>
    <col min="9237" max="9238" width="11.25" style="14" customWidth="1"/>
    <col min="9239" max="9472" width="9" style="14"/>
    <col min="9473" max="9473" width="8" style="14" customWidth="1"/>
    <col min="9474" max="9475" width="10.625" style="14" customWidth="1"/>
    <col min="9476" max="9477" width="7.625" style="14" customWidth="1"/>
    <col min="9478" max="9478" width="11.625" style="14" customWidth="1"/>
    <col min="9479" max="9479" width="9" style="14"/>
    <col min="9480" max="9480" width="6.625" style="14" customWidth="1"/>
    <col min="9481" max="9486" width="10.125" style="14" customWidth="1"/>
    <col min="9487" max="9491" width="9" style="14"/>
    <col min="9492" max="9492" width="14.25" style="14" customWidth="1"/>
    <col min="9493" max="9494" width="11.25" style="14" customWidth="1"/>
    <col min="9495" max="9728" width="9" style="14"/>
    <col min="9729" max="9729" width="8" style="14" customWidth="1"/>
    <col min="9730" max="9731" width="10.625" style="14" customWidth="1"/>
    <col min="9732" max="9733" width="7.625" style="14" customWidth="1"/>
    <col min="9734" max="9734" width="11.625" style="14" customWidth="1"/>
    <col min="9735" max="9735" width="9" style="14"/>
    <col min="9736" max="9736" width="6.625" style="14" customWidth="1"/>
    <col min="9737" max="9742" width="10.125" style="14" customWidth="1"/>
    <col min="9743" max="9747" width="9" style="14"/>
    <col min="9748" max="9748" width="14.25" style="14" customWidth="1"/>
    <col min="9749" max="9750" width="11.25" style="14" customWidth="1"/>
    <col min="9751" max="9984" width="9" style="14"/>
    <col min="9985" max="9985" width="8" style="14" customWidth="1"/>
    <col min="9986" max="9987" width="10.625" style="14" customWidth="1"/>
    <col min="9988" max="9989" width="7.625" style="14" customWidth="1"/>
    <col min="9990" max="9990" width="11.625" style="14" customWidth="1"/>
    <col min="9991" max="9991" width="9" style="14"/>
    <col min="9992" max="9992" width="6.625" style="14" customWidth="1"/>
    <col min="9993" max="9998" width="10.125" style="14" customWidth="1"/>
    <col min="9999" max="10003" width="9" style="14"/>
    <col min="10004" max="10004" width="14.25" style="14" customWidth="1"/>
    <col min="10005" max="10006" width="11.25" style="14" customWidth="1"/>
    <col min="10007" max="10240" width="9" style="14"/>
    <col min="10241" max="10241" width="8" style="14" customWidth="1"/>
    <col min="10242" max="10243" width="10.625" style="14" customWidth="1"/>
    <col min="10244" max="10245" width="7.625" style="14" customWidth="1"/>
    <col min="10246" max="10246" width="11.625" style="14" customWidth="1"/>
    <col min="10247" max="10247" width="9" style="14"/>
    <col min="10248" max="10248" width="6.625" style="14" customWidth="1"/>
    <col min="10249" max="10254" width="10.125" style="14" customWidth="1"/>
    <col min="10255" max="10259" width="9" style="14"/>
    <col min="10260" max="10260" width="14.25" style="14" customWidth="1"/>
    <col min="10261" max="10262" width="11.25" style="14" customWidth="1"/>
    <col min="10263" max="10496" width="9" style="14"/>
    <col min="10497" max="10497" width="8" style="14" customWidth="1"/>
    <col min="10498" max="10499" width="10.625" style="14" customWidth="1"/>
    <col min="10500" max="10501" width="7.625" style="14" customWidth="1"/>
    <col min="10502" max="10502" width="11.625" style="14" customWidth="1"/>
    <col min="10503" max="10503" width="9" style="14"/>
    <col min="10504" max="10504" width="6.625" style="14" customWidth="1"/>
    <col min="10505" max="10510" width="10.125" style="14" customWidth="1"/>
    <col min="10511" max="10515" width="9" style="14"/>
    <col min="10516" max="10516" width="14.25" style="14" customWidth="1"/>
    <col min="10517" max="10518" width="11.25" style="14" customWidth="1"/>
    <col min="10519" max="10752" width="9" style="14"/>
    <col min="10753" max="10753" width="8" style="14" customWidth="1"/>
    <col min="10754" max="10755" width="10.625" style="14" customWidth="1"/>
    <col min="10756" max="10757" width="7.625" style="14" customWidth="1"/>
    <col min="10758" max="10758" width="11.625" style="14" customWidth="1"/>
    <col min="10759" max="10759" width="9" style="14"/>
    <col min="10760" max="10760" width="6.625" style="14" customWidth="1"/>
    <col min="10761" max="10766" width="10.125" style="14" customWidth="1"/>
    <col min="10767" max="10771" width="9" style="14"/>
    <col min="10772" max="10772" width="14.25" style="14" customWidth="1"/>
    <col min="10773" max="10774" width="11.25" style="14" customWidth="1"/>
    <col min="10775" max="11008" width="9" style="14"/>
    <col min="11009" max="11009" width="8" style="14" customWidth="1"/>
    <col min="11010" max="11011" width="10.625" style="14" customWidth="1"/>
    <col min="11012" max="11013" width="7.625" style="14" customWidth="1"/>
    <col min="11014" max="11014" width="11.625" style="14" customWidth="1"/>
    <col min="11015" max="11015" width="9" style="14"/>
    <col min="11016" max="11016" width="6.625" style="14" customWidth="1"/>
    <col min="11017" max="11022" width="10.125" style="14" customWidth="1"/>
    <col min="11023" max="11027" width="9" style="14"/>
    <col min="11028" max="11028" width="14.25" style="14" customWidth="1"/>
    <col min="11029" max="11030" width="11.25" style="14" customWidth="1"/>
    <col min="11031" max="11264" width="9" style="14"/>
    <col min="11265" max="11265" width="8" style="14" customWidth="1"/>
    <col min="11266" max="11267" width="10.625" style="14" customWidth="1"/>
    <col min="11268" max="11269" width="7.625" style="14" customWidth="1"/>
    <col min="11270" max="11270" width="11.625" style="14" customWidth="1"/>
    <col min="11271" max="11271" width="9" style="14"/>
    <col min="11272" max="11272" width="6.625" style="14" customWidth="1"/>
    <col min="11273" max="11278" width="10.125" style="14" customWidth="1"/>
    <col min="11279" max="11283" width="9" style="14"/>
    <col min="11284" max="11284" width="14.25" style="14" customWidth="1"/>
    <col min="11285" max="11286" width="11.25" style="14" customWidth="1"/>
    <col min="11287" max="11520" width="9" style="14"/>
    <col min="11521" max="11521" width="8" style="14" customWidth="1"/>
    <col min="11522" max="11523" width="10.625" style="14" customWidth="1"/>
    <col min="11524" max="11525" width="7.625" style="14" customWidth="1"/>
    <col min="11526" max="11526" width="11.625" style="14" customWidth="1"/>
    <col min="11527" max="11527" width="9" style="14"/>
    <col min="11528" max="11528" width="6.625" style="14" customWidth="1"/>
    <col min="11529" max="11534" width="10.125" style="14" customWidth="1"/>
    <col min="11535" max="11539" width="9" style="14"/>
    <col min="11540" max="11540" width="14.25" style="14" customWidth="1"/>
    <col min="11541" max="11542" width="11.25" style="14" customWidth="1"/>
    <col min="11543" max="11776" width="9" style="14"/>
    <col min="11777" max="11777" width="8" style="14" customWidth="1"/>
    <col min="11778" max="11779" width="10.625" style="14" customWidth="1"/>
    <col min="11780" max="11781" width="7.625" style="14" customWidth="1"/>
    <col min="11782" max="11782" width="11.625" style="14" customWidth="1"/>
    <col min="11783" max="11783" width="9" style="14"/>
    <col min="11784" max="11784" width="6.625" style="14" customWidth="1"/>
    <col min="11785" max="11790" width="10.125" style="14" customWidth="1"/>
    <col min="11791" max="11795" width="9" style="14"/>
    <col min="11796" max="11796" width="14.25" style="14" customWidth="1"/>
    <col min="11797" max="11798" width="11.25" style="14" customWidth="1"/>
    <col min="11799" max="12032" width="9" style="14"/>
    <col min="12033" max="12033" width="8" style="14" customWidth="1"/>
    <col min="12034" max="12035" width="10.625" style="14" customWidth="1"/>
    <col min="12036" max="12037" width="7.625" style="14" customWidth="1"/>
    <col min="12038" max="12038" width="11.625" style="14" customWidth="1"/>
    <col min="12039" max="12039" width="9" style="14"/>
    <col min="12040" max="12040" width="6.625" style="14" customWidth="1"/>
    <col min="12041" max="12046" width="10.125" style="14" customWidth="1"/>
    <col min="12047" max="12051" width="9" style="14"/>
    <col min="12052" max="12052" width="14.25" style="14" customWidth="1"/>
    <col min="12053" max="12054" width="11.25" style="14" customWidth="1"/>
    <col min="12055" max="12288" width="9" style="14"/>
    <col min="12289" max="12289" width="8" style="14" customWidth="1"/>
    <col min="12290" max="12291" width="10.625" style="14" customWidth="1"/>
    <col min="12292" max="12293" width="7.625" style="14" customWidth="1"/>
    <col min="12294" max="12294" width="11.625" style="14" customWidth="1"/>
    <col min="12295" max="12295" width="9" style="14"/>
    <col min="12296" max="12296" width="6.625" style="14" customWidth="1"/>
    <col min="12297" max="12302" width="10.125" style="14" customWidth="1"/>
    <col min="12303" max="12307" width="9" style="14"/>
    <col min="12308" max="12308" width="14.25" style="14" customWidth="1"/>
    <col min="12309" max="12310" width="11.25" style="14" customWidth="1"/>
    <col min="12311" max="12544" width="9" style="14"/>
    <col min="12545" max="12545" width="8" style="14" customWidth="1"/>
    <col min="12546" max="12547" width="10.625" style="14" customWidth="1"/>
    <col min="12548" max="12549" width="7.625" style="14" customWidth="1"/>
    <col min="12550" max="12550" width="11.625" style="14" customWidth="1"/>
    <col min="12551" max="12551" width="9" style="14"/>
    <col min="12552" max="12552" width="6.625" style="14" customWidth="1"/>
    <col min="12553" max="12558" width="10.125" style="14" customWidth="1"/>
    <col min="12559" max="12563" width="9" style="14"/>
    <col min="12564" max="12564" width="14.25" style="14" customWidth="1"/>
    <col min="12565" max="12566" width="11.25" style="14" customWidth="1"/>
    <col min="12567" max="12800" width="9" style="14"/>
    <col min="12801" max="12801" width="8" style="14" customWidth="1"/>
    <col min="12802" max="12803" width="10.625" style="14" customWidth="1"/>
    <col min="12804" max="12805" width="7.625" style="14" customWidth="1"/>
    <col min="12806" max="12806" width="11.625" style="14" customWidth="1"/>
    <col min="12807" max="12807" width="9" style="14"/>
    <col min="12808" max="12808" width="6.625" style="14" customWidth="1"/>
    <col min="12809" max="12814" width="10.125" style="14" customWidth="1"/>
    <col min="12815" max="12819" width="9" style="14"/>
    <col min="12820" max="12820" width="14.25" style="14" customWidth="1"/>
    <col min="12821" max="12822" width="11.25" style="14" customWidth="1"/>
    <col min="12823" max="13056" width="9" style="14"/>
    <col min="13057" max="13057" width="8" style="14" customWidth="1"/>
    <col min="13058" max="13059" width="10.625" style="14" customWidth="1"/>
    <col min="13060" max="13061" width="7.625" style="14" customWidth="1"/>
    <col min="13062" max="13062" width="11.625" style="14" customWidth="1"/>
    <col min="13063" max="13063" width="9" style="14"/>
    <col min="13064" max="13064" width="6.625" style="14" customWidth="1"/>
    <col min="13065" max="13070" width="10.125" style="14" customWidth="1"/>
    <col min="13071" max="13075" width="9" style="14"/>
    <col min="13076" max="13076" width="14.25" style="14" customWidth="1"/>
    <col min="13077" max="13078" width="11.25" style="14" customWidth="1"/>
    <col min="13079" max="13312" width="9" style="14"/>
    <col min="13313" max="13313" width="8" style="14" customWidth="1"/>
    <col min="13314" max="13315" width="10.625" style="14" customWidth="1"/>
    <col min="13316" max="13317" width="7.625" style="14" customWidth="1"/>
    <col min="13318" max="13318" width="11.625" style="14" customWidth="1"/>
    <col min="13319" max="13319" width="9" style="14"/>
    <col min="13320" max="13320" width="6.625" style="14" customWidth="1"/>
    <col min="13321" max="13326" width="10.125" style="14" customWidth="1"/>
    <col min="13327" max="13331" width="9" style="14"/>
    <col min="13332" max="13332" width="14.25" style="14" customWidth="1"/>
    <col min="13333" max="13334" width="11.25" style="14" customWidth="1"/>
    <col min="13335" max="13568" width="9" style="14"/>
    <col min="13569" max="13569" width="8" style="14" customWidth="1"/>
    <col min="13570" max="13571" width="10.625" style="14" customWidth="1"/>
    <col min="13572" max="13573" width="7.625" style="14" customWidth="1"/>
    <col min="13574" max="13574" width="11.625" style="14" customWidth="1"/>
    <col min="13575" max="13575" width="9" style="14"/>
    <col min="13576" max="13576" width="6.625" style="14" customWidth="1"/>
    <col min="13577" max="13582" width="10.125" style="14" customWidth="1"/>
    <col min="13583" max="13587" width="9" style="14"/>
    <col min="13588" max="13588" width="14.25" style="14" customWidth="1"/>
    <col min="13589" max="13590" width="11.25" style="14" customWidth="1"/>
    <col min="13591" max="13824" width="9" style="14"/>
    <col min="13825" max="13825" width="8" style="14" customWidth="1"/>
    <col min="13826" max="13827" width="10.625" style="14" customWidth="1"/>
    <col min="13828" max="13829" width="7.625" style="14" customWidth="1"/>
    <col min="13830" max="13830" width="11.625" style="14" customWidth="1"/>
    <col min="13831" max="13831" width="9" style="14"/>
    <col min="13832" max="13832" width="6.625" style="14" customWidth="1"/>
    <col min="13833" max="13838" width="10.125" style="14" customWidth="1"/>
    <col min="13839" max="13843" width="9" style="14"/>
    <col min="13844" max="13844" width="14.25" style="14" customWidth="1"/>
    <col min="13845" max="13846" width="11.25" style="14" customWidth="1"/>
    <col min="13847" max="14080" width="9" style="14"/>
    <col min="14081" max="14081" width="8" style="14" customWidth="1"/>
    <col min="14082" max="14083" width="10.625" style="14" customWidth="1"/>
    <col min="14084" max="14085" width="7.625" style="14" customWidth="1"/>
    <col min="14086" max="14086" width="11.625" style="14" customWidth="1"/>
    <col min="14087" max="14087" width="9" style="14"/>
    <col min="14088" max="14088" width="6.625" style="14" customWidth="1"/>
    <col min="14089" max="14094" width="10.125" style="14" customWidth="1"/>
    <col min="14095" max="14099" width="9" style="14"/>
    <col min="14100" max="14100" width="14.25" style="14" customWidth="1"/>
    <col min="14101" max="14102" width="11.25" style="14" customWidth="1"/>
    <col min="14103" max="14336" width="9" style="14"/>
    <col min="14337" max="14337" width="8" style="14" customWidth="1"/>
    <col min="14338" max="14339" width="10.625" style="14" customWidth="1"/>
    <col min="14340" max="14341" width="7.625" style="14" customWidth="1"/>
    <col min="14342" max="14342" width="11.625" style="14" customWidth="1"/>
    <col min="14343" max="14343" width="9" style="14"/>
    <col min="14344" max="14344" width="6.625" style="14" customWidth="1"/>
    <col min="14345" max="14350" width="10.125" style="14" customWidth="1"/>
    <col min="14351" max="14355" width="9" style="14"/>
    <col min="14356" max="14356" width="14.25" style="14" customWidth="1"/>
    <col min="14357" max="14358" width="11.25" style="14" customWidth="1"/>
    <col min="14359" max="14592" width="9" style="14"/>
    <col min="14593" max="14593" width="8" style="14" customWidth="1"/>
    <col min="14594" max="14595" width="10.625" style="14" customWidth="1"/>
    <col min="14596" max="14597" width="7.625" style="14" customWidth="1"/>
    <col min="14598" max="14598" width="11.625" style="14" customWidth="1"/>
    <col min="14599" max="14599" width="9" style="14"/>
    <col min="14600" max="14600" width="6.625" style="14" customWidth="1"/>
    <col min="14601" max="14606" width="10.125" style="14" customWidth="1"/>
    <col min="14607" max="14611" width="9" style="14"/>
    <col min="14612" max="14612" width="14.25" style="14" customWidth="1"/>
    <col min="14613" max="14614" width="11.25" style="14" customWidth="1"/>
    <col min="14615" max="14848" width="9" style="14"/>
    <col min="14849" max="14849" width="8" style="14" customWidth="1"/>
    <col min="14850" max="14851" width="10.625" style="14" customWidth="1"/>
    <col min="14852" max="14853" width="7.625" style="14" customWidth="1"/>
    <col min="14854" max="14854" width="11.625" style="14" customWidth="1"/>
    <col min="14855" max="14855" width="9" style="14"/>
    <col min="14856" max="14856" width="6.625" style="14" customWidth="1"/>
    <col min="14857" max="14862" width="10.125" style="14" customWidth="1"/>
    <col min="14863" max="14867" width="9" style="14"/>
    <col min="14868" max="14868" width="14.25" style="14" customWidth="1"/>
    <col min="14869" max="14870" width="11.25" style="14" customWidth="1"/>
    <col min="14871" max="15104" width="9" style="14"/>
    <col min="15105" max="15105" width="8" style="14" customWidth="1"/>
    <col min="15106" max="15107" width="10.625" style="14" customWidth="1"/>
    <col min="15108" max="15109" width="7.625" style="14" customWidth="1"/>
    <col min="15110" max="15110" width="11.625" style="14" customWidth="1"/>
    <col min="15111" max="15111" width="9" style="14"/>
    <col min="15112" max="15112" width="6.625" style="14" customWidth="1"/>
    <col min="15113" max="15118" width="10.125" style="14" customWidth="1"/>
    <col min="15119" max="15123" width="9" style="14"/>
    <col min="15124" max="15124" width="14.25" style="14" customWidth="1"/>
    <col min="15125" max="15126" width="11.25" style="14" customWidth="1"/>
    <col min="15127" max="15360" width="9" style="14"/>
    <col min="15361" max="15361" width="8" style="14" customWidth="1"/>
    <col min="15362" max="15363" width="10.625" style="14" customWidth="1"/>
    <col min="15364" max="15365" width="7.625" style="14" customWidth="1"/>
    <col min="15366" max="15366" width="11.625" style="14" customWidth="1"/>
    <col min="15367" max="15367" width="9" style="14"/>
    <col min="15368" max="15368" width="6.625" style="14" customWidth="1"/>
    <col min="15369" max="15374" width="10.125" style="14" customWidth="1"/>
    <col min="15375" max="15379" width="9" style="14"/>
    <col min="15380" max="15380" width="14.25" style="14" customWidth="1"/>
    <col min="15381" max="15382" width="11.25" style="14" customWidth="1"/>
    <col min="15383" max="15616" width="9" style="14"/>
    <col min="15617" max="15617" width="8" style="14" customWidth="1"/>
    <col min="15618" max="15619" width="10.625" style="14" customWidth="1"/>
    <col min="15620" max="15621" width="7.625" style="14" customWidth="1"/>
    <col min="15622" max="15622" width="11.625" style="14" customWidth="1"/>
    <col min="15623" max="15623" width="9" style="14"/>
    <col min="15624" max="15624" width="6.625" style="14" customWidth="1"/>
    <col min="15625" max="15630" width="10.125" style="14" customWidth="1"/>
    <col min="15631" max="15635" width="9" style="14"/>
    <col min="15636" max="15636" width="14.25" style="14" customWidth="1"/>
    <col min="15637" max="15638" width="11.25" style="14" customWidth="1"/>
    <col min="15639" max="15872" width="9" style="14"/>
    <col min="15873" max="15873" width="8" style="14" customWidth="1"/>
    <col min="15874" max="15875" width="10.625" style="14" customWidth="1"/>
    <col min="15876" max="15877" width="7.625" style="14" customWidth="1"/>
    <col min="15878" max="15878" width="11.625" style="14" customWidth="1"/>
    <col min="15879" max="15879" width="9" style="14"/>
    <col min="15880" max="15880" width="6.625" style="14" customWidth="1"/>
    <col min="15881" max="15886" width="10.125" style="14" customWidth="1"/>
    <col min="15887" max="15891" width="9" style="14"/>
    <col min="15892" max="15892" width="14.25" style="14" customWidth="1"/>
    <col min="15893" max="15894" width="11.25" style="14" customWidth="1"/>
    <col min="15895" max="16128" width="9" style="14"/>
    <col min="16129" max="16129" width="8" style="14" customWidth="1"/>
    <col min="16130" max="16131" width="10.625" style="14" customWidth="1"/>
    <col min="16132" max="16133" width="7.625" style="14" customWidth="1"/>
    <col min="16134" max="16134" width="11.625" style="14" customWidth="1"/>
    <col min="16135" max="16135" width="9" style="14"/>
    <col min="16136" max="16136" width="6.625" style="14" customWidth="1"/>
    <col min="16137" max="16142" width="10.125" style="14" customWidth="1"/>
    <col min="16143" max="16147" width="9" style="14"/>
    <col min="16148" max="16148" width="14.25" style="14" customWidth="1"/>
    <col min="16149" max="16150" width="11.25" style="14" customWidth="1"/>
    <col min="16151" max="16384" width="9" style="14"/>
  </cols>
  <sheetData>
    <row r="1" spans="1:66" ht="31.5" thickBot="1" x14ac:dyDescent="0.5">
      <c r="A1" s="10" t="s">
        <v>19</v>
      </c>
      <c r="I1" s="13"/>
      <c r="J1" s="13"/>
      <c r="K1" s="13"/>
      <c r="L1" s="13"/>
      <c r="M1" s="13"/>
      <c r="N1" s="13"/>
      <c r="O1" s="13"/>
      <c r="Q1" s="13"/>
      <c r="AH1" s="16"/>
      <c r="AI1" s="16"/>
      <c r="AJ1" s="16"/>
      <c r="AK1" s="16"/>
      <c r="AL1" s="16" t="s">
        <v>64</v>
      </c>
      <c r="AM1" s="58" t="s">
        <v>65</v>
      </c>
      <c r="AN1" s="16"/>
      <c r="BC1" s="13"/>
      <c r="BD1" s="13"/>
      <c r="BE1" s="13"/>
      <c r="BF1" s="13"/>
      <c r="BG1" s="13"/>
      <c r="BH1" s="13"/>
      <c r="BI1" s="13"/>
      <c r="BJ1" s="13"/>
      <c r="BK1" s="13"/>
      <c r="BL1" s="13"/>
      <c r="BM1" s="13"/>
      <c r="BN1" s="13"/>
    </row>
    <row r="2" spans="1:66" s="20" customFormat="1" ht="39.75" customHeight="1" thickBot="1" x14ac:dyDescent="0.35">
      <c r="A2" s="17" t="s">
        <v>20</v>
      </c>
      <c r="B2" s="18" t="s">
        <v>64</v>
      </c>
      <c r="C2" s="57" t="s">
        <v>65</v>
      </c>
      <c r="D2" s="13"/>
      <c r="E2" s="19"/>
      <c r="F2" s="59" t="s">
        <v>21</v>
      </c>
      <c r="G2" s="60"/>
      <c r="I2" s="21"/>
      <c r="J2" s="21"/>
      <c r="K2" s="21"/>
      <c r="L2" s="21"/>
      <c r="M2" s="21"/>
      <c r="N2" s="21"/>
      <c r="O2" s="21"/>
      <c r="Q2" s="21"/>
      <c r="R2" s="13"/>
      <c r="S2" s="13"/>
      <c r="T2" s="13"/>
      <c r="U2" s="13"/>
      <c r="V2" s="13"/>
      <c r="W2" s="21"/>
      <c r="X2" s="21"/>
      <c r="Y2" s="13"/>
      <c r="Z2" s="13"/>
      <c r="AA2" s="13"/>
      <c r="AB2" s="13"/>
      <c r="AC2" s="13"/>
      <c r="AD2" s="13"/>
      <c r="AE2" s="13"/>
      <c r="AF2" s="13"/>
      <c r="AG2" s="13"/>
      <c r="AH2" s="16">
        <v>100</v>
      </c>
      <c r="AI2" s="16"/>
      <c r="AJ2" s="16"/>
      <c r="AK2" s="16">
        <v>100</v>
      </c>
      <c r="AL2" s="16">
        <v>0</v>
      </c>
      <c r="AM2" s="16">
        <v>0</v>
      </c>
      <c r="AN2" s="16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21"/>
      <c r="BD2" s="21"/>
      <c r="BE2" s="21"/>
      <c r="BF2" s="21"/>
      <c r="BG2" s="21"/>
      <c r="BH2" s="21"/>
      <c r="BI2" s="21"/>
      <c r="BJ2" s="21"/>
      <c r="BK2" s="21"/>
      <c r="BL2" s="21"/>
      <c r="BM2" s="21"/>
      <c r="BN2" s="21"/>
    </row>
    <row r="3" spans="1:66" ht="16.5" thickBot="1" x14ac:dyDescent="0.3">
      <c r="A3" s="22">
        <v>1</v>
      </c>
      <c r="B3" s="23">
        <v>182.93009476749424</v>
      </c>
      <c r="C3" s="24">
        <v>2709.4815641256237</v>
      </c>
      <c r="E3" s="25"/>
      <c r="F3" s="26">
        <v>10000</v>
      </c>
      <c r="G3" s="27" t="s">
        <v>22</v>
      </c>
      <c r="AH3" s="16">
        <v>200</v>
      </c>
      <c r="AI3" s="16"/>
      <c r="AJ3" s="16"/>
      <c r="AK3" s="16">
        <v>100</v>
      </c>
      <c r="AL3" s="16">
        <v>465</v>
      </c>
      <c r="AM3" s="16">
        <v>0</v>
      </c>
      <c r="AN3" s="16"/>
      <c r="BC3" s="13"/>
      <c r="BD3" s="13"/>
      <c r="BE3" s="13"/>
      <c r="BF3" s="13"/>
      <c r="BG3" s="13"/>
      <c r="BH3" s="13"/>
      <c r="BI3" s="13"/>
      <c r="BJ3" s="13"/>
      <c r="BK3" s="13"/>
      <c r="BL3" s="13"/>
      <c r="BM3" s="13"/>
      <c r="BN3" s="13"/>
    </row>
    <row r="4" spans="1:66" ht="16.5" thickBot="1" x14ac:dyDescent="0.3">
      <c r="A4" s="22">
        <v>2</v>
      </c>
      <c r="B4" s="23">
        <v>300.44685642472751</v>
      </c>
      <c r="C4" s="24">
        <v>1086.0519596878562</v>
      </c>
      <c r="E4" s="25"/>
      <c r="F4" s="28">
        <v>79.000000236555934</v>
      </c>
      <c r="G4" s="29" t="s">
        <v>23</v>
      </c>
      <c r="I4" s="67" t="s">
        <v>36</v>
      </c>
      <c r="J4" s="62"/>
      <c r="K4" s="63" t="s">
        <v>37</v>
      </c>
      <c r="L4" s="64"/>
      <c r="M4" s="65" t="s">
        <v>24</v>
      </c>
      <c r="N4" s="66"/>
      <c r="P4" s="30"/>
      <c r="AH4" s="16">
        <v>300</v>
      </c>
      <c r="AI4" s="16"/>
      <c r="AJ4" s="16"/>
      <c r="AK4" s="16">
        <v>200</v>
      </c>
      <c r="AL4" s="16">
        <v>465</v>
      </c>
      <c r="AM4" s="16">
        <v>0</v>
      </c>
      <c r="AN4" s="16"/>
      <c r="BC4" s="13"/>
      <c r="BD4" s="13"/>
      <c r="BE4" s="13"/>
      <c r="BF4" s="13"/>
      <c r="BG4" s="13"/>
      <c r="BH4" s="13"/>
      <c r="BI4" s="13"/>
      <c r="BJ4" s="13"/>
      <c r="BK4" s="13"/>
      <c r="BL4" s="13"/>
      <c r="BM4" s="13"/>
      <c r="BN4" s="13"/>
    </row>
    <row r="5" spans="1:66" x14ac:dyDescent="0.25">
      <c r="A5" s="22">
        <v>3</v>
      </c>
      <c r="B5" s="23">
        <v>344.24011374961077</v>
      </c>
      <c r="C5" s="24">
        <v>1973.9412765616501</v>
      </c>
      <c r="E5" s="31"/>
      <c r="F5" s="32"/>
      <c r="G5" s="31"/>
      <c r="I5" s="33" t="s">
        <v>25</v>
      </c>
      <c r="J5" s="34">
        <v>318.90997415140271</v>
      </c>
      <c r="K5" s="35" t="s">
        <v>25</v>
      </c>
      <c r="L5" s="36">
        <v>2300.7224405135648</v>
      </c>
      <c r="M5" s="37"/>
      <c r="N5" s="38"/>
      <c r="P5" s="30"/>
      <c r="AH5" s="16">
        <v>400</v>
      </c>
      <c r="AI5" s="16"/>
      <c r="AJ5" s="16"/>
      <c r="AK5" s="16">
        <v>200</v>
      </c>
      <c r="AL5" s="16">
        <v>4018</v>
      </c>
      <c r="AM5" s="16">
        <v>0</v>
      </c>
      <c r="AN5" s="16"/>
      <c r="BC5" s="13"/>
      <c r="BD5" s="13"/>
      <c r="BE5" s="13"/>
      <c r="BF5" s="13"/>
      <c r="BG5" s="13"/>
      <c r="BH5" s="13"/>
      <c r="BI5" s="13"/>
      <c r="BJ5" s="13"/>
      <c r="BK5" s="13"/>
      <c r="BL5" s="13"/>
      <c r="BM5" s="13"/>
      <c r="BN5" s="13"/>
    </row>
    <row r="6" spans="1:66" x14ac:dyDescent="0.25">
      <c r="A6" s="22">
        <v>4</v>
      </c>
      <c r="B6" s="23">
        <v>187.68018843173033</v>
      </c>
      <c r="C6" s="24">
        <v>2318.398802445457</v>
      </c>
      <c r="I6" s="33" t="s">
        <v>26</v>
      </c>
      <c r="J6" s="39">
        <v>80.823002968011764</v>
      </c>
      <c r="K6" s="35" t="s">
        <v>26</v>
      </c>
      <c r="L6" s="40">
        <v>468.59815761206062</v>
      </c>
      <c r="M6" s="41"/>
      <c r="N6" s="42"/>
      <c r="AH6" s="16">
        <v>500</v>
      </c>
      <c r="AI6" s="16"/>
      <c r="AJ6" s="16"/>
      <c r="AK6" s="16">
        <v>300</v>
      </c>
      <c r="AL6" s="16">
        <v>4018</v>
      </c>
      <c r="AM6" s="16">
        <v>0</v>
      </c>
      <c r="AN6" s="16"/>
      <c r="BC6" s="13"/>
      <c r="BD6" s="13"/>
      <c r="BE6" s="13"/>
      <c r="BF6" s="13"/>
      <c r="BG6" s="13"/>
      <c r="BH6" s="13"/>
      <c r="BI6" s="13"/>
      <c r="BJ6" s="13"/>
      <c r="BK6" s="13"/>
      <c r="BL6" s="13"/>
      <c r="BM6" s="13"/>
      <c r="BN6" s="13"/>
    </row>
    <row r="7" spans="1:66" x14ac:dyDescent="0.25">
      <c r="A7" s="22">
        <v>5</v>
      </c>
      <c r="B7" s="23">
        <v>266.76354903843412</v>
      </c>
      <c r="C7" s="24">
        <v>2819.3703922744512</v>
      </c>
      <c r="F7" s="43"/>
      <c r="I7" s="33" t="s">
        <v>27</v>
      </c>
      <c r="J7" s="34">
        <v>834.08643906070188</v>
      </c>
      <c r="K7" s="35" t="s">
        <v>27</v>
      </c>
      <c r="L7" s="36">
        <v>4893.7808334397714</v>
      </c>
      <c r="M7" s="25"/>
      <c r="N7" s="44"/>
      <c r="AH7" s="16">
        <v>600</v>
      </c>
      <c r="AI7" s="16"/>
      <c r="AJ7" s="16"/>
      <c r="AK7" s="16">
        <v>300</v>
      </c>
      <c r="AL7" s="16">
        <v>4017</v>
      </c>
      <c r="AM7" s="16">
        <v>0</v>
      </c>
      <c r="AN7" s="16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</row>
    <row r="8" spans="1:66" ht="16.5" thickBot="1" x14ac:dyDescent="0.3">
      <c r="A8" s="22">
        <v>6</v>
      </c>
      <c r="B8" s="23">
        <v>347.94712159816811</v>
      </c>
      <c r="C8" s="24">
        <v>1666.1943726359923</v>
      </c>
      <c r="F8" s="43"/>
      <c r="I8" s="45" t="s">
        <v>28</v>
      </c>
      <c r="J8" s="46">
        <v>110.245015892712</v>
      </c>
      <c r="K8" s="47" t="s">
        <v>28</v>
      </c>
      <c r="L8" s="48">
        <v>1030.7241907723187</v>
      </c>
      <c r="M8" s="49"/>
      <c r="N8" s="50"/>
      <c r="AH8" s="16">
        <v>700</v>
      </c>
      <c r="AI8" s="16"/>
      <c r="AJ8" s="16"/>
      <c r="AK8" s="16">
        <v>400</v>
      </c>
      <c r="AL8" s="16">
        <v>4017</v>
      </c>
      <c r="AM8" s="16">
        <v>0</v>
      </c>
      <c r="AN8" s="16"/>
      <c r="BC8" s="13"/>
      <c r="BD8" s="13"/>
      <c r="BE8" s="13"/>
      <c r="BF8" s="13"/>
      <c r="BG8" s="13"/>
      <c r="BH8" s="13"/>
      <c r="BI8" s="13"/>
      <c r="BJ8" s="13"/>
      <c r="BK8" s="13"/>
      <c r="BL8" s="13"/>
      <c r="BM8" s="13"/>
      <c r="BN8" s="13"/>
    </row>
    <row r="9" spans="1:66" x14ac:dyDescent="0.25">
      <c r="A9" s="22">
        <v>7</v>
      </c>
      <c r="B9" s="23">
        <v>385.21527363128592</v>
      </c>
      <c r="C9" s="24">
        <v>1539.8065345116984</v>
      </c>
      <c r="F9" s="43"/>
      <c r="I9" s="31"/>
      <c r="J9" s="51"/>
      <c r="K9" s="31"/>
      <c r="L9" s="31"/>
      <c r="M9" s="31"/>
      <c r="N9" s="31"/>
      <c r="AH9" s="16">
        <v>800</v>
      </c>
      <c r="AI9" s="16"/>
      <c r="AJ9" s="16"/>
      <c r="AK9" s="16">
        <v>400</v>
      </c>
      <c r="AL9" s="16">
        <v>1232</v>
      </c>
      <c r="AM9" s="16">
        <v>0</v>
      </c>
      <c r="AN9" s="16"/>
      <c r="BC9" s="13"/>
      <c r="BD9" s="13"/>
      <c r="BE9" s="13"/>
      <c r="BF9" s="13"/>
      <c r="BG9" s="13"/>
      <c r="BH9" s="13"/>
      <c r="BI9" s="13"/>
      <c r="BJ9" s="13"/>
      <c r="BK9" s="13"/>
      <c r="BL9" s="13"/>
      <c r="BM9" s="13"/>
      <c r="BN9" s="13"/>
    </row>
    <row r="10" spans="1:66" x14ac:dyDescent="0.25">
      <c r="A10" s="22">
        <v>8</v>
      </c>
      <c r="B10" s="23">
        <v>258.10231598343125</v>
      </c>
      <c r="C10" s="24">
        <v>2216.9019942198556</v>
      </c>
      <c r="F10" s="43"/>
      <c r="I10" s="25"/>
      <c r="J10" s="51"/>
      <c r="K10" s="31"/>
      <c r="L10" s="31"/>
      <c r="M10" s="31"/>
      <c r="N10" s="31"/>
      <c r="P10" s="30"/>
      <c r="AH10" s="16">
        <v>900</v>
      </c>
      <c r="AI10" s="16"/>
      <c r="AJ10" s="16"/>
      <c r="AK10" s="16">
        <v>500</v>
      </c>
      <c r="AL10" s="16">
        <v>1232</v>
      </c>
      <c r="AM10" s="16">
        <v>0</v>
      </c>
      <c r="AN10" s="16"/>
      <c r="BC10" s="13"/>
      <c r="BD10" s="13"/>
      <c r="BE10" s="13"/>
      <c r="BF10" s="13"/>
      <c r="BG10" s="13"/>
      <c r="BH10" s="13"/>
      <c r="BI10" s="13"/>
      <c r="BJ10" s="13"/>
      <c r="BK10" s="13"/>
      <c r="BL10" s="13"/>
      <c r="BM10" s="13"/>
      <c r="BN10" s="13"/>
    </row>
    <row r="11" spans="1:66" x14ac:dyDescent="0.25">
      <c r="A11" s="22">
        <v>9</v>
      </c>
      <c r="B11" s="23">
        <v>425.24449027745209</v>
      </c>
      <c r="C11" s="24">
        <v>1735.6328288898351</v>
      </c>
      <c r="I11" s="31"/>
      <c r="J11" s="51"/>
      <c r="K11" s="31"/>
      <c r="L11" s="31"/>
      <c r="M11" s="31"/>
      <c r="N11" s="31"/>
      <c r="P11" s="30"/>
      <c r="AH11" s="16"/>
      <c r="AI11" s="16"/>
      <c r="AJ11" s="16"/>
      <c r="AK11" s="16">
        <v>500</v>
      </c>
      <c r="AL11" s="16">
        <v>235</v>
      </c>
      <c r="AM11" s="16">
        <v>0</v>
      </c>
      <c r="AN11" s="16"/>
      <c r="BC11" s="13"/>
      <c r="BD11" s="13"/>
      <c r="BE11" s="13"/>
      <c r="BF11" s="13"/>
      <c r="BG11" s="13"/>
      <c r="BH11" s="13"/>
      <c r="BI11" s="13"/>
      <c r="BJ11" s="13"/>
      <c r="BK11" s="13"/>
      <c r="BL11" s="13"/>
      <c r="BM11" s="13"/>
      <c r="BN11" s="13"/>
    </row>
    <row r="12" spans="1:66" x14ac:dyDescent="0.25">
      <c r="A12" s="22">
        <v>10</v>
      </c>
      <c r="B12" s="23">
        <v>260.04459963231534</v>
      </c>
      <c r="C12" s="24">
        <v>2052.1923764297071</v>
      </c>
      <c r="I12" s="31"/>
      <c r="J12" s="31"/>
      <c r="K12" s="31"/>
      <c r="L12" s="31"/>
      <c r="M12" s="31"/>
      <c r="N12" s="31"/>
      <c r="P12" s="30"/>
      <c r="AH12" s="16"/>
      <c r="AI12" s="16"/>
      <c r="AJ12" s="16"/>
      <c r="AK12" s="16">
        <v>600</v>
      </c>
      <c r="AL12" s="16">
        <v>235</v>
      </c>
      <c r="AM12" s="16">
        <v>0</v>
      </c>
      <c r="AN12" s="16"/>
      <c r="BC12" s="13"/>
      <c r="BD12" s="13"/>
      <c r="BE12" s="13"/>
      <c r="BF12" s="13"/>
      <c r="BG12" s="13"/>
      <c r="BH12" s="13"/>
      <c r="BI12" s="13"/>
      <c r="BJ12" s="13"/>
      <c r="BK12" s="13"/>
      <c r="BL12" s="13"/>
      <c r="BM12" s="13"/>
      <c r="BN12" s="13"/>
    </row>
    <row r="13" spans="1:66" x14ac:dyDescent="0.25">
      <c r="A13" s="22">
        <v>11</v>
      </c>
      <c r="B13" s="23">
        <v>303.93245226575431</v>
      </c>
      <c r="C13" s="24">
        <v>1678.270705888551</v>
      </c>
      <c r="I13" s="31"/>
      <c r="J13" s="31"/>
      <c r="K13" s="31"/>
      <c r="L13" s="31"/>
      <c r="M13" s="31"/>
      <c r="N13" s="31"/>
      <c r="AH13" s="16"/>
      <c r="AI13" s="16"/>
      <c r="AJ13" s="16"/>
      <c r="AK13" s="16">
        <v>600</v>
      </c>
      <c r="AL13" s="16">
        <v>30</v>
      </c>
      <c r="AM13" s="16">
        <v>0</v>
      </c>
      <c r="AN13" s="16"/>
      <c r="BC13" s="13"/>
      <c r="BD13" s="13"/>
      <c r="BE13" s="13"/>
      <c r="BF13" s="13"/>
      <c r="BG13" s="13"/>
      <c r="BH13" s="13"/>
      <c r="BI13" s="13"/>
      <c r="BJ13" s="13"/>
      <c r="BK13" s="13"/>
      <c r="BL13" s="13"/>
      <c r="BM13" s="13"/>
      <c r="BN13" s="13"/>
    </row>
    <row r="14" spans="1:66" x14ac:dyDescent="0.25">
      <c r="A14" s="22">
        <v>12</v>
      </c>
      <c r="B14" s="23">
        <v>288.98474926264237</v>
      </c>
      <c r="C14" s="24">
        <v>1913.9673279899046</v>
      </c>
      <c r="E14" s="52"/>
      <c r="I14" s="31"/>
      <c r="J14" s="31"/>
      <c r="K14" s="31"/>
      <c r="L14" s="31"/>
      <c r="M14" s="31"/>
      <c r="N14" s="31"/>
      <c r="AH14" s="16"/>
      <c r="AI14" s="16"/>
      <c r="AJ14" s="16"/>
      <c r="AK14" s="16">
        <v>700</v>
      </c>
      <c r="AL14" s="16">
        <v>30</v>
      </c>
      <c r="AM14" s="16">
        <v>0</v>
      </c>
      <c r="AN14" s="16"/>
      <c r="BC14" s="13"/>
      <c r="BD14" s="13"/>
      <c r="BE14" s="13"/>
      <c r="BF14" s="13"/>
      <c r="BG14" s="13"/>
      <c r="BH14" s="13"/>
      <c r="BI14" s="13"/>
      <c r="BJ14" s="13"/>
      <c r="BK14" s="13"/>
      <c r="BL14" s="13"/>
      <c r="BM14" s="13"/>
      <c r="BN14" s="13"/>
    </row>
    <row r="15" spans="1:66" x14ac:dyDescent="0.25">
      <c r="A15" s="22">
        <v>13</v>
      </c>
      <c r="B15" s="23">
        <v>406.85929098847157</v>
      </c>
      <c r="C15" s="24">
        <v>2126.9500820915919</v>
      </c>
      <c r="E15" s="52"/>
      <c r="I15" s="31"/>
      <c r="J15" s="31"/>
      <c r="K15" s="31"/>
      <c r="L15" s="31"/>
      <c r="M15" s="31"/>
      <c r="N15" s="31"/>
      <c r="AH15" s="16"/>
      <c r="AI15" s="16"/>
      <c r="AJ15" s="16"/>
      <c r="AK15" s="16">
        <v>700</v>
      </c>
      <c r="AL15" s="16">
        <v>2</v>
      </c>
      <c r="AM15" s="16">
        <v>0</v>
      </c>
      <c r="AN15" s="16"/>
      <c r="BC15" s="13"/>
      <c r="BD15" s="13"/>
      <c r="BE15" s="13"/>
      <c r="BF15" s="13"/>
      <c r="BG15" s="13"/>
      <c r="BH15" s="13"/>
      <c r="BI15" s="13"/>
      <c r="BJ15" s="13"/>
      <c r="BK15" s="13"/>
      <c r="BL15" s="13"/>
      <c r="BM15" s="13"/>
      <c r="BN15" s="13"/>
    </row>
    <row r="16" spans="1:66" x14ac:dyDescent="0.25">
      <c r="A16" s="22">
        <v>14</v>
      </c>
      <c r="B16" s="23">
        <v>211.31534770796554</v>
      </c>
      <c r="C16" s="24">
        <v>1508.0825601985102</v>
      </c>
      <c r="E16" s="52"/>
      <c r="I16" s="31"/>
      <c r="J16" s="31"/>
      <c r="K16" s="31"/>
      <c r="L16" s="31"/>
      <c r="M16" s="31"/>
      <c r="N16" s="31"/>
      <c r="AH16" s="16"/>
      <c r="AI16" s="16"/>
      <c r="AJ16" s="16"/>
      <c r="AK16" s="16">
        <v>800</v>
      </c>
      <c r="AL16" s="16">
        <v>2</v>
      </c>
      <c r="AM16" s="16">
        <v>0</v>
      </c>
      <c r="AN16" s="16"/>
      <c r="BC16" s="13"/>
      <c r="BD16" s="13"/>
      <c r="BE16" s="13"/>
      <c r="BF16" s="13"/>
      <c r="BG16" s="13"/>
      <c r="BH16" s="13"/>
      <c r="BI16" s="13"/>
      <c r="BJ16" s="13"/>
      <c r="BK16" s="13"/>
      <c r="BL16" s="13"/>
      <c r="BM16" s="13"/>
      <c r="BN16" s="13"/>
    </row>
    <row r="17" spans="1:66" x14ac:dyDescent="0.25">
      <c r="A17" s="22">
        <v>15</v>
      </c>
      <c r="B17" s="23">
        <v>311.36082841503003</v>
      </c>
      <c r="C17" s="24">
        <v>2223.8882838271647</v>
      </c>
      <c r="I17" s="31"/>
      <c r="J17" s="31"/>
      <c r="K17" s="31"/>
      <c r="L17" s="31"/>
      <c r="M17" s="31"/>
      <c r="N17" s="31"/>
      <c r="AH17" s="16"/>
      <c r="AI17" s="16"/>
      <c r="AJ17" s="16"/>
      <c r="AK17" s="16">
        <v>800</v>
      </c>
      <c r="AL17" s="16">
        <v>1</v>
      </c>
      <c r="AM17" s="16">
        <v>0</v>
      </c>
      <c r="AN17" s="16"/>
      <c r="BC17" s="13"/>
      <c r="BD17" s="13"/>
      <c r="BE17" s="13"/>
      <c r="BF17" s="13"/>
      <c r="BG17" s="13"/>
      <c r="BH17" s="13"/>
      <c r="BI17" s="13"/>
      <c r="BJ17" s="13"/>
      <c r="BK17" s="13"/>
      <c r="BL17" s="13"/>
      <c r="BM17" s="13"/>
      <c r="BN17" s="13"/>
    </row>
    <row r="18" spans="1:66" x14ac:dyDescent="0.25">
      <c r="A18" s="22">
        <v>16</v>
      </c>
      <c r="B18" s="23">
        <v>445.99828882519944</v>
      </c>
      <c r="C18" s="24">
        <v>2694.3069321641392</v>
      </c>
      <c r="I18" s="31"/>
      <c r="J18" s="31"/>
      <c r="K18" s="31"/>
      <c r="L18" s="31"/>
      <c r="M18" s="31"/>
      <c r="N18" s="31"/>
      <c r="AH18" s="16"/>
      <c r="AI18" s="16"/>
      <c r="AJ18" s="16"/>
      <c r="AK18" s="16">
        <v>900</v>
      </c>
      <c r="AL18" s="16">
        <v>1</v>
      </c>
      <c r="AM18" s="16">
        <v>0</v>
      </c>
      <c r="AN18" s="16"/>
      <c r="BC18" s="13"/>
      <c r="BD18" s="13"/>
      <c r="BE18" s="13"/>
      <c r="BF18" s="13"/>
      <c r="BG18" s="13"/>
      <c r="BH18" s="13"/>
      <c r="BI18" s="13"/>
      <c r="BJ18" s="13"/>
      <c r="BK18" s="13"/>
      <c r="BL18" s="13"/>
      <c r="BM18" s="13"/>
      <c r="BN18" s="13"/>
    </row>
    <row r="19" spans="1:66" x14ac:dyDescent="0.25">
      <c r="A19" s="22">
        <v>17</v>
      </c>
      <c r="B19" s="23">
        <v>298.88734940580719</v>
      </c>
      <c r="C19" s="24">
        <v>1895.7016905050664</v>
      </c>
      <c r="F19" s="53">
        <v>1</v>
      </c>
      <c r="I19" s="31"/>
      <c r="J19" s="31"/>
      <c r="K19" s="31"/>
      <c r="L19" s="31"/>
      <c r="M19" s="31"/>
      <c r="N19" s="31"/>
      <c r="AH19" s="16"/>
      <c r="AI19" s="16"/>
      <c r="AJ19" s="16"/>
      <c r="AK19" s="16">
        <v>900</v>
      </c>
      <c r="AL19" s="16">
        <v>0</v>
      </c>
      <c r="AM19" s="16">
        <v>0</v>
      </c>
      <c r="AN19" s="16"/>
      <c r="BC19" s="13"/>
      <c r="BD19" s="13"/>
      <c r="BE19" s="13"/>
      <c r="BF19" s="13"/>
      <c r="BG19" s="13"/>
      <c r="BH19" s="13"/>
      <c r="BI19" s="13"/>
      <c r="BJ19" s="13"/>
      <c r="BK19" s="13"/>
      <c r="BL19" s="13"/>
      <c r="BM19" s="13"/>
      <c r="BN19" s="13"/>
    </row>
    <row r="20" spans="1:66" x14ac:dyDescent="0.25">
      <c r="A20" s="22">
        <v>18</v>
      </c>
      <c r="B20" s="23">
        <v>291.46237734815872</v>
      </c>
      <c r="C20" s="24">
        <v>2192.873965434093</v>
      </c>
      <c r="I20" s="31"/>
      <c r="J20" s="31"/>
      <c r="K20" s="31"/>
      <c r="L20" s="31"/>
      <c r="M20" s="31"/>
      <c r="N20" s="31"/>
      <c r="AH20" s="16"/>
      <c r="AI20" s="16"/>
      <c r="AJ20" s="16"/>
      <c r="AK20" s="16">
        <v>1000</v>
      </c>
      <c r="AL20" s="16"/>
      <c r="AM20" s="16">
        <v>0</v>
      </c>
      <c r="AN20" s="16"/>
      <c r="BC20" s="13"/>
      <c r="BD20" s="13"/>
      <c r="BE20" s="13"/>
      <c r="BF20" s="13"/>
      <c r="BG20" s="13"/>
      <c r="BH20" s="13"/>
      <c r="BI20" s="13"/>
      <c r="BJ20" s="13"/>
      <c r="BK20" s="13"/>
      <c r="BL20" s="13"/>
      <c r="BM20" s="13"/>
      <c r="BN20" s="13"/>
    </row>
    <row r="21" spans="1:66" x14ac:dyDescent="0.25">
      <c r="A21" s="22">
        <v>19</v>
      </c>
      <c r="B21" s="23">
        <v>266.42882965849441</v>
      </c>
      <c r="C21" s="24">
        <v>1839.1816070397035</v>
      </c>
      <c r="I21" s="31"/>
      <c r="J21" s="31"/>
      <c r="K21" s="31"/>
      <c r="L21" s="31"/>
      <c r="M21" s="31"/>
      <c r="N21" s="31"/>
      <c r="AH21" s="16"/>
      <c r="AI21" s="16"/>
      <c r="AJ21" s="16"/>
      <c r="AK21" s="16">
        <v>1000</v>
      </c>
      <c r="AL21" s="16"/>
      <c r="AM21" s="16">
        <v>4</v>
      </c>
      <c r="AN21" s="16"/>
      <c r="BC21" s="13"/>
      <c r="BD21" s="13"/>
      <c r="BE21" s="13"/>
      <c r="BF21" s="13"/>
      <c r="BG21" s="13"/>
      <c r="BH21" s="13"/>
      <c r="BI21" s="13"/>
      <c r="BJ21" s="13"/>
      <c r="BK21" s="13"/>
      <c r="BL21" s="13"/>
      <c r="BM21" s="13"/>
      <c r="BN21" s="13"/>
    </row>
    <row r="22" spans="1:66" x14ac:dyDescent="0.25">
      <c r="A22" s="22">
        <v>20</v>
      </c>
      <c r="B22" s="23">
        <v>372.18528090469368</v>
      </c>
      <c r="C22" s="24">
        <v>2471.0094795919504</v>
      </c>
      <c r="I22" s="31"/>
      <c r="J22" s="31"/>
      <c r="K22" s="31"/>
      <c r="L22" s="31"/>
      <c r="M22" s="31"/>
      <c r="N22" s="31"/>
      <c r="AH22" s="16"/>
      <c r="AI22" s="16"/>
      <c r="AJ22" s="16"/>
      <c r="AK22" s="16">
        <v>1100</v>
      </c>
      <c r="AL22" s="16"/>
      <c r="AM22" s="16">
        <v>4</v>
      </c>
      <c r="AN22" s="16"/>
      <c r="BC22" s="13"/>
      <c r="BD22" s="13"/>
      <c r="BE22" s="13"/>
      <c r="BF22" s="13"/>
      <c r="BG22" s="13"/>
      <c r="BH22" s="13"/>
      <c r="BI22" s="13"/>
      <c r="BJ22" s="13"/>
      <c r="BK22" s="13"/>
      <c r="BL22" s="13"/>
      <c r="BM22" s="13"/>
      <c r="BN22" s="13"/>
    </row>
    <row r="23" spans="1:66" x14ac:dyDescent="0.25">
      <c r="A23" s="22">
        <v>21</v>
      </c>
      <c r="B23" s="23">
        <v>375.95888374288739</v>
      </c>
      <c r="C23" s="24">
        <v>2461.9560741946389</v>
      </c>
      <c r="AH23" s="16"/>
      <c r="AI23" s="16"/>
      <c r="AJ23" s="16"/>
      <c r="AK23" s="16">
        <v>1100</v>
      </c>
      <c r="AL23" s="16"/>
      <c r="AM23" s="16">
        <v>11</v>
      </c>
      <c r="AN23" s="16"/>
      <c r="BC23" s="13"/>
      <c r="BD23" s="13"/>
      <c r="BE23" s="13"/>
      <c r="BF23" s="13"/>
      <c r="BG23" s="13"/>
      <c r="BH23" s="13"/>
      <c r="BI23" s="13"/>
      <c r="BJ23" s="13"/>
      <c r="BK23" s="13"/>
      <c r="BL23" s="13"/>
      <c r="BM23" s="13"/>
      <c r="BN23" s="13"/>
    </row>
    <row r="24" spans="1:66" x14ac:dyDescent="0.25">
      <c r="A24" s="22">
        <v>22</v>
      </c>
      <c r="B24" s="23">
        <v>182.13752593058587</v>
      </c>
      <c r="C24" s="24">
        <v>3344.3500460120376</v>
      </c>
      <c r="I24" s="54"/>
      <c r="AH24" s="16"/>
      <c r="AI24" s="16"/>
      <c r="AJ24" s="16"/>
      <c r="AK24" s="16">
        <v>1200</v>
      </c>
      <c r="AL24" s="16"/>
      <c r="AM24" s="16">
        <v>11</v>
      </c>
      <c r="AN24" s="16"/>
      <c r="BC24" s="13"/>
      <c r="BD24" s="13"/>
      <c r="BE24" s="13"/>
      <c r="BF24" s="13"/>
      <c r="BG24" s="13"/>
      <c r="BH24" s="13"/>
      <c r="BI24" s="13"/>
      <c r="BJ24" s="13"/>
      <c r="BK24" s="13"/>
      <c r="BL24" s="13"/>
      <c r="BM24" s="13"/>
      <c r="BN24" s="13"/>
    </row>
    <row r="25" spans="1:66" x14ac:dyDescent="0.25">
      <c r="A25" s="22">
        <v>23</v>
      </c>
      <c r="B25" s="23">
        <v>225.26786963486398</v>
      </c>
      <c r="C25" s="24">
        <v>1847.0254923999339</v>
      </c>
      <c r="AH25" s="16"/>
      <c r="AI25" s="16"/>
      <c r="AJ25" s="16"/>
      <c r="AK25" s="16">
        <v>1200</v>
      </c>
      <c r="AL25" s="16"/>
      <c r="AM25" s="16">
        <v>29</v>
      </c>
      <c r="AN25" s="16"/>
      <c r="BC25" s="13"/>
      <c r="BD25" s="13"/>
      <c r="BE25" s="13"/>
      <c r="BF25" s="13"/>
      <c r="BG25" s="13"/>
      <c r="BH25" s="13"/>
      <c r="BI25" s="13"/>
      <c r="BJ25" s="13"/>
      <c r="BK25" s="13"/>
      <c r="BL25" s="13"/>
      <c r="BM25" s="13"/>
      <c r="BN25" s="13"/>
    </row>
    <row r="26" spans="1:66" x14ac:dyDescent="0.25">
      <c r="A26" s="22">
        <v>24</v>
      </c>
      <c r="B26" s="23">
        <v>243.59728855212038</v>
      </c>
      <c r="C26" s="24">
        <v>2167.0974800918257</v>
      </c>
      <c r="AH26" s="16"/>
      <c r="AI26" s="16"/>
      <c r="AJ26" s="16"/>
      <c r="AK26" s="16">
        <v>1300</v>
      </c>
      <c r="AL26" s="16"/>
      <c r="AM26" s="16">
        <v>29</v>
      </c>
      <c r="AN26" s="16"/>
      <c r="BC26" s="13"/>
      <c r="BD26" s="13"/>
      <c r="BE26" s="13"/>
      <c r="BF26" s="13"/>
      <c r="BG26" s="13"/>
      <c r="BH26" s="13"/>
      <c r="BI26" s="13"/>
      <c r="BJ26" s="13"/>
      <c r="BK26" s="13"/>
      <c r="BL26" s="13"/>
      <c r="BM26" s="13"/>
      <c r="BN26" s="13"/>
    </row>
    <row r="27" spans="1:66" x14ac:dyDescent="0.25">
      <c r="A27" s="22">
        <v>25</v>
      </c>
      <c r="B27" s="23">
        <v>331.28974446699101</v>
      </c>
      <c r="C27" s="24">
        <v>2067.4874427115878</v>
      </c>
      <c r="AH27" s="16"/>
      <c r="AI27" s="16"/>
      <c r="AJ27" s="16"/>
      <c r="AK27" s="16">
        <v>1300</v>
      </c>
      <c r="AL27" s="16"/>
      <c r="AM27" s="16">
        <v>67</v>
      </c>
      <c r="AN27" s="16"/>
      <c r="BC27" s="13"/>
      <c r="BD27" s="13"/>
      <c r="BE27" s="13"/>
      <c r="BF27" s="13"/>
      <c r="BG27" s="13"/>
      <c r="BH27" s="13"/>
      <c r="BI27" s="13"/>
      <c r="BJ27" s="13"/>
      <c r="BK27" s="13"/>
      <c r="BL27" s="13"/>
      <c r="BM27" s="13"/>
      <c r="BN27" s="13"/>
    </row>
    <row r="28" spans="1:66" x14ac:dyDescent="0.25">
      <c r="A28" s="22">
        <v>26</v>
      </c>
      <c r="B28" s="23">
        <v>229.76385343540539</v>
      </c>
      <c r="C28" s="24">
        <v>2210.0438957478905</v>
      </c>
      <c r="AH28" s="16"/>
      <c r="AI28" s="16"/>
      <c r="AJ28" s="16"/>
      <c r="AK28" s="16">
        <v>1400</v>
      </c>
      <c r="AL28" s="16"/>
      <c r="AM28" s="16">
        <v>67</v>
      </c>
      <c r="AN28" s="16"/>
      <c r="BC28" s="13"/>
      <c r="BD28" s="13"/>
      <c r="BE28" s="13"/>
      <c r="BF28" s="13"/>
      <c r="BG28" s="13"/>
      <c r="BH28" s="13"/>
      <c r="BI28" s="13"/>
      <c r="BJ28" s="13"/>
      <c r="BK28" s="13"/>
      <c r="BL28" s="13"/>
      <c r="BM28" s="13"/>
      <c r="BN28" s="13"/>
    </row>
    <row r="29" spans="1:66" x14ac:dyDescent="0.25">
      <c r="A29" s="22">
        <v>27</v>
      </c>
      <c r="B29" s="23">
        <v>427.52263723896215</v>
      </c>
      <c r="C29" s="24">
        <v>1961.9498533603708</v>
      </c>
      <c r="AH29" s="16"/>
      <c r="AI29" s="16"/>
      <c r="AJ29" s="16"/>
      <c r="AK29" s="16">
        <v>1400</v>
      </c>
      <c r="AL29" s="16"/>
      <c r="AM29" s="16">
        <v>125</v>
      </c>
      <c r="AN29" s="16"/>
      <c r="BC29" s="13"/>
      <c r="BD29" s="13"/>
      <c r="BE29" s="13"/>
      <c r="BF29" s="13"/>
      <c r="BG29" s="13"/>
      <c r="BH29" s="13"/>
      <c r="BI29" s="13"/>
      <c r="BJ29" s="13"/>
      <c r="BK29" s="13"/>
      <c r="BL29" s="13"/>
      <c r="BM29" s="13"/>
      <c r="BN29" s="13"/>
    </row>
    <row r="30" spans="1:66" x14ac:dyDescent="0.25">
      <c r="A30" s="22">
        <v>28</v>
      </c>
      <c r="B30" s="23">
        <v>245.82928584714128</v>
      </c>
      <c r="C30" s="24">
        <v>2414.73522974554</v>
      </c>
      <c r="AH30" s="16"/>
      <c r="AI30" s="16"/>
      <c r="AJ30" s="16"/>
      <c r="AK30" s="16">
        <v>1500</v>
      </c>
      <c r="AL30" s="16"/>
      <c r="AM30" s="16">
        <v>125</v>
      </c>
      <c r="AN30" s="16"/>
      <c r="BC30" s="13"/>
      <c r="BD30" s="13"/>
      <c r="BE30" s="13"/>
      <c r="BF30" s="13"/>
      <c r="BG30" s="13"/>
      <c r="BH30" s="13"/>
      <c r="BI30" s="13"/>
      <c r="BJ30" s="13"/>
      <c r="BK30" s="13"/>
      <c r="BL30" s="13"/>
      <c r="BM30" s="13"/>
      <c r="BN30" s="13"/>
    </row>
    <row r="31" spans="1:66" x14ac:dyDescent="0.25">
      <c r="A31" s="22">
        <v>29</v>
      </c>
      <c r="B31" s="23">
        <v>337.18061932170468</v>
      </c>
      <c r="C31" s="24">
        <v>1803.8096865707419</v>
      </c>
      <c r="AH31" s="16"/>
      <c r="AI31" s="16"/>
      <c r="AJ31" s="16"/>
      <c r="AK31" s="16">
        <v>1500</v>
      </c>
      <c r="AL31" s="16"/>
      <c r="AM31" s="16">
        <v>244</v>
      </c>
      <c r="AN31" s="16"/>
      <c r="BC31" s="13"/>
      <c r="BD31" s="13"/>
      <c r="BE31" s="13"/>
      <c r="BF31" s="13"/>
      <c r="BG31" s="13"/>
      <c r="BH31" s="13"/>
      <c r="BI31" s="13"/>
      <c r="BJ31" s="13"/>
      <c r="BK31" s="13"/>
      <c r="BL31" s="13"/>
      <c r="BM31" s="13"/>
      <c r="BN31" s="13"/>
    </row>
    <row r="32" spans="1:66" x14ac:dyDescent="0.25">
      <c r="A32" s="22">
        <v>30</v>
      </c>
      <c r="B32" s="23">
        <v>466.29758376974161</v>
      </c>
      <c r="C32" s="24">
        <v>2017.3297479582234</v>
      </c>
      <c r="AH32" s="16"/>
      <c r="AI32" s="16"/>
      <c r="AJ32" s="16"/>
      <c r="AK32" s="16">
        <v>1600</v>
      </c>
      <c r="AL32" s="16"/>
      <c r="AM32" s="16">
        <v>244</v>
      </c>
      <c r="AN32" s="16"/>
      <c r="BC32" s="13"/>
      <c r="BD32" s="13"/>
      <c r="BE32" s="13"/>
      <c r="BF32" s="13"/>
      <c r="BG32" s="13"/>
      <c r="BH32" s="13"/>
      <c r="BI32" s="13"/>
      <c r="BJ32" s="13"/>
      <c r="BK32" s="13"/>
      <c r="BL32" s="13"/>
      <c r="BM32" s="13"/>
      <c r="BN32" s="13"/>
    </row>
    <row r="33" spans="1:66" x14ac:dyDescent="0.25">
      <c r="A33" s="22">
        <v>31</v>
      </c>
      <c r="B33" s="23">
        <v>265.02316580856632</v>
      </c>
      <c r="C33" s="24">
        <v>1981.3996606071435</v>
      </c>
      <c r="AH33" s="16"/>
      <c r="AI33" s="16"/>
      <c r="AJ33" s="16"/>
      <c r="AK33" s="16">
        <v>1600</v>
      </c>
      <c r="AL33" s="16"/>
      <c r="AM33" s="16">
        <v>392</v>
      </c>
      <c r="AN33" s="16"/>
      <c r="BC33" s="13"/>
      <c r="BD33" s="13"/>
      <c r="BE33" s="13"/>
      <c r="BF33" s="13"/>
      <c r="BG33" s="13"/>
      <c r="BH33" s="13"/>
      <c r="BI33" s="13"/>
      <c r="BJ33" s="13"/>
      <c r="BK33" s="13"/>
      <c r="BL33" s="13"/>
      <c r="BM33" s="13"/>
      <c r="BN33" s="13"/>
    </row>
    <row r="34" spans="1:66" x14ac:dyDescent="0.25">
      <c r="A34" s="22">
        <v>32</v>
      </c>
      <c r="B34" s="23">
        <v>316.37289127378494</v>
      </c>
      <c r="C34" s="24">
        <v>2002.4171330941733</v>
      </c>
      <c r="AH34" s="16"/>
      <c r="AI34" s="16"/>
      <c r="AJ34" s="16"/>
      <c r="AK34" s="16">
        <v>1700</v>
      </c>
      <c r="AL34" s="16"/>
      <c r="AM34" s="16">
        <v>392</v>
      </c>
      <c r="AN34" s="16"/>
      <c r="BC34" s="13"/>
      <c r="BD34" s="13"/>
      <c r="BE34" s="13"/>
      <c r="BF34" s="13"/>
      <c r="BG34" s="13"/>
      <c r="BH34" s="13"/>
      <c r="BI34" s="13"/>
      <c r="BJ34" s="13"/>
      <c r="BK34" s="13"/>
      <c r="BL34" s="13"/>
      <c r="BM34" s="13"/>
      <c r="BN34" s="13"/>
    </row>
    <row r="35" spans="1:66" x14ac:dyDescent="0.25">
      <c r="A35" s="22">
        <v>33</v>
      </c>
      <c r="B35" s="23">
        <v>294.72496168272994</v>
      </c>
      <c r="C35" s="24">
        <v>2129.160603591054</v>
      </c>
      <c r="AH35" s="16"/>
      <c r="AI35" s="16"/>
      <c r="AJ35" s="16"/>
      <c r="AK35" s="16">
        <v>1700</v>
      </c>
      <c r="AL35" s="16"/>
      <c r="AM35" s="16">
        <v>494</v>
      </c>
      <c r="AN35" s="16"/>
      <c r="BC35" s="13"/>
      <c r="BD35" s="13"/>
      <c r="BE35" s="13"/>
      <c r="BF35" s="13"/>
      <c r="BG35" s="13"/>
      <c r="BH35" s="13"/>
      <c r="BI35" s="13"/>
      <c r="BJ35" s="13"/>
      <c r="BK35" s="13"/>
      <c r="BL35" s="13"/>
      <c r="BM35" s="13"/>
      <c r="BN35" s="13"/>
    </row>
    <row r="36" spans="1:66" x14ac:dyDescent="0.25">
      <c r="A36" s="22">
        <v>34</v>
      </c>
      <c r="B36" s="23">
        <v>450.92838029200539</v>
      </c>
      <c r="C36" s="24">
        <v>1446.4797073906491</v>
      </c>
      <c r="AH36" s="16"/>
      <c r="AI36" s="16"/>
      <c r="AJ36" s="16"/>
      <c r="AK36" s="16">
        <v>1800</v>
      </c>
      <c r="AL36" s="16"/>
      <c r="AM36" s="16">
        <v>494</v>
      </c>
      <c r="AN36" s="16"/>
      <c r="BC36" s="13"/>
      <c r="BD36" s="13"/>
      <c r="BE36" s="13"/>
      <c r="BF36" s="13"/>
      <c r="BG36" s="13"/>
      <c r="BH36" s="13"/>
      <c r="BI36" s="13"/>
      <c r="BJ36" s="13"/>
      <c r="BK36" s="13"/>
      <c r="BL36" s="13"/>
      <c r="BM36" s="13"/>
      <c r="BN36" s="13"/>
    </row>
    <row r="37" spans="1:66" x14ac:dyDescent="0.25">
      <c r="A37" s="22">
        <v>35</v>
      </c>
      <c r="B37" s="23">
        <v>329.25123209529136</v>
      </c>
      <c r="C37" s="24">
        <v>2737.5309432781</v>
      </c>
      <c r="AH37" s="16"/>
      <c r="AI37" s="16"/>
      <c r="AJ37" s="16"/>
      <c r="AK37" s="16">
        <v>1800</v>
      </c>
      <c r="AL37" s="16"/>
      <c r="AM37" s="16">
        <v>620</v>
      </c>
      <c r="AN37" s="16"/>
      <c r="BC37" s="13"/>
      <c r="BD37" s="13"/>
      <c r="BE37" s="13"/>
      <c r="BF37" s="13"/>
      <c r="BG37" s="13"/>
      <c r="BH37" s="13"/>
      <c r="BI37" s="13"/>
      <c r="BJ37" s="13"/>
      <c r="BK37" s="13"/>
      <c r="BL37" s="13"/>
      <c r="BM37" s="13"/>
      <c r="BN37" s="13"/>
    </row>
    <row r="38" spans="1:66" x14ac:dyDescent="0.25">
      <c r="A38" s="22">
        <v>36</v>
      </c>
      <c r="B38" s="23">
        <v>360.10090756105717</v>
      </c>
      <c r="C38" s="24">
        <v>3450.5205645343253</v>
      </c>
      <c r="AH38" s="16"/>
      <c r="AI38" s="16"/>
      <c r="AJ38" s="16"/>
      <c r="AK38" s="16">
        <v>1900</v>
      </c>
      <c r="AL38" s="16"/>
      <c r="AM38" s="16">
        <v>620</v>
      </c>
      <c r="AN38" s="16"/>
      <c r="BC38" s="13"/>
      <c r="BD38" s="13"/>
      <c r="BE38" s="13"/>
      <c r="BF38" s="13"/>
      <c r="BG38" s="13"/>
      <c r="BH38" s="13"/>
      <c r="BI38" s="13"/>
      <c r="BJ38" s="13"/>
      <c r="BK38" s="13"/>
      <c r="BL38" s="13"/>
      <c r="BM38" s="13"/>
      <c r="BN38" s="13"/>
    </row>
    <row r="39" spans="1:66" x14ac:dyDescent="0.25">
      <c r="A39" s="22">
        <v>37</v>
      </c>
      <c r="B39" s="23">
        <v>356.37347987385533</v>
      </c>
      <c r="C39" s="24">
        <v>2130.3043277236893</v>
      </c>
      <c r="AH39" s="16"/>
      <c r="AI39" s="16"/>
      <c r="AJ39" s="16"/>
      <c r="AK39" s="16">
        <v>1900</v>
      </c>
      <c r="AL39" s="16"/>
      <c r="AM39" s="16">
        <v>782</v>
      </c>
      <c r="AN39" s="16"/>
      <c r="BC39" s="13"/>
      <c r="BD39" s="13"/>
      <c r="BE39" s="13"/>
      <c r="BF39" s="13"/>
      <c r="BG39" s="13"/>
      <c r="BH39" s="13"/>
      <c r="BI39" s="13"/>
      <c r="BJ39" s="13"/>
      <c r="BK39" s="13"/>
      <c r="BL39" s="13"/>
      <c r="BM39" s="13"/>
      <c r="BN39" s="13"/>
    </row>
    <row r="40" spans="1:66" x14ac:dyDescent="0.25">
      <c r="A40" s="22">
        <v>38</v>
      </c>
      <c r="B40" s="23">
        <v>252.79907292117792</v>
      </c>
      <c r="C40" s="24">
        <v>2206.431942690127</v>
      </c>
      <c r="AH40" s="16"/>
      <c r="AI40" s="16"/>
      <c r="AJ40" s="16"/>
      <c r="AK40" s="16">
        <v>2000</v>
      </c>
      <c r="AL40" s="16"/>
      <c r="AM40" s="16">
        <v>782</v>
      </c>
      <c r="AN40" s="16"/>
      <c r="BC40" s="13"/>
      <c r="BD40" s="13"/>
      <c r="BE40" s="13"/>
      <c r="BF40" s="13"/>
      <c r="BG40" s="13"/>
      <c r="BH40" s="13"/>
      <c r="BI40" s="13"/>
      <c r="BJ40" s="13"/>
      <c r="BK40" s="13"/>
      <c r="BL40" s="13"/>
      <c r="BM40" s="13"/>
      <c r="BN40" s="13"/>
    </row>
    <row r="41" spans="1:66" x14ac:dyDescent="0.25">
      <c r="A41" s="22">
        <v>39</v>
      </c>
      <c r="B41" s="23">
        <v>281.77863568398402</v>
      </c>
      <c r="C41" s="24">
        <v>1788.3265208399114</v>
      </c>
      <c r="AH41" s="16"/>
      <c r="AI41" s="16"/>
      <c r="AJ41" s="16"/>
      <c r="AK41" s="16">
        <v>2000</v>
      </c>
      <c r="AL41" s="16"/>
      <c r="AM41" s="16">
        <v>852</v>
      </c>
      <c r="AN41" s="16"/>
      <c r="BC41" s="13"/>
      <c r="BD41" s="13"/>
      <c r="BE41" s="13"/>
      <c r="BF41" s="13"/>
      <c r="BG41" s="13"/>
      <c r="BH41" s="13"/>
      <c r="BI41" s="13"/>
      <c r="BJ41" s="13"/>
      <c r="BK41" s="13"/>
      <c r="BL41" s="13"/>
      <c r="BM41" s="13"/>
      <c r="BN41" s="13"/>
    </row>
    <row r="42" spans="1:66" x14ac:dyDescent="0.25">
      <c r="A42" s="22">
        <v>40</v>
      </c>
      <c r="B42" s="23">
        <v>270.6114472727611</v>
      </c>
      <c r="C42" s="24">
        <v>2013.7274633566508</v>
      </c>
      <c r="AH42" s="16"/>
      <c r="AI42" s="16"/>
      <c r="AJ42" s="16"/>
      <c r="AK42" s="16">
        <v>2100</v>
      </c>
      <c r="AL42" s="16"/>
      <c r="AM42" s="16">
        <v>852</v>
      </c>
      <c r="AN42" s="16"/>
      <c r="BC42" s="13"/>
      <c r="BD42" s="13"/>
      <c r="BE42" s="13"/>
      <c r="BF42" s="13"/>
      <c r="BG42" s="13"/>
      <c r="BH42" s="13"/>
      <c r="BI42" s="13"/>
      <c r="BJ42" s="13"/>
      <c r="BK42" s="13"/>
      <c r="BL42" s="13"/>
      <c r="BM42" s="13"/>
      <c r="BN42" s="13"/>
    </row>
    <row r="43" spans="1:66" x14ac:dyDescent="0.25">
      <c r="A43" s="22">
        <v>41</v>
      </c>
      <c r="B43" s="23">
        <v>311.03799507413902</v>
      </c>
      <c r="C43" s="24">
        <v>2273.6197229894328</v>
      </c>
      <c r="AH43" s="16"/>
      <c r="AI43" s="16"/>
      <c r="AJ43" s="16"/>
      <c r="AK43" s="16">
        <v>2100</v>
      </c>
      <c r="AL43" s="16"/>
      <c r="AM43" s="16">
        <v>859</v>
      </c>
      <c r="AN43" s="16"/>
      <c r="BC43" s="13"/>
      <c r="BD43" s="13"/>
      <c r="BE43" s="13"/>
      <c r="BF43" s="13"/>
      <c r="BG43" s="13"/>
      <c r="BH43" s="13"/>
      <c r="BI43" s="13"/>
      <c r="BJ43" s="13"/>
      <c r="BK43" s="13"/>
      <c r="BL43" s="13"/>
      <c r="BM43" s="13"/>
      <c r="BN43" s="13"/>
    </row>
    <row r="44" spans="1:66" x14ac:dyDescent="0.25">
      <c r="A44" s="22">
        <v>42</v>
      </c>
      <c r="B44" s="23">
        <v>339.78514444725124</v>
      </c>
      <c r="C44" s="24">
        <v>2564.55829032767</v>
      </c>
      <c r="AH44" s="16"/>
      <c r="AI44" s="16"/>
      <c r="AJ44" s="16"/>
      <c r="AK44" s="16">
        <v>2200</v>
      </c>
      <c r="AL44" s="16"/>
      <c r="AM44" s="16">
        <v>859</v>
      </c>
      <c r="AN44" s="16"/>
      <c r="BC44" s="13"/>
      <c r="BD44" s="13"/>
      <c r="BE44" s="13"/>
      <c r="BF44" s="13"/>
      <c r="BG44" s="13"/>
      <c r="BH44" s="13"/>
      <c r="BI44" s="13"/>
      <c r="BJ44" s="13"/>
      <c r="BK44" s="13"/>
      <c r="BL44" s="13"/>
      <c r="BM44" s="13"/>
      <c r="BN44" s="13"/>
    </row>
    <row r="45" spans="1:66" x14ac:dyDescent="0.25">
      <c r="A45" s="22">
        <v>43</v>
      </c>
      <c r="B45" s="23">
        <v>344.22335247270979</v>
      </c>
      <c r="C45" s="24">
        <v>3172.4852548076906</v>
      </c>
      <c r="AH45" s="16"/>
      <c r="AI45" s="16"/>
      <c r="AJ45" s="16"/>
      <c r="AK45" s="16">
        <v>2200</v>
      </c>
      <c r="AL45" s="16"/>
      <c r="AM45" s="16">
        <v>858</v>
      </c>
      <c r="AN45" s="16"/>
      <c r="BC45" s="13"/>
      <c r="BD45" s="13"/>
      <c r="BE45" s="13"/>
      <c r="BF45" s="13"/>
      <c r="BG45" s="13"/>
      <c r="BH45" s="13"/>
      <c r="BI45" s="13"/>
      <c r="BJ45" s="13"/>
      <c r="BK45" s="13"/>
      <c r="BL45" s="13"/>
      <c r="BM45" s="13"/>
      <c r="BN45" s="13"/>
    </row>
    <row r="46" spans="1:66" x14ac:dyDescent="0.25">
      <c r="A46" s="22">
        <v>44</v>
      </c>
      <c r="B46" s="23">
        <v>364.88476124157512</v>
      </c>
      <c r="C46" s="24">
        <v>3589.7689156591082</v>
      </c>
      <c r="I46" s="54"/>
      <c r="AH46" s="16"/>
      <c r="AI46" s="16"/>
      <c r="AJ46" s="16"/>
      <c r="AK46" s="16">
        <v>2300</v>
      </c>
      <c r="AL46" s="16"/>
      <c r="AM46" s="16">
        <v>858</v>
      </c>
      <c r="AN46" s="16"/>
      <c r="BC46" s="13"/>
      <c r="BD46" s="13"/>
      <c r="BE46" s="13"/>
      <c r="BF46" s="13"/>
      <c r="BG46" s="13"/>
      <c r="BH46" s="13"/>
      <c r="BI46" s="13"/>
      <c r="BJ46" s="13"/>
      <c r="BK46" s="13"/>
      <c r="BL46" s="13"/>
      <c r="BM46" s="13"/>
      <c r="BN46" s="13"/>
    </row>
    <row r="47" spans="1:66" x14ac:dyDescent="0.25">
      <c r="A47" s="22">
        <v>45</v>
      </c>
      <c r="B47" s="23">
        <v>442.25982161383433</v>
      </c>
      <c r="C47" s="24">
        <v>1821.7213486625071</v>
      </c>
      <c r="AH47" s="16"/>
      <c r="AI47" s="16"/>
      <c r="AJ47" s="16"/>
      <c r="AK47" s="16">
        <v>2300</v>
      </c>
      <c r="AL47" s="16"/>
      <c r="AM47" s="16">
        <v>827</v>
      </c>
      <c r="AN47" s="16"/>
      <c r="BC47" s="13"/>
      <c r="BD47" s="13"/>
      <c r="BE47" s="13"/>
      <c r="BF47" s="13"/>
      <c r="BG47" s="13"/>
      <c r="BH47" s="13"/>
      <c r="BI47" s="13"/>
      <c r="BJ47" s="13"/>
      <c r="BK47" s="13"/>
      <c r="BL47" s="13"/>
      <c r="BM47" s="13"/>
      <c r="BN47" s="13"/>
    </row>
    <row r="48" spans="1:66" x14ac:dyDescent="0.25">
      <c r="A48" s="22">
        <v>46</v>
      </c>
      <c r="B48" s="23">
        <v>245.53892262416315</v>
      </c>
      <c r="C48" s="24">
        <v>3912.3366840766325</v>
      </c>
      <c r="AH48" s="16"/>
      <c r="AI48" s="16"/>
      <c r="AJ48" s="16"/>
      <c r="AK48" s="16">
        <v>2400</v>
      </c>
      <c r="AL48" s="16"/>
      <c r="AM48" s="16">
        <v>827</v>
      </c>
      <c r="AN48" s="16"/>
      <c r="BC48" s="13"/>
      <c r="BD48" s="13"/>
      <c r="BE48" s="13"/>
      <c r="BF48" s="13"/>
      <c r="BG48" s="13"/>
      <c r="BH48" s="13"/>
      <c r="BI48" s="13"/>
      <c r="BJ48" s="13"/>
      <c r="BK48" s="13"/>
      <c r="BL48" s="13"/>
      <c r="BM48" s="13"/>
      <c r="BN48" s="13"/>
    </row>
    <row r="49" spans="1:66" x14ac:dyDescent="0.25">
      <c r="A49" s="22">
        <v>47</v>
      </c>
      <c r="B49" s="23">
        <v>375.95338397881062</v>
      </c>
      <c r="C49" s="24">
        <v>2276.422559731353</v>
      </c>
      <c r="AH49" s="16"/>
      <c r="AI49" s="16"/>
      <c r="AJ49" s="16"/>
      <c r="AK49" s="16">
        <v>2400</v>
      </c>
      <c r="AL49" s="16"/>
      <c r="AM49" s="16">
        <v>733</v>
      </c>
      <c r="AN49" s="16"/>
      <c r="BC49" s="13"/>
      <c r="BD49" s="13"/>
      <c r="BE49" s="13"/>
      <c r="BF49" s="13"/>
      <c r="BG49" s="13"/>
      <c r="BH49" s="13"/>
      <c r="BI49" s="13"/>
      <c r="BJ49" s="13"/>
      <c r="BK49" s="13"/>
      <c r="BL49" s="13"/>
      <c r="BM49" s="13"/>
      <c r="BN49" s="13"/>
    </row>
    <row r="50" spans="1:66" x14ac:dyDescent="0.25">
      <c r="A50" s="22">
        <v>48</v>
      </c>
      <c r="B50" s="23">
        <v>685.65002313381729</v>
      </c>
      <c r="C50" s="24">
        <v>2090.0773546496121</v>
      </c>
      <c r="AH50" s="16"/>
      <c r="AI50" s="16"/>
      <c r="AJ50" s="16"/>
      <c r="AK50" s="16">
        <v>2500</v>
      </c>
      <c r="AL50" s="16"/>
      <c r="AM50" s="16">
        <v>733</v>
      </c>
      <c r="AN50" s="16"/>
      <c r="BC50" s="13"/>
      <c r="BD50" s="13"/>
      <c r="BE50" s="13"/>
      <c r="BF50" s="13"/>
      <c r="BG50" s="13"/>
      <c r="BH50" s="13"/>
      <c r="BI50" s="13"/>
      <c r="BJ50" s="13"/>
      <c r="BK50" s="13"/>
      <c r="BL50" s="13"/>
      <c r="BM50" s="13"/>
      <c r="BN50" s="13"/>
    </row>
    <row r="51" spans="1:66" x14ac:dyDescent="0.25">
      <c r="A51" s="22">
        <v>49</v>
      </c>
      <c r="B51" s="23">
        <v>372.98062804495987</v>
      </c>
      <c r="C51" s="24">
        <v>1892.4713011439126</v>
      </c>
      <c r="AH51" s="16"/>
      <c r="AI51" s="16"/>
      <c r="AJ51" s="16"/>
      <c r="AK51" s="16">
        <v>2500</v>
      </c>
      <c r="AL51" s="16"/>
      <c r="AM51" s="16">
        <v>637</v>
      </c>
      <c r="AN51" s="16"/>
      <c r="BC51" s="13"/>
      <c r="BD51" s="13"/>
      <c r="BE51" s="13"/>
      <c r="BF51" s="13"/>
      <c r="BG51" s="13"/>
      <c r="BH51" s="13"/>
      <c r="BI51" s="13"/>
      <c r="BJ51" s="13"/>
      <c r="BK51" s="13"/>
      <c r="BL51" s="13"/>
      <c r="BM51" s="13"/>
      <c r="BN51" s="13"/>
    </row>
    <row r="52" spans="1:66" x14ac:dyDescent="0.25">
      <c r="A52" s="22">
        <v>50</v>
      </c>
      <c r="B52" s="23">
        <v>273.31193062177999</v>
      </c>
      <c r="C52" s="24">
        <v>2549.6580322353161</v>
      </c>
      <c r="AH52" s="16"/>
      <c r="AI52" s="16"/>
      <c r="AJ52" s="16"/>
      <c r="AK52" s="16">
        <v>2600</v>
      </c>
      <c r="AL52" s="16"/>
      <c r="AM52" s="16">
        <v>637</v>
      </c>
      <c r="AN52" s="16"/>
      <c r="BC52" s="13"/>
      <c r="BD52" s="13"/>
      <c r="BE52" s="13"/>
      <c r="BF52" s="13"/>
      <c r="BG52" s="13"/>
      <c r="BH52" s="13"/>
      <c r="BI52" s="13"/>
      <c r="BJ52" s="13"/>
      <c r="BK52" s="13"/>
      <c r="BL52" s="13"/>
      <c r="BM52" s="13"/>
      <c r="BN52" s="13"/>
    </row>
    <row r="53" spans="1:66" x14ac:dyDescent="0.25">
      <c r="A53" s="22">
        <v>51</v>
      </c>
      <c r="B53" s="23">
        <v>357.71885414732566</v>
      </c>
      <c r="C53" s="24">
        <v>1974.0463641962144</v>
      </c>
      <c r="AH53" s="16"/>
      <c r="AI53" s="16"/>
      <c r="AJ53" s="16"/>
      <c r="AK53" s="16">
        <v>2600</v>
      </c>
      <c r="AL53" s="16"/>
      <c r="AM53" s="16">
        <v>580</v>
      </c>
      <c r="AN53" s="16"/>
      <c r="BC53" s="13"/>
      <c r="BD53" s="13"/>
      <c r="BE53" s="13"/>
      <c r="BF53" s="13"/>
      <c r="BG53" s="13"/>
      <c r="BH53" s="13"/>
      <c r="BI53" s="13"/>
      <c r="BJ53" s="13"/>
      <c r="BK53" s="13"/>
      <c r="BL53" s="13"/>
      <c r="BM53" s="13"/>
      <c r="BN53" s="13"/>
    </row>
    <row r="54" spans="1:66" x14ac:dyDescent="0.25">
      <c r="A54" s="22">
        <v>52</v>
      </c>
      <c r="B54" s="23">
        <v>299.56383201961188</v>
      </c>
      <c r="C54" s="24">
        <v>2170.2409497391336</v>
      </c>
      <c r="AH54" s="16"/>
      <c r="AI54" s="16"/>
      <c r="AJ54" s="16"/>
      <c r="AK54" s="16">
        <v>2700</v>
      </c>
      <c r="AL54" s="16"/>
      <c r="AM54" s="16">
        <v>580</v>
      </c>
      <c r="AN54" s="16"/>
      <c r="BC54" s="13"/>
      <c r="BD54" s="13"/>
      <c r="BE54" s="13"/>
      <c r="BF54" s="13"/>
      <c r="BG54" s="13"/>
      <c r="BH54" s="13"/>
      <c r="BI54" s="13"/>
      <c r="BJ54" s="13"/>
      <c r="BK54" s="13"/>
      <c r="BL54" s="13"/>
      <c r="BM54" s="13"/>
      <c r="BN54" s="13"/>
    </row>
    <row r="55" spans="1:66" x14ac:dyDescent="0.25">
      <c r="A55" s="22">
        <v>53</v>
      </c>
      <c r="B55" s="23">
        <v>295.22106946547513</v>
      </c>
      <c r="C55" s="24">
        <v>2148.2239519255522</v>
      </c>
      <c r="AH55" s="16"/>
      <c r="AI55" s="16"/>
      <c r="AJ55" s="16"/>
      <c r="AK55" s="16">
        <v>2700</v>
      </c>
      <c r="AL55" s="16"/>
      <c r="AM55" s="16">
        <v>432</v>
      </c>
      <c r="AN55" s="16"/>
      <c r="BC55" s="13"/>
      <c r="BD55" s="13"/>
      <c r="BE55" s="13"/>
      <c r="BF55" s="13"/>
      <c r="BG55" s="13"/>
      <c r="BH55" s="13"/>
      <c r="BI55" s="13"/>
      <c r="BJ55" s="13"/>
      <c r="BK55" s="13"/>
      <c r="BL55" s="13"/>
      <c r="BM55" s="13"/>
      <c r="BN55" s="13"/>
    </row>
    <row r="56" spans="1:66" x14ac:dyDescent="0.25">
      <c r="A56" s="22">
        <v>54</v>
      </c>
      <c r="B56" s="23">
        <v>220.52808680205686</v>
      </c>
      <c r="C56" s="24">
        <v>1927.3021139215871</v>
      </c>
      <c r="AH56" s="16"/>
      <c r="AI56" s="16"/>
      <c r="AJ56" s="16"/>
      <c r="AK56" s="16">
        <v>2800</v>
      </c>
      <c r="AL56" s="16"/>
      <c r="AM56" s="16">
        <v>432</v>
      </c>
      <c r="AN56" s="16"/>
      <c r="BC56" s="13"/>
      <c r="BD56" s="13"/>
      <c r="BE56" s="13"/>
      <c r="BF56" s="13"/>
      <c r="BG56" s="13"/>
      <c r="BH56" s="13"/>
      <c r="BI56" s="13"/>
      <c r="BJ56" s="13"/>
      <c r="BK56" s="13"/>
      <c r="BL56" s="13"/>
      <c r="BM56" s="13"/>
      <c r="BN56" s="13"/>
    </row>
    <row r="57" spans="1:66" x14ac:dyDescent="0.25">
      <c r="A57" s="22">
        <v>55</v>
      </c>
      <c r="B57" s="23">
        <v>235.33803491932784</v>
      </c>
      <c r="C57" s="24">
        <v>3123.254357779535</v>
      </c>
      <c r="AH57" s="16"/>
      <c r="AI57" s="16"/>
      <c r="AJ57" s="16"/>
      <c r="AK57" s="16">
        <v>2800</v>
      </c>
      <c r="AL57" s="16"/>
      <c r="AM57" s="16">
        <v>386</v>
      </c>
      <c r="AN57" s="16"/>
      <c r="BC57" s="13"/>
      <c r="BD57" s="13"/>
      <c r="BE57" s="13"/>
      <c r="BF57" s="13"/>
      <c r="BG57" s="13"/>
      <c r="BH57" s="13"/>
      <c r="BI57" s="13"/>
      <c r="BJ57" s="13"/>
      <c r="BK57" s="13"/>
      <c r="BL57" s="13"/>
      <c r="BM57" s="13"/>
      <c r="BN57" s="13"/>
    </row>
    <row r="58" spans="1:66" x14ac:dyDescent="0.25">
      <c r="A58" s="22">
        <v>56</v>
      </c>
      <c r="B58" s="23">
        <v>317.08283393750014</v>
      </c>
      <c r="C58" s="24">
        <v>2552.9990221522939</v>
      </c>
      <c r="AH58" s="16"/>
      <c r="AI58" s="16"/>
      <c r="AJ58" s="16"/>
      <c r="AK58" s="16">
        <v>2900</v>
      </c>
      <c r="AL58" s="16"/>
      <c r="AM58" s="16">
        <v>386</v>
      </c>
      <c r="AN58" s="16"/>
      <c r="BC58" s="13"/>
      <c r="BD58" s="13"/>
      <c r="BE58" s="13"/>
      <c r="BF58" s="13"/>
      <c r="BG58" s="13"/>
      <c r="BH58" s="13"/>
      <c r="BI58" s="13"/>
      <c r="BJ58" s="13"/>
      <c r="BK58" s="13"/>
      <c r="BL58" s="13"/>
      <c r="BM58" s="13"/>
      <c r="BN58" s="13"/>
    </row>
    <row r="59" spans="1:66" x14ac:dyDescent="0.25">
      <c r="A59" s="22">
        <v>57</v>
      </c>
      <c r="B59" s="23">
        <v>225.84876905056748</v>
      </c>
      <c r="C59" s="24">
        <v>2620.3890462657832</v>
      </c>
      <c r="AH59" s="16"/>
      <c r="AI59" s="16"/>
      <c r="AJ59" s="16"/>
      <c r="AK59" s="16">
        <v>2900</v>
      </c>
      <c r="AL59" s="16"/>
      <c r="AM59" s="16">
        <v>294</v>
      </c>
      <c r="AN59" s="16"/>
      <c r="BC59" s="13"/>
      <c r="BD59" s="13"/>
      <c r="BE59" s="13"/>
      <c r="BF59" s="13"/>
      <c r="BG59" s="13"/>
      <c r="BH59" s="13"/>
      <c r="BI59" s="13"/>
      <c r="BJ59" s="13"/>
      <c r="BK59" s="13"/>
      <c r="BL59" s="13"/>
      <c r="BM59" s="13"/>
      <c r="BN59" s="13"/>
    </row>
    <row r="60" spans="1:66" x14ac:dyDescent="0.25">
      <c r="A60" s="22">
        <v>58</v>
      </c>
      <c r="B60" s="23">
        <v>447.5563088226163</v>
      </c>
      <c r="C60" s="24">
        <v>1875.0284897535441</v>
      </c>
      <c r="AH60" s="16"/>
      <c r="AI60" s="16"/>
      <c r="AJ60" s="16"/>
      <c r="AK60" s="16">
        <v>3000</v>
      </c>
      <c r="AL60" s="16"/>
      <c r="AM60" s="16">
        <v>294</v>
      </c>
      <c r="AN60" s="16"/>
      <c r="BC60" s="13"/>
      <c r="BD60" s="13"/>
      <c r="BE60" s="13"/>
      <c r="BF60" s="13"/>
      <c r="BG60" s="13"/>
      <c r="BH60" s="13"/>
      <c r="BI60" s="13"/>
      <c r="BJ60" s="13"/>
      <c r="BK60" s="13"/>
      <c r="BL60" s="13"/>
      <c r="BM60" s="13"/>
      <c r="BN60" s="13"/>
    </row>
    <row r="61" spans="1:66" x14ac:dyDescent="0.25">
      <c r="A61" s="22">
        <v>59</v>
      </c>
      <c r="B61" s="23">
        <v>360.22292366090664</v>
      </c>
      <c r="C61" s="24">
        <v>1980.3212869986155</v>
      </c>
      <c r="AH61" s="16"/>
      <c r="AI61" s="16"/>
      <c r="AJ61" s="16"/>
      <c r="AK61" s="16">
        <v>3000</v>
      </c>
      <c r="AL61" s="16"/>
      <c r="AM61" s="16">
        <v>208</v>
      </c>
      <c r="AN61" s="16"/>
      <c r="BC61" s="13"/>
      <c r="BD61" s="13"/>
      <c r="BE61" s="13"/>
      <c r="BF61" s="13"/>
      <c r="BG61" s="13"/>
      <c r="BH61" s="13"/>
      <c r="BI61" s="13"/>
      <c r="BJ61" s="13"/>
      <c r="BK61" s="13"/>
      <c r="BL61" s="13"/>
      <c r="BM61" s="13"/>
      <c r="BN61" s="13"/>
    </row>
    <row r="62" spans="1:66" x14ac:dyDescent="0.25">
      <c r="A62" s="22">
        <v>60</v>
      </c>
      <c r="B62" s="23">
        <v>460.35555167908052</v>
      </c>
      <c r="C62" s="24">
        <v>3421.7553309929544</v>
      </c>
      <c r="AH62" s="16"/>
      <c r="AI62" s="16"/>
      <c r="AJ62" s="16"/>
      <c r="AK62" s="16">
        <v>3100</v>
      </c>
      <c r="AL62" s="16"/>
      <c r="AM62" s="16">
        <v>208</v>
      </c>
      <c r="AN62" s="16"/>
      <c r="BC62" s="13"/>
      <c r="BD62" s="13"/>
      <c r="BE62" s="13"/>
      <c r="BF62" s="13"/>
      <c r="BG62" s="13"/>
      <c r="BH62" s="13"/>
      <c r="BI62" s="13"/>
      <c r="BJ62" s="13"/>
      <c r="BK62" s="13"/>
      <c r="BL62" s="13"/>
      <c r="BM62" s="13"/>
      <c r="BN62" s="13"/>
    </row>
    <row r="63" spans="1:66" x14ac:dyDescent="0.25">
      <c r="A63" s="22">
        <v>61</v>
      </c>
      <c r="B63" s="23">
        <v>372.37513709824543</v>
      </c>
      <c r="C63" s="24">
        <v>1421.5544259831054</v>
      </c>
      <c r="AH63" s="16"/>
      <c r="AI63" s="16"/>
      <c r="AJ63" s="16"/>
      <c r="AK63" s="16">
        <v>3100</v>
      </c>
      <c r="AL63" s="16"/>
      <c r="AM63" s="16">
        <v>172</v>
      </c>
      <c r="AN63" s="16"/>
      <c r="BC63" s="13"/>
      <c r="BD63" s="13"/>
      <c r="BE63" s="13"/>
      <c r="BF63" s="13"/>
      <c r="BG63" s="13"/>
      <c r="BH63" s="13"/>
      <c r="BI63" s="13"/>
      <c r="BJ63" s="13"/>
      <c r="BK63" s="13"/>
      <c r="BL63" s="13"/>
      <c r="BM63" s="13"/>
      <c r="BN63" s="13"/>
    </row>
    <row r="64" spans="1:66" x14ac:dyDescent="0.25">
      <c r="A64" s="22">
        <v>62</v>
      </c>
      <c r="B64" s="23">
        <v>421.58346714465011</v>
      </c>
      <c r="C64" s="24">
        <v>2319.0253161849296</v>
      </c>
      <c r="AH64" s="16"/>
      <c r="AI64" s="16"/>
      <c r="AJ64" s="16"/>
      <c r="AK64" s="16">
        <v>3200</v>
      </c>
      <c r="AL64" s="16"/>
      <c r="AM64" s="16">
        <v>172</v>
      </c>
      <c r="AN64" s="16"/>
      <c r="BC64" s="13"/>
      <c r="BD64" s="13"/>
      <c r="BE64" s="13"/>
      <c r="BF64" s="13"/>
      <c r="BG64" s="13"/>
      <c r="BH64" s="13"/>
      <c r="BI64" s="13"/>
      <c r="BJ64" s="13"/>
      <c r="BK64" s="13"/>
      <c r="BL64" s="13"/>
      <c r="BM64" s="13"/>
      <c r="BN64" s="13"/>
    </row>
    <row r="65" spans="1:66" x14ac:dyDescent="0.25">
      <c r="A65" s="22">
        <v>63</v>
      </c>
      <c r="B65" s="23">
        <v>179.06038045622347</v>
      </c>
      <c r="C65" s="24">
        <v>3076.4737775651133</v>
      </c>
      <c r="AH65" s="16"/>
      <c r="AI65" s="16"/>
      <c r="AJ65" s="16"/>
      <c r="AK65" s="16">
        <v>3200</v>
      </c>
      <c r="AL65" s="16"/>
      <c r="AM65" s="16">
        <v>120</v>
      </c>
      <c r="AN65" s="16"/>
      <c r="BC65" s="13"/>
      <c r="BD65" s="13"/>
      <c r="BE65" s="13"/>
      <c r="BF65" s="13"/>
      <c r="BG65" s="13"/>
      <c r="BH65" s="13"/>
      <c r="BI65" s="13"/>
      <c r="BJ65" s="13"/>
      <c r="BK65" s="13"/>
      <c r="BL65" s="13"/>
      <c r="BM65" s="13"/>
      <c r="BN65" s="13"/>
    </row>
    <row r="66" spans="1:66" x14ac:dyDescent="0.25">
      <c r="A66" s="22">
        <v>64</v>
      </c>
      <c r="B66" s="23">
        <v>248.5304737361748</v>
      </c>
      <c r="C66" s="24">
        <v>1924.199881109213</v>
      </c>
      <c r="AH66" s="16"/>
      <c r="AI66" s="16"/>
      <c r="AJ66" s="16"/>
      <c r="AK66" s="16">
        <v>3300</v>
      </c>
      <c r="AL66" s="16"/>
      <c r="AM66" s="16">
        <v>120</v>
      </c>
      <c r="AN66" s="16"/>
      <c r="BC66" s="13"/>
      <c r="BD66" s="13"/>
      <c r="BE66" s="13"/>
      <c r="BF66" s="13"/>
      <c r="BG66" s="13"/>
      <c r="BH66" s="13"/>
      <c r="BI66" s="13"/>
      <c r="BJ66" s="13"/>
      <c r="BK66" s="13"/>
      <c r="BL66" s="13"/>
      <c r="BM66" s="13"/>
      <c r="BN66" s="13"/>
    </row>
    <row r="67" spans="1:66" x14ac:dyDescent="0.25">
      <c r="A67" s="22">
        <v>65</v>
      </c>
      <c r="B67" s="23">
        <v>345.94656542411752</v>
      </c>
      <c r="C67" s="24">
        <v>2352.6562192118649</v>
      </c>
      <c r="AH67" s="16"/>
      <c r="AI67" s="16"/>
      <c r="AJ67" s="16"/>
      <c r="AK67" s="16">
        <v>3300</v>
      </c>
      <c r="AL67" s="16"/>
      <c r="AM67" s="16">
        <v>89</v>
      </c>
      <c r="AN67" s="16"/>
      <c r="BC67" s="13"/>
      <c r="BD67" s="13"/>
      <c r="BE67" s="13"/>
      <c r="BF67" s="13"/>
      <c r="BG67" s="13"/>
      <c r="BH67" s="13"/>
      <c r="BI67" s="13"/>
      <c r="BJ67" s="13"/>
      <c r="BK67" s="13"/>
      <c r="BL67" s="13"/>
      <c r="BM67" s="13"/>
      <c r="BN67" s="13"/>
    </row>
    <row r="68" spans="1:66" x14ac:dyDescent="0.25">
      <c r="A68" s="22">
        <v>66</v>
      </c>
      <c r="B68" s="23">
        <v>253.45272275752478</v>
      </c>
      <c r="C68" s="24">
        <v>2946.6675724238175</v>
      </c>
      <c r="AK68" s="13">
        <v>3400</v>
      </c>
      <c r="AM68" s="13">
        <v>89</v>
      </c>
      <c r="BC68" s="13"/>
      <c r="BD68" s="13"/>
      <c r="BE68" s="13"/>
      <c r="BF68" s="13"/>
      <c r="BG68" s="13"/>
      <c r="BH68" s="13"/>
      <c r="BI68" s="13"/>
      <c r="BJ68" s="13"/>
      <c r="BK68" s="13"/>
      <c r="BL68" s="13"/>
      <c r="BM68" s="13"/>
      <c r="BN68" s="13"/>
    </row>
    <row r="69" spans="1:66" x14ac:dyDescent="0.25">
      <c r="A69" s="22">
        <v>67</v>
      </c>
      <c r="B69" s="23">
        <v>530.27428829037774</v>
      </c>
      <c r="C69" s="24">
        <v>1582.9427278558505</v>
      </c>
      <c r="AK69" s="13">
        <v>3400</v>
      </c>
      <c r="AM69" s="13">
        <v>62</v>
      </c>
      <c r="BC69" s="13"/>
      <c r="BD69" s="13"/>
      <c r="BE69" s="13"/>
      <c r="BF69" s="13"/>
      <c r="BG69" s="13"/>
      <c r="BH69" s="13"/>
      <c r="BI69" s="13"/>
      <c r="BJ69" s="13"/>
      <c r="BK69" s="13"/>
      <c r="BL69" s="13"/>
      <c r="BM69" s="13"/>
      <c r="BN69" s="13"/>
    </row>
    <row r="70" spans="1:66" x14ac:dyDescent="0.25">
      <c r="A70" s="22">
        <v>68</v>
      </c>
      <c r="B70" s="23">
        <v>363.19556119403023</v>
      </c>
      <c r="C70" s="24">
        <v>2347.0661990273752</v>
      </c>
      <c r="AK70" s="13">
        <v>3500</v>
      </c>
      <c r="AM70" s="13">
        <v>62</v>
      </c>
      <c r="BC70" s="13"/>
      <c r="BD70" s="13"/>
      <c r="BE70" s="13"/>
      <c r="BF70" s="13"/>
      <c r="BG70" s="13"/>
      <c r="BH70" s="13"/>
      <c r="BI70" s="13"/>
      <c r="BJ70" s="13"/>
      <c r="BK70" s="13"/>
      <c r="BL70" s="13"/>
      <c r="BM70" s="13"/>
      <c r="BN70" s="13"/>
    </row>
    <row r="71" spans="1:66" x14ac:dyDescent="0.25">
      <c r="A71" s="22">
        <v>69</v>
      </c>
      <c r="B71" s="23">
        <v>586.26110850517091</v>
      </c>
      <c r="C71" s="24">
        <v>2193.8537943708211</v>
      </c>
      <c r="AK71" s="13">
        <v>3500</v>
      </c>
      <c r="AM71" s="13">
        <v>45</v>
      </c>
      <c r="BC71" s="13"/>
      <c r="BD71" s="13"/>
      <c r="BE71" s="13"/>
      <c r="BF71" s="13"/>
      <c r="BG71" s="13"/>
      <c r="BH71" s="13"/>
      <c r="BI71" s="13"/>
      <c r="BJ71" s="13"/>
      <c r="BK71" s="13"/>
      <c r="BL71" s="13"/>
      <c r="BM71" s="13"/>
      <c r="BN71" s="13"/>
    </row>
    <row r="72" spans="1:66" x14ac:dyDescent="0.25">
      <c r="A72" s="22">
        <v>70</v>
      </c>
      <c r="B72" s="23">
        <v>290.22128139258609</v>
      </c>
      <c r="C72" s="24">
        <v>2491.0796272648095</v>
      </c>
      <c r="AK72" s="13">
        <v>3600</v>
      </c>
      <c r="AM72" s="13">
        <v>45</v>
      </c>
      <c r="BC72" s="13"/>
      <c r="BD72" s="13"/>
      <c r="BE72" s="13"/>
      <c r="BF72" s="13"/>
      <c r="BG72" s="13"/>
      <c r="BH72" s="13"/>
      <c r="BI72" s="13"/>
      <c r="BJ72" s="13"/>
      <c r="BK72" s="13"/>
      <c r="BL72" s="13"/>
      <c r="BM72" s="13"/>
      <c r="BN72" s="13"/>
    </row>
    <row r="73" spans="1:66" x14ac:dyDescent="0.25">
      <c r="A73" s="22">
        <v>71</v>
      </c>
      <c r="B73" s="23">
        <v>279.40820400493254</v>
      </c>
      <c r="C73" s="24">
        <v>2787.5163930131371</v>
      </c>
      <c r="AK73" s="13">
        <v>3600</v>
      </c>
      <c r="AM73" s="13">
        <v>21</v>
      </c>
      <c r="BC73" s="13"/>
      <c r="BD73" s="13"/>
      <c r="BE73" s="13"/>
      <c r="BF73" s="13"/>
      <c r="BG73" s="13"/>
      <c r="BH73" s="13"/>
      <c r="BI73" s="13"/>
      <c r="BJ73" s="13"/>
      <c r="BK73" s="13"/>
      <c r="BL73" s="13"/>
      <c r="BM73" s="13"/>
      <c r="BN73" s="13"/>
    </row>
    <row r="74" spans="1:66" x14ac:dyDescent="0.25">
      <c r="A74" s="22">
        <v>72</v>
      </c>
      <c r="B74" s="23">
        <v>256.90771671766413</v>
      </c>
      <c r="C74" s="24">
        <v>2434.2391330573791</v>
      </c>
      <c r="AK74" s="13">
        <v>3700</v>
      </c>
      <c r="AM74" s="13">
        <v>21</v>
      </c>
      <c r="BC74" s="13"/>
      <c r="BD74" s="13"/>
      <c r="BE74" s="13"/>
      <c r="BF74" s="13"/>
      <c r="BG74" s="13"/>
      <c r="BH74" s="13"/>
      <c r="BI74" s="13"/>
      <c r="BJ74" s="13"/>
      <c r="BK74" s="13"/>
      <c r="BL74" s="13"/>
      <c r="BM74" s="13"/>
      <c r="BN74" s="13"/>
    </row>
    <row r="75" spans="1:66" x14ac:dyDescent="0.25">
      <c r="A75" s="22">
        <v>73</v>
      </c>
      <c r="B75" s="23">
        <v>292.88930019561286</v>
      </c>
      <c r="C75" s="24">
        <v>3092.319014627536</v>
      </c>
      <c r="AK75" s="13">
        <v>3700</v>
      </c>
      <c r="AM75" s="13">
        <v>19</v>
      </c>
      <c r="BC75" s="13"/>
      <c r="BD75" s="13"/>
      <c r="BE75" s="13"/>
      <c r="BF75" s="13"/>
      <c r="BG75" s="13"/>
      <c r="BH75" s="13"/>
      <c r="BI75" s="13"/>
      <c r="BJ75" s="13"/>
      <c r="BK75" s="13"/>
      <c r="BL75" s="13"/>
      <c r="BM75" s="13"/>
      <c r="BN75" s="13"/>
    </row>
    <row r="76" spans="1:66" x14ac:dyDescent="0.25">
      <c r="A76" s="22">
        <v>74</v>
      </c>
      <c r="B76" s="23">
        <v>351.63215752074348</v>
      </c>
      <c r="C76" s="24">
        <v>2199.3056079570993</v>
      </c>
      <c r="AK76" s="13">
        <v>3800</v>
      </c>
      <c r="AM76" s="13">
        <v>19</v>
      </c>
      <c r="BC76" s="13"/>
      <c r="BD76" s="13"/>
      <c r="BE76" s="13"/>
      <c r="BF76" s="13"/>
      <c r="BG76" s="13"/>
      <c r="BH76" s="13"/>
      <c r="BI76" s="13"/>
      <c r="BJ76" s="13"/>
      <c r="BK76" s="13"/>
      <c r="BL76" s="13"/>
      <c r="BM76" s="13"/>
      <c r="BN76" s="13"/>
    </row>
    <row r="77" spans="1:66" x14ac:dyDescent="0.25">
      <c r="A77" s="22">
        <v>75</v>
      </c>
      <c r="B77" s="23">
        <v>285.19656402445838</v>
      </c>
      <c r="C77" s="24">
        <v>2433.0244059176107</v>
      </c>
      <c r="AK77" s="13">
        <v>3800</v>
      </c>
      <c r="AM77" s="13">
        <v>16</v>
      </c>
      <c r="BC77" s="13"/>
      <c r="BD77" s="13"/>
      <c r="BE77" s="13"/>
      <c r="BF77" s="13"/>
      <c r="BG77" s="13"/>
      <c r="BH77" s="13"/>
      <c r="BI77" s="13"/>
      <c r="BJ77" s="13"/>
      <c r="BK77" s="13"/>
      <c r="BL77" s="13"/>
      <c r="BM77" s="13"/>
      <c r="BN77" s="13"/>
    </row>
    <row r="78" spans="1:66" x14ac:dyDescent="0.25">
      <c r="A78" s="22">
        <v>76</v>
      </c>
      <c r="B78" s="23">
        <v>537.92820123535853</v>
      </c>
      <c r="C78" s="24">
        <v>3297.8186206301943</v>
      </c>
      <c r="AK78" s="13">
        <v>3900</v>
      </c>
      <c r="AM78" s="13">
        <v>16</v>
      </c>
      <c r="BC78" s="13"/>
      <c r="BD78" s="13"/>
      <c r="BE78" s="13"/>
      <c r="BF78" s="13"/>
      <c r="BG78" s="13"/>
      <c r="BH78" s="13"/>
      <c r="BI78" s="13"/>
      <c r="BJ78" s="13"/>
      <c r="BK78" s="13"/>
      <c r="BL78" s="13"/>
      <c r="BM78" s="13"/>
      <c r="BN78" s="13"/>
    </row>
    <row r="79" spans="1:66" x14ac:dyDescent="0.25">
      <c r="A79" s="22">
        <v>77</v>
      </c>
      <c r="B79" s="23">
        <v>360.83292384328331</v>
      </c>
      <c r="C79" s="24">
        <v>2767.8412264607023</v>
      </c>
      <c r="AK79" s="13">
        <v>3900</v>
      </c>
      <c r="AM79" s="13">
        <v>11</v>
      </c>
      <c r="BC79" s="13"/>
      <c r="BD79" s="13"/>
      <c r="BE79" s="13"/>
      <c r="BF79" s="13"/>
      <c r="BG79" s="13"/>
      <c r="BH79" s="13"/>
      <c r="BI79" s="13"/>
      <c r="BJ79" s="13"/>
      <c r="BK79" s="13"/>
      <c r="BL79" s="13"/>
      <c r="BM79" s="13"/>
      <c r="BN79" s="13"/>
    </row>
    <row r="80" spans="1:66" x14ac:dyDescent="0.25">
      <c r="A80" s="22">
        <v>78</v>
      </c>
      <c r="B80" s="23">
        <v>194.33275241581913</v>
      </c>
      <c r="C80" s="24">
        <v>2000.0301032254956</v>
      </c>
      <c r="AK80" s="13">
        <v>4000</v>
      </c>
      <c r="AM80" s="13">
        <v>11</v>
      </c>
      <c r="BC80" s="13"/>
      <c r="BD80" s="13"/>
      <c r="BE80" s="13"/>
      <c r="BF80" s="13"/>
      <c r="BG80" s="13"/>
      <c r="BH80" s="13"/>
      <c r="BI80" s="13"/>
      <c r="BJ80" s="13"/>
      <c r="BK80" s="13"/>
      <c r="BL80" s="13"/>
      <c r="BM80" s="13"/>
      <c r="BN80" s="13"/>
    </row>
    <row r="81" spans="1:66" x14ac:dyDescent="0.25">
      <c r="A81" s="22">
        <v>79</v>
      </c>
      <c r="B81" s="23">
        <v>424.01604642719224</v>
      </c>
      <c r="C81" s="24">
        <v>3735.6231484291102</v>
      </c>
      <c r="AK81" s="13">
        <v>4000</v>
      </c>
      <c r="AM81" s="13">
        <v>3</v>
      </c>
      <c r="BC81" s="13"/>
      <c r="BD81" s="13"/>
      <c r="BE81" s="13"/>
      <c r="BF81" s="13"/>
      <c r="BG81" s="13"/>
      <c r="BH81" s="13"/>
      <c r="BI81" s="13"/>
      <c r="BJ81" s="13"/>
      <c r="BK81" s="13"/>
      <c r="BL81" s="13"/>
      <c r="BM81" s="13"/>
      <c r="BN81" s="13"/>
    </row>
    <row r="82" spans="1:66" x14ac:dyDescent="0.25">
      <c r="A82" s="22">
        <v>80</v>
      </c>
      <c r="B82" s="23">
        <v>282.2334947026244</v>
      </c>
      <c r="C82" s="24">
        <v>1831.0777383396864</v>
      </c>
      <c r="AK82" s="13">
        <v>4100</v>
      </c>
      <c r="AM82" s="13">
        <v>3</v>
      </c>
      <c r="BC82" s="13"/>
      <c r="BD82" s="13"/>
      <c r="BE82" s="13"/>
      <c r="BF82" s="13"/>
      <c r="BG82" s="13"/>
      <c r="BH82" s="13"/>
      <c r="BI82" s="13"/>
      <c r="BJ82" s="13"/>
      <c r="BK82" s="13"/>
      <c r="BL82" s="13"/>
      <c r="BM82" s="13"/>
      <c r="BN82" s="13"/>
    </row>
    <row r="83" spans="1:66" x14ac:dyDescent="0.25">
      <c r="A83" s="22">
        <v>81</v>
      </c>
      <c r="B83" s="23">
        <v>329.40431488838811</v>
      </c>
      <c r="C83" s="24">
        <v>2428.9452829044799</v>
      </c>
      <c r="AK83" s="13">
        <v>4100</v>
      </c>
      <c r="AM83" s="13">
        <v>3</v>
      </c>
      <c r="BC83" s="13"/>
      <c r="BD83" s="13"/>
      <c r="BE83" s="13"/>
      <c r="BF83" s="13"/>
      <c r="BG83" s="13"/>
      <c r="BH83" s="13"/>
      <c r="BI83" s="13"/>
      <c r="BJ83" s="13"/>
      <c r="BK83" s="13"/>
      <c r="BL83" s="13"/>
      <c r="BM83" s="13"/>
      <c r="BN83" s="13"/>
    </row>
    <row r="84" spans="1:66" x14ac:dyDescent="0.25">
      <c r="A84" s="22">
        <v>82</v>
      </c>
      <c r="B84" s="23">
        <v>237.33890013549026</v>
      </c>
      <c r="C84" s="24">
        <v>2005.002476171052</v>
      </c>
      <c r="AK84" s="13">
        <v>4200</v>
      </c>
      <c r="AM84" s="13">
        <v>3</v>
      </c>
      <c r="BC84" s="13"/>
      <c r="BD84" s="13"/>
      <c r="BE84" s="13"/>
      <c r="BF84" s="13"/>
      <c r="BG84" s="13"/>
      <c r="BH84" s="13"/>
      <c r="BI84" s="13"/>
      <c r="BJ84" s="13"/>
      <c r="BK84" s="13"/>
      <c r="BL84" s="13"/>
      <c r="BM84" s="13"/>
      <c r="BN84" s="13"/>
    </row>
    <row r="85" spans="1:66" x14ac:dyDescent="0.25">
      <c r="A85" s="22">
        <v>83</v>
      </c>
      <c r="B85" s="23">
        <v>390.68104444088817</v>
      </c>
      <c r="C85" s="24">
        <v>3312.6289868894669</v>
      </c>
      <c r="AK85" s="13">
        <v>4200</v>
      </c>
      <c r="AM85" s="13">
        <v>0</v>
      </c>
      <c r="BC85" s="13"/>
      <c r="BD85" s="13"/>
      <c r="BE85" s="13"/>
      <c r="BF85" s="13"/>
      <c r="BG85" s="13"/>
      <c r="BH85" s="13"/>
      <c r="BI85" s="13"/>
      <c r="BJ85" s="13"/>
      <c r="BK85" s="13"/>
      <c r="BL85" s="13"/>
      <c r="BM85" s="13"/>
      <c r="BN85" s="13"/>
    </row>
    <row r="86" spans="1:66" x14ac:dyDescent="0.25">
      <c r="A86" s="22">
        <v>84</v>
      </c>
      <c r="B86" s="23">
        <v>322.92180961177667</v>
      </c>
      <c r="C86" s="24">
        <v>3021.0731587076662</v>
      </c>
      <c r="AK86" s="13">
        <v>4300</v>
      </c>
      <c r="AM86" s="13">
        <v>0</v>
      </c>
      <c r="BC86" s="13"/>
      <c r="BD86" s="13"/>
      <c r="BE86" s="13"/>
      <c r="BF86" s="13"/>
      <c r="BG86" s="13"/>
      <c r="BH86" s="13"/>
      <c r="BI86" s="13"/>
      <c r="BJ86" s="13"/>
      <c r="BK86" s="13"/>
      <c r="BL86" s="13"/>
      <c r="BM86" s="13"/>
      <c r="BN86" s="13"/>
    </row>
    <row r="87" spans="1:66" x14ac:dyDescent="0.25">
      <c r="A87" s="22">
        <v>85</v>
      </c>
      <c r="B87" s="23">
        <v>412.66602529517394</v>
      </c>
      <c r="C87" s="24">
        <v>2887.897674018101</v>
      </c>
      <c r="AK87" s="13">
        <v>4300</v>
      </c>
      <c r="AM87" s="13">
        <v>2</v>
      </c>
      <c r="BC87" s="13"/>
      <c r="BD87" s="13"/>
      <c r="BE87" s="13"/>
      <c r="BF87" s="13"/>
      <c r="BG87" s="13"/>
      <c r="BH87" s="13"/>
      <c r="BI87" s="13"/>
      <c r="BJ87" s="13"/>
      <c r="BK87" s="13"/>
      <c r="BL87" s="13"/>
      <c r="BM87" s="13"/>
      <c r="BN87" s="13"/>
    </row>
    <row r="88" spans="1:66" x14ac:dyDescent="0.25">
      <c r="A88" s="22">
        <v>86</v>
      </c>
      <c r="B88" s="23">
        <v>408.31575638414802</v>
      </c>
      <c r="C88" s="24">
        <v>1992.9964408674873</v>
      </c>
      <c r="AK88" s="13">
        <v>4400</v>
      </c>
      <c r="AM88" s="13">
        <v>2</v>
      </c>
      <c r="BC88" s="13"/>
      <c r="BD88" s="13"/>
      <c r="BE88" s="13"/>
      <c r="BF88" s="13"/>
      <c r="BG88" s="13"/>
      <c r="BH88" s="13"/>
      <c r="BI88" s="13"/>
      <c r="BJ88" s="13"/>
      <c r="BK88" s="13"/>
      <c r="BL88" s="13"/>
      <c r="BM88" s="13"/>
      <c r="BN88" s="13"/>
    </row>
    <row r="89" spans="1:66" x14ac:dyDescent="0.25">
      <c r="A89" s="22">
        <v>87</v>
      </c>
      <c r="B89" s="23">
        <v>400.73341299019444</v>
      </c>
      <c r="C89" s="24">
        <v>2394.6075350754422</v>
      </c>
      <c r="AK89" s="13">
        <v>4400</v>
      </c>
      <c r="AM89" s="13">
        <v>0</v>
      </c>
      <c r="BC89" s="13"/>
      <c r="BD89" s="13"/>
      <c r="BE89" s="13"/>
      <c r="BF89" s="13"/>
      <c r="BG89" s="13"/>
      <c r="BH89" s="13"/>
      <c r="BI89" s="13"/>
      <c r="BJ89" s="13"/>
      <c r="BK89" s="13"/>
      <c r="BL89" s="13"/>
      <c r="BM89" s="13"/>
      <c r="BN89" s="13"/>
    </row>
    <row r="90" spans="1:66" x14ac:dyDescent="0.25">
      <c r="A90" s="22">
        <v>88</v>
      </c>
      <c r="B90" s="23">
        <v>354.75649314561628</v>
      </c>
      <c r="C90" s="24">
        <v>2210.1699820001058</v>
      </c>
      <c r="AK90" s="13">
        <v>4500</v>
      </c>
      <c r="AM90" s="13">
        <v>0</v>
      </c>
      <c r="BC90" s="13"/>
      <c r="BD90" s="13"/>
      <c r="BE90" s="13"/>
      <c r="BF90" s="13"/>
      <c r="BG90" s="13"/>
      <c r="BH90" s="13"/>
      <c r="BI90" s="13"/>
      <c r="BJ90" s="13"/>
      <c r="BK90" s="13"/>
      <c r="BL90" s="13"/>
      <c r="BM90" s="13"/>
      <c r="BN90" s="13"/>
    </row>
    <row r="91" spans="1:66" x14ac:dyDescent="0.25">
      <c r="A91" s="22">
        <v>89</v>
      </c>
      <c r="B91" s="23">
        <v>209.71184219087903</v>
      </c>
      <c r="C91" s="24">
        <v>2820.1377209914785</v>
      </c>
      <c r="AK91" s="13">
        <v>4500</v>
      </c>
      <c r="AM91" s="13">
        <v>1</v>
      </c>
      <c r="BC91" s="13"/>
      <c r="BD91" s="13"/>
      <c r="BE91" s="13"/>
      <c r="BF91" s="13"/>
      <c r="BG91" s="13"/>
      <c r="BH91" s="13"/>
      <c r="BI91" s="13"/>
      <c r="BJ91" s="13"/>
      <c r="BK91" s="13"/>
      <c r="BL91" s="13"/>
      <c r="BM91" s="13"/>
      <c r="BN91" s="13"/>
    </row>
    <row r="92" spans="1:66" x14ac:dyDescent="0.25">
      <c r="A92" s="22">
        <v>90</v>
      </c>
      <c r="B92" s="23">
        <v>393.61248448392587</v>
      </c>
      <c r="C92" s="24">
        <v>1675.5795705086073</v>
      </c>
      <c r="AK92" s="13">
        <v>4600</v>
      </c>
      <c r="AM92" s="13">
        <v>1</v>
      </c>
      <c r="BC92" s="13"/>
      <c r="BD92" s="13"/>
      <c r="BE92" s="13"/>
      <c r="BF92" s="13"/>
      <c r="BG92" s="13"/>
      <c r="BH92" s="13"/>
      <c r="BI92" s="13"/>
      <c r="BJ92" s="13"/>
      <c r="BK92" s="13"/>
      <c r="BL92" s="13"/>
      <c r="BM92" s="13"/>
      <c r="BN92" s="13"/>
    </row>
    <row r="93" spans="1:66" x14ac:dyDescent="0.25">
      <c r="A93" s="22">
        <v>91</v>
      </c>
      <c r="B93" s="23">
        <v>340.03401826783551</v>
      </c>
      <c r="C93" s="24">
        <v>2640.7599464807308</v>
      </c>
      <c r="AK93" s="13">
        <v>4600</v>
      </c>
      <c r="AM93" s="13">
        <v>0</v>
      </c>
      <c r="BC93" s="13"/>
      <c r="BD93" s="13"/>
      <c r="BE93" s="13"/>
      <c r="BF93" s="13"/>
      <c r="BG93" s="13"/>
      <c r="BH93" s="13"/>
      <c r="BI93" s="13"/>
      <c r="BJ93" s="13"/>
      <c r="BK93" s="13"/>
      <c r="BL93" s="13"/>
      <c r="BM93" s="13"/>
      <c r="BN93" s="13"/>
    </row>
    <row r="94" spans="1:66" x14ac:dyDescent="0.25">
      <c r="A94" s="22">
        <v>92</v>
      </c>
      <c r="B94" s="23">
        <v>241.5412374197997</v>
      </c>
      <c r="C94" s="24">
        <v>2866.7035818531681</v>
      </c>
      <c r="AK94" s="13">
        <v>4700</v>
      </c>
      <c r="AM94" s="13">
        <v>0</v>
      </c>
      <c r="BC94" s="13"/>
      <c r="BD94" s="13"/>
      <c r="BE94" s="13"/>
      <c r="BF94" s="13"/>
      <c r="BG94" s="13"/>
      <c r="BH94" s="13"/>
      <c r="BI94" s="13"/>
      <c r="BJ94" s="13"/>
      <c r="BK94" s="13"/>
      <c r="BL94" s="13"/>
      <c r="BM94" s="13"/>
      <c r="BN94" s="13"/>
    </row>
    <row r="95" spans="1:66" x14ac:dyDescent="0.25">
      <c r="A95" s="22">
        <v>93</v>
      </c>
      <c r="B95" s="23">
        <v>275.37314868050669</v>
      </c>
      <c r="C95" s="24">
        <v>1738.7067034870183</v>
      </c>
      <c r="AK95" s="13">
        <v>4700</v>
      </c>
      <c r="AM95" s="13">
        <v>0</v>
      </c>
      <c r="BC95" s="13"/>
      <c r="BD95" s="13"/>
      <c r="BE95" s="13"/>
      <c r="BF95" s="13"/>
      <c r="BG95" s="13"/>
      <c r="BH95" s="13"/>
      <c r="BI95" s="13"/>
      <c r="BJ95" s="13"/>
      <c r="BK95" s="13"/>
      <c r="BL95" s="13"/>
      <c r="BM95" s="13"/>
      <c r="BN95" s="13"/>
    </row>
    <row r="96" spans="1:66" x14ac:dyDescent="0.25">
      <c r="A96" s="22">
        <v>94</v>
      </c>
      <c r="B96" s="23">
        <v>301.16003278902031</v>
      </c>
      <c r="C96" s="24">
        <v>1926.3620773197731</v>
      </c>
      <c r="AK96" s="13">
        <v>4800</v>
      </c>
      <c r="AM96" s="13">
        <v>0</v>
      </c>
      <c r="BC96" s="13"/>
      <c r="BD96" s="13"/>
      <c r="BE96" s="13"/>
      <c r="BF96" s="13"/>
      <c r="BG96" s="13"/>
      <c r="BH96" s="13"/>
      <c r="BI96" s="13"/>
      <c r="BJ96" s="13"/>
      <c r="BK96" s="13"/>
      <c r="BL96" s="13"/>
      <c r="BM96" s="13"/>
      <c r="BN96" s="13"/>
    </row>
    <row r="97" spans="1:66" x14ac:dyDescent="0.25">
      <c r="A97" s="22">
        <v>95</v>
      </c>
      <c r="B97" s="23">
        <v>388.19669847044912</v>
      </c>
      <c r="C97" s="24">
        <v>2102.6861422209472</v>
      </c>
      <c r="AK97" s="13">
        <v>4800</v>
      </c>
      <c r="AM97" s="13">
        <v>2</v>
      </c>
      <c r="BC97" s="13"/>
      <c r="BD97" s="13"/>
      <c r="BE97" s="13"/>
      <c r="BF97" s="13"/>
      <c r="BG97" s="13"/>
      <c r="BH97" s="13"/>
      <c r="BI97" s="13"/>
      <c r="BJ97" s="13"/>
      <c r="BK97" s="13"/>
      <c r="BL97" s="13"/>
      <c r="BM97" s="13"/>
      <c r="BN97" s="13"/>
    </row>
    <row r="98" spans="1:66" x14ac:dyDescent="0.25">
      <c r="A98" s="22">
        <v>96</v>
      </c>
      <c r="B98" s="23">
        <v>393.29856309885571</v>
      </c>
      <c r="C98" s="24">
        <v>3085.7940488415647</v>
      </c>
      <c r="AK98" s="13">
        <v>4900</v>
      </c>
      <c r="AM98" s="13">
        <v>2</v>
      </c>
      <c r="BC98" s="13"/>
      <c r="BD98" s="13"/>
      <c r="BE98" s="13"/>
      <c r="BF98" s="13"/>
      <c r="BG98" s="13"/>
      <c r="BH98" s="13"/>
      <c r="BI98" s="13"/>
      <c r="BJ98" s="13"/>
      <c r="BK98" s="13"/>
      <c r="BL98" s="13"/>
      <c r="BM98" s="13"/>
      <c r="BN98" s="13"/>
    </row>
    <row r="99" spans="1:66" x14ac:dyDescent="0.25">
      <c r="A99" s="22">
        <v>97</v>
      </c>
      <c r="B99" s="23">
        <v>469.19140246107321</v>
      </c>
      <c r="C99" s="24">
        <v>2169.7460307107262</v>
      </c>
      <c r="AK99" s="13">
        <v>4900</v>
      </c>
      <c r="AM99" s="13">
        <v>0</v>
      </c>
      <c r="BC99" s="13"/>
      <c r="BD99" s="13"/>
      <c r="BE99" s="13"/>
      <c r="BF99" s="13"/>
      <c r="BG99" s="13"/>
      <c r="BH99" s="13"/>
      <c r="BI99" s="13"/>
      <c r="BJ99" s="13"/>
      <c r="BK99" s="13"/>
      <c r="BL99" s="13"/>
      <c r="BM99" s="13"/>
      <c r="BN99" s="13"/>
    </row>
    <row r="100" spans="1:66" x14ac:dyDescent="0.25">
      <c r="A100" s="22">
        <v>98</v>
      </c>
      <c r="B100" s="23">
        <v>344.5508242919434</v>
      </c>
      <c r="C100" s="24">
        <v>1763.054656872124</v>
      </c>
      <c r="BC100" s="13"/>
      <c r="BD100" s="13"/>
      <c r="BE100" s="13"/>
      <c r="BF100" s="13"/>
      <c r="BG100" s="13"/>
      <c r="BH100" s="13"/>
      <c r="BI100" s="13"/>
      <c r="BJ100" s="13"/>
      <c r="BK100" s="13"/>
      <c r="BL100" s="13"/>
      <c r="BM100" s="13"/>
      <c r="BN100" s="13"/>
    </row>
    <row r="101" spans="1:66" x14ac:dyDescent="0.25">
      <c r="A101" s="22">
        <v>99</v>
      </c>
      <c r="B101" s="23">
        <v>496.47212573038428</v>
      </c>
      <c r="C101" s="24">
        <v>2630.2272579117425</v>
      </c>
      <c r="BC101" s="13"/>
      <c r="BD101" s="13"/>
      <c r="BE101" s="13"/>
      <c r="BF101" s="13"/>
      <c r="BG101" s="13"/>
      <c r="BH101" s="13"/>
      <c r="BI101" s="13"/>
      <c r="BJ101" s="13"/>
      <c r="BK101" s="13"/>
      <c r="BL101" s="13"/>
      <c r="BM101" s="13"/>
      <c r="BN101" s="13"/>
    </row>
    <row r="102" spans="1:66" x14ac:dyDescent="0.25">
      <c r="A102" s="22">
        <v>100</v>
      </c>
      <c r="B102" s="23">
        <v>342.58886491536862</v>
      </c>
      <c r="C102" s="24">
        <v>2663.5957817595172</v>
      </c>
      <c r="BC102" s="13"/>
      <c r="BD102" s="13"/>
      <c r="BE102" s="13"/>
      <c r="BF102" s="13"/>
      <c r="BG102" s="13"/>
      <c r="BH102" s="13"/>
      <c r="BI102" s="13"/>
      <c r="BJ102" s="13"/>
      <c r="BK102" s="13"/>
      <c r="BL102" s="13"/>
      <c r="BM102" s="13"/>
      <c r="BN102" s="13"/>
    </row>
    <row r="103" spans="1:66" x14ac:dyDescent="0.25">
      <c r="A103" s="55" t="s">
        <v>29</v>
      </c>
    </row>
  </sheetData>
  <dataConsolidate/>
  <mergeCells count="4">
    <mergeCell ref="F2:G2"/>
    <mergeCell ref="I4:J4"/>
    <mergeCell ref="K4:L4"/>
    <mergeCell ref="M4:N4"/>
  </mergeCells>
  <pageMargins left="0.75" right="0.75" top="1" bottom="1" header="0.5" footer="0.5"/>
  <pageSetup orientation="portrait" horizontalDpi="200" verticalDpi="200"/>
  <headerFooter alignWithMargins="0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EU72"/>
  <sheetViews>
    <sheetView tabSelected="1" topLeftCell="A31" zoomScale="70" zoomScaleNormal="70" workbookViewId="0">
      <selection activeCell="B39" sqref="B39"/>
    </sheetView>
  </sheetViews>
  <sheetFormatPr defaultColWidth="11" defaultRowHeight="15.75" x14ac:dyDescent="0.25"/>
  <cols>
    <col min="1" max="1" width="11" customWidth="1"/>
    <col min="2" max="2" width="12.125" bestFit="1" customWidth="1"/>
    <col min="5" max="7" width="12.125" bestFit="1" customWidth="1"/>
    <col min="9" max="9" width="12.125" bestFit="1" customWidth="1"/>
    <col min="11" max="11" width="12.125" bestFit="1" customWidth="1"/>
    <col min="13" max="13" width="11.625" bestFit="1" customWidth="1"/>
    <col min="15" max="15" width="12.125" bestFit="1" customWidth="1"/>
    <col min="146" max="151" width="12.125" bestFit="1" customWidth="1"/>
  </cols>
  <sheetData>
    <row r="2" spans="1:26" ht="61.5" x14ac:dyDescent="0.9">
      <c r="A2" s="69" t="s">
        <v>69</v>
      </c>
      <c r="F2" s="68"/>
    </row>
    <row r="3" spans="1:26" ht="32.25" x14ac:dyDescent="0.5">
      <c r="A3" s="70" t="s">
        <v>68</v>
      </c>
      <c r="F3" s="68"/>
    </row>
    <row r="4" spans="1:26" ht="61.5" x14ac:dyDescent="0.9">
      <c r="A4" s="69" t="s">
        <v>70</v>
      </c>
      <c r="F4" s="68"/>
    </row>
    <row r="6" spans="1:26" x14ac:dyDescent="0.25">
      <c r="A6" s="5" t="s">
        <v>0</v>
      </c>
    </row>
    <row r="7" spans="1:26" x14ac:dyDescent="0.25">
      <c r="C7" s="1" t="s">
        <v>2</v>
      </c>
      <c r="F7" s="1" t="s">
        <v>13</v>
      </c>
      <c r="Q7" s="5" t="s">
        <v>18</v>
      </c>
      <c r="R7" s="5" t="s">
        <v>67</v>
      </c>
    </row>
    <row r="8" spans="1:26" x14ac:dyDescent="0.25">
      <c r="C8" t="s">
        <v>1</v>
      </c>
      <c r="D8" t="s">
        <v>3</v>
      </c>
      <c r="E8" t="s">
        <v>4</v>
      </c>
      <c r="F8" t="s">
        <v>5</v>
      </c>
      <c r="G8" t="s">
        <v>6</v>
      </c>
      <c r="H8" t="s">
        <v>10</v>
      </c>
      <c r="I8" t="s">
        <v>7</v>
      </c>
      <c r="J8" t="s">
        <v>8</v>
      </c>
      <c r="K8" t="s">
        <v>9</v>
      </c>
      <c r="L8" s="1" t="s">
        <v>14</v>
      </c>
      <c r="O8" s="1" t="s">
        <v>11</v>
      </c>
      <c r="Q8" t="s">
        <v>1</v>
      </c>
      <c r="R8" t="s">
        <v>3</v>
      </c>
      <c r="S8" t="s">
        <v>4</v>
      </c>
      <c r="T8" t="s">
        <v>5</v>
      </c>
      <c r="U8" t="s">
        <v>6</v>
      </c>
      <c r="V8" t="s">
        <v>10</v>
      </c>
      <c r="W8" t="s">
        <v>7</v>
      </c>
      <c r="X8" t="s">
        <v>8</v>
      </c>
      <c r="Y8" t="s">
        <v>9</v>
      </c>
      <c r="Z8" s="1" t="s">
        <v>14</v>
      </c>
    </row>
    <row r="9" spans="1:26" x14ac:dyDescent="0.25">
      <c r="C9">
        <v>0.71049999956230003</v>
      </c>
      <c r="D9">
        <v>0.10543</v>
      </c>
      <c r="E9">
        <v>0</v>
      </c>
      <c r="F9">
        <v>0</v>
      </c>
      <c r="G9">
        <v>0</v>
      </c>
      <c r="H9">
        <v>0</v>
      </c>
      <c r="I9">
        <v>0</v>
      </c>
      <c r="J9">
        <v>0.1095</v>
      </c>
      <c r="K9">
        <v>0</v>
      </c>
      <c r="L9" t="s">
        <v>1</v>
      </c>
      <c r="O9">
        <v>720</v>
      </c>
      <c r="Q9">
        <f ca="1">1-SUM(Q10:Q17)</f>
        <v>0.70313168798696135</v>
      </c>
      <c r="R9">
        <f ca="1">IF(D9=0,0,D9+_xlfn.NORM.INV(RAND(),0,0.1*D9))</f>
        <v>0.10586737247488297</v>
      </c>
      <c r="S9">
        <f ca="1">IF(E9=0,0,E9+_xlfn.NORM.INV(RAND(),0,0.1*E9))</f>
        <v>0</v>
      </c>
      <c r="T9">
        <f ca="1">IF(F9=0,0,F9+_xlfn.NORM.INV(RAND(),0,0.1*F9))</f>
        <v>0</v>
      </c>
      <c r="U9">
        <f ca="1">IF(G9=0,0,G9+_xlfn.NORM.INV(RAND(),0,0.1*G9))</f>
        <v>0</v>
      </c>
      <c r="V9">
        <f ca="1">IF(H9=0,0,H9+_xlfn.NORM.INV(RAND(),0,0.1*H9))</f>
        <v>0</v>
      </c>
      <c r="W9">
        <f ca="1">IF(I9=0,0,I9+_xlfn.NORM.INV(RAND(),0,0.1*I9))</f>
        <v>0</v>
      </c>
      <c r="X9">
        <f ca="1">IF(J9=0,0,J9+_xlfn.NORM.INV(RAND(),0,0.1*J9))</f>
        <v>0.1137280420759737</v>
      </c>
      <c r="Y9">
        <f ca="1">IF(K9=0,0,K9+_xlfn.NORM.INV(RAND(),0,0.1*K9))</f>
        <v>0</v>
      </c>
      <c r="Z9" t="s">
        <v>1</v>
      </c>
    </row>
    <row r="10" spans="1:26" x14ac:dyDescent="0.25">
      <c r="C10">
        <v>0.10255555600000001</v>
      </c>
      <c r="D10">
        <v>0.67537000000000003</v>
      </c>
      <c r="E10">
        <v>2.7499999999999998E-3</v>
      </c>
      <c r="F10">
        <v>0</v>
      </c>
      <c r="G10">
        <v>1.3333332999999999E-2</v>
      </c>
      <c r="H10">
        <v>3.9E-2</v>
      </c>
      <c r="I10">
        <v>0</v>
      </c>
      <c r="J10">
        <v>0</v>
      </c>
      <c r="K10">
        <v>0</v>
      </c>
      <c r="L10" t="s">
        <v>3</v>
      </c>
      <c r="O10">
        <v>670</v>
      </c>
      <c r="Q10">
        <f ca="1">C10+_xlfn.NORM.INV(RAND(),0,0.1*C10)</f>
        <v>0.11354304275962873</v>
      </c>
      <c r="R10">
        <f ca="1">1-SUM(R9,R11:R17)</f>
        <v>0.67407025261726528</v>
      </c>
      <c r="S10">
        <f ca="1">IF(E10=0,0,E10+_xlfn.NORM.INV(RAND(),0,0.1*E10))</f>
        <v>3.0764038119267829E-3</v>
      </c>
      <c r="T10">
        <f t="shared" ref="T10:T11" ca="1" si="0">IF(F10=0,0,F10+_xlfn.NORM.INV(RAND(),0,0.1*F10))</f>
        <v>0</v>
      </c>
      <c r="U10">
        <f t="shared" ref="U10:U12" ca="1" si="1">IF(G10=0,0,G10+_xlfn.NORM.INV(RAND(),0,0.1*G10))</f>
        <v>1.4663969216614935E-2</v>
      </c>
      <c r="V10">
        <f t="shared" ref="V10:V13" ca="1" si="2">IF(H10=0,0,H10+_xlfn.NORM.INV(RAND(),0,0.1*H10))</f>
        <v>4.3832127151558167E-2</v>
      </c>
      <c r="W10">
        <f ca="1">IF(I10=0,0,I10+_xlfn.NORM.INV(RAND(),0,0.1*I10))</f>
        <v>0</v>
      </c>
      <c r="X10">
        <f t="shared" ref="X10:X15" ca="1" si="3">IF(J10=0,0,J10+_xlfn.NORM.INV(RAND(),0,0.1*J10))</f>
        <v>0</v>
      </c>
      <c r="Y10">
        <f t="shared" ref="Y10:Y16" ca="1" si="4">IF(K10=0,0,K10+_xlfn.NORM.INV(RAND(),0,0.1*K10))</f>
        <v>0</v>
      </c>
      <c r="Z10" t="s">
        <v>3</v>
      </c>
    </row>
    <row r="11" spans="1:26" x14ac:dyDescent="0.25">
      <c r="C11">
        <v>0</v>
      </c>
      <c r="D11">
        <v>0.1346</v>
      </c>
      <c r="E11">
        <v>0.99724455499999998</v>
      </c>
      <c r="F11">
        <v>0</v>
      </c>
      <c r="G11">
        <v>0</v>
      </c>
      <c r="H11">
        <v>1.0999999999999999E-2</v>
      </c>
      <c r="I11">
        <v>0</v>
      </c>
      <c r="J11">
        <v>0</v>
      </c>
      <c r="K11">
        <v>0</v>
      </c>
      <c r="L11" t="s">
        <v>4</v>
      </c>
      <c r="O11">
        <v>36730</v>
      </c>
      <c r="Q11">
        <v>0</v>
      </c>
      <c r="R11">
        <f ca="1">IF(D11=0,0,D11+_xlfn.NORM.INV(RAND(),0,0.1*D11))</f>
        <v>0.14308113872963515</v>
      </c>
      <c r="S11">
        <f ca="1">1-SUM(S10,S12)</f>
        <v>0.9969173434182389</v>
      </c>
      <c r="T11">
        <f t="shared" ca="1" si="0"/>
        <v>0</v>
      </c>
      <c r="U11">
        <f t="shared" ca="1" si="1"/>
        <v>0</v>
      </c>
      <c r="V11">
        <f t="shared" ca="1" si="2"/>
        <v>1.1385996338498858E-2</v>
      </c>
      <c r="W11">
        <v>0</v>
      </c>
      <c r="X11">
        <f t="shared" ca="1" si="3"/>
        <v>0</v>
      </c>
      <c r="Y11">
        <f t="shared" ca="1" si="4"/>
        <v>0</v>
      </c>
      <c r="Z11" t="s">
        <v>4</v>
      </c>
    </row>
    <row r="12" spans="1:26" x14ac:dyDescent="0.25">
      <c r="C12">
        <v>0</v>
      </c>
      <c r="D12">
        <v>0</v>
      </c>
      <c r="E12">
        <v>5.4450000000000004E-6</v>
      </c>
      <c r="F12">
        <v>0.999999993333334</v>
      </c>
      <c r="G12">
        <v>0</v>
      </c>
      <c r="H12">
        <v>0</v>
      </c>
      <c r="I12">
        <v>0</v>
      </c>
      <c r="J12">
        <v>0</v>
      </c>
      <c r="K12">
        <v>0</v>
      </c>
      <c r="L12" t="s">
        <v>5</v>
      </c>
      <c r="O12">
        <v>75000000</v>
      </c>
      <c r="Q12">
        <v>0</v>
      </c>
      <c r="R12">
        <f t="shared" ref="R12:V17" ca="1" si="5">IF(D12=0,0,D12+_xlfn.NORM.INV(RAND(),0,0.1*D12))</f>
        <v>0</v>
      </c>
      <c r="S12">
        <f t="shared" ca="1" si="5"/>
        <v>6.2527698342864641E-6</v>
      </c>
      <c r="T12">
        <f ca="1">1-SUM(T13:T17)</f>
        <v>0.99999999357117897</v>
      </c>
      <c r="U12">
        <f t="shared" ca="1" si="1"/>
        <v>0</v>
      </c>
      <c r="V12">
        <f t="shared" ca="1" si="2"/>
        <v>0</v>
      </c>
      <c r="W12">
        <v>0</v>
      </c>
      <c r="X12">
        <f t="shared" ca="1" si="3"/>
        <v>0</v>
      </c>
      <c r="Y12">
        <f t="shared" ca="1" si="4"/>
        <v>0</v>
      </c>
      <c r="Z12" t="s">
        <v>5</v>
      </c>
    </row>
    <row r="13" spans="1:26" x14ac:dyDescent="0.25">
      <c r="C13">
        <v>2.7777777769999999E-4</v>
      </c>
      <c r="D13">
        <v>0</v>
      </c>
      <c r="E13">
        <v>0</v>
      </c>
      <c r="F13">
        <v>2.6666659999999999E-20</v>
      </c>
      <c r="G13">
        <v>0.98666666660000002</v>
      </c>
      <c r="H13">
        <v>0</v>
      </c>
      <c r="I13">
        <v>0</v>
      </c>
      <c r="J13">
        <v>0</v>
      </c>
      <c r="K13">
        <v>3.333333E-4</v>
      </c>
      <c r="L13" t="s">
        <v>6</v>
      </c>
      <c r="O13">
        <v>60</v>
      </c>
      <c r="Q13">
        <f ca="1">C13+_xlfn.NORM.INV(RAND(),0,0.1*C13)</f>
        <v>2.6892216584024816E-4</v>
      </c>
      <c r="R13">
        <f t="shared" ca="1" si="5"/>
        <v>0</v>
      </c>
      <c r="S13">
        <f t="shared" ca="1" si="5"/>
        <v>0</v>
      </c>
      <c r="T13">
        <f t="shared" ca="1" si="5"/>
        <v>2.6470632419003405E-20</v>
      </c>
      <c r="U13">
        <f ca="1">1-SUM(U10)</f>
        <v>0.98533603078338505</v>
      </c>
      <c r="V13">
        <f t="shared" ca="1" si="2"/>
        <v>0</v>
      </c>
      <c r="W13">
        <v>0</v>
      </c>
      <c r="X13">
        <f t="shared" ca="1" si="3"/>
        <v>0</v>
      </c>
      <c r="Y13">
        <f t="shared" ca="1" si="4"/>
        <v>2.9633829583511454E-4</v>
      </c>
      <c r="Z13" t="s">
        <v>6</v>
      </c>
    </row>
    <row r="14" spans="1:26" x14ac:dyDescent="0.25">
      <c r="C14">
        <v>0</v>
      </c>
      <c r="D14">
        <v>8.4599999999999995E-2</v>
      </c>
      <c r="E14">
        <v>0</v>
      </c>
      <c r="F14">
        <v>0</v>
      </c>
      <c r="G14">
        <v>0</v>
      </c>
      <c r="H14">
        <v>0.95</v>
      </c>
      <c r="I14">
        <v>0</v>
      </c>
      <c r="J14">
        <v>0</v>
      </c>
      <c r="K14">
        <v>0</v>
      </c>
      <c r="L14" t="s">
        <v>10</v>
      </c>
      <c r="O14">
        <v>1000</v>
      </c>
      <c r="Q14">
        <v>0</v>
      </c>
      <c r="R14">
        <f t="shared" ca="1" si="5"/>
        <v>7.6981236178216603E-2</v>
      </c>
      <c r="S14">
        <f t="shared" ca="1" si="5"/>
        <v>0</v>
      </c>
      <c r="T14">
        <f t="shared" ca="1" si="5"/>
        <v>0</v>
      </c>
      <c r="U14">
        <f t="shared" ca="1" si="5"/>
        <v>0</v>
      </c>
      <c r="V14">
        <f ca="1">1-SUM(V10:V11)</f>
        <v>0.94478187650994294</v>
      </c>
      <c r="W14">
        <v>0</v>
      </c>
      <c r="X14">
        <f t="shared" ca="1" si="3"/>
        <v>0</v>
      </c>
      <c r="Y14">
        <f t="shared" ca="1" si="4"/>
        <v>0</v>
      </c>
      <c r="Z14" t="s">
        <v>10</v>
      </c>
    </row>
    <row r="15" spans="1:26" x14ac:dyDescent="0.25">
      <c r="C15">
        <v>0</v>
      </c>
      <c r="D15">
        <v>0</v>
      </c>
      <c r="E15">
        <v>0</v>
      </c>
      <c r="F15" s="3">
        <v>6.6666659999999997E-9</v>
      </c>
      <c r="G15">
        <v>0</v>
      </c>
      <c r="H15">
        <v>0</v>
      </c>
      <c r="I15">
        <v>1</v>
      </c>
      <c r="J15">
        <v>0</v>
      </c>
      <c r="K15">
        <v>4.1666666599999996E-9</v>
      </c>
      <c r="L15" t="s">
        <v>7</v>
      </c>
      <c r="O15">
        <v>4130</v>
      </c>
      <c r="Q15">
        <v>0</v>
      </c>
      <c r="R15">
        <f t="shared" ca="1" si="5"/>
        <v>0</v>
      </c>
      <c r="S15">
        <f t="shared" ca="1" si="5"/>
        <v>0</v>
      </c>
      <c r="T15">
        <f t="shared" ca="1" si="5"/>
        <v>6.4288210018352673E-9</v>
      </c>
      <c r="U15">
        <f t="shared" ca="1" si="5"/>
        <v>0</v>
      </c>
      <c r="V15">
        <f t="shared" ca="1" si="5"/>
        <v>0</v>
      </c>
      <c r="W15">
        <v>1</v>
      </c>
      <c r="X15">
        <f t="shared" ca="1" si="3"/>
        <v>0</v>
      </c>
      <c r="Y15">
        <f t="shared" ca="1" si="4"/>
        <v>4.2911090842003823E-9</v>
      </c>
      <c r="Z15" t="s">
        <v>7</v>
      </c>
    </row>
    <row r="16" spans="1:26" x14ac:dyDescent="0.25">
      <c r="C16">
        <v>0.18666666666000001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0.84010000000000007</v>
      </c>
      <c r="K16">
        <v>0.19326666253333336</v>
      </c>
      <c r="L16" t="s">
        <v>8</v>
      </c>
      <c r="O16">
        <v>800</v>
      </c>
      <c r="Q16">
        <f ca="1">C16+_xlfn.NORM.INV(RAND(),0,0.1*C16)</f>
        <v>0.18305634708756974</v>
      </c>
      <c r="R16">
        <f t="shared" ca="1" si="5"/>
        <v>0</v>
      </c>
      <c r="S16">
        <f t="shared" ca="1" si="5"/>
        <v>0</v>
      </c>
      <c r="T16">
        <f t="shared" ca="1" si="5"/>
        <v>0</v>
      </c>
      <c r="U16">
        <f t="shared" ca="1" si="5"/>
        <v>0</v>
      </c>
      <c r="V16">
        <f t="shared" ca="1" si="5"/>
        <v>0</v>
      </c>
      <c r="W16">
        <v>0</v>
      </c>
      <c r="X16">
        <f ca="1">1-SUM(X17,X9)</f>
        <v>0.84270160482558354</v>
      </c>
      <c r="Y16">
        <f t="shared" ca="1" si="4"/>
        <v>0.19794050315953732</v>
      </c>
      <c r="Z16" t="s">
        <v>8</v>
      </c>
    </row>
    <row r="17" spans="2:151" x14ac:dyDescent="0.25"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5.04E-2</v>
      </c>
      <c r="K17">
        <v>0.80640000000000001</v>
      </c>
      <c r="L17" t="s">
        <v>9</v>
      </c>
      <c r="O17">
        <v>1200</v>
      </c>
      <c r="Q17">
        <v>0</v>
      </c>
      <c r="R17">
        <f t="shared" ca="1" si="5"/>
        <v>0</v>
      </c>
      <c r="S17">
        <f t="shared" ca="1" si="5"/>
        <v>0</v>
      </c>
      <c r="T17">
        <f t="shared" ca="1" si="5"/>
        <v>0</v>
      </c>
      <c r="U17">
        <f t="shared" ca="1" si="5"/>
        <v>0</v>
      </c>
      <c r="V17">
        <f t="shared" ca="1" si="5"/>
        <v>0</v>
      </c>
      <c r="W17">
        <f t="shared" ref="W17" ca="1" si="6">IF(I17=0,0,I17+_xlfn.NORM.INV(RAND(),0,0.1*I17))</f>
        <v>0</v>
      </c>
      <c r="X17">
        <f t="shared" ref="X17" ca="1" si="7">IF(J17=0,0,J17+_xlfn.NORM.INV(RAND(),0,0.1*J17))</f>
        <v>4.3570353098442781E-2</v>
      </c>
      <c r="Y17">
        <f ca="1">1-SUM(Y9:Y16)</f>
        <v>0.80176315425351852</v>
      </c>
      <c r="Z17" t="s">
        <v>9</v>
      </c>
    </row>
    <row r="18" spans="2:151" x14ac:dyDescent="0.25">
      <c r="B18" s="2" t="s">
        <v>15</v>
      </c>
      <c r="C18" s="2">
        <f>SUM(C9:C17)</f>
        <v>1</v>
      </c>
      <c r="D18" s="2">
        <f t="shared" ref="D18:K18" si="8">SUM(D9:D17)</f>
        <v>1</v>
      </c>
      <c r="E18" s="2">
        <f t="shared" si="8"/>
        <v>1</v>
      </c>
      <c r="F18" s="2">
        <f t="shared" si="8"/>
        <v>1</v>
      </c>
      <c r="G18" s="2">
        <f t="shared" si="8"/>
        <v>0.99999999959999997</v>
      </c>
      <c r="H18" s="2">
        <f t="shared" si="8"/>
        <v>1</v>
      </c>
      <c r="I18" s="2">
        <f t="shared" si="8"/>
        <v>1</v>
      </c>
      <c r="J18" s="2">
        <f t="shared" si="8"/>
        <v>1</v>
      </c>
      <c r="K18" s="2">
        <f t="shared" si="8"/>
        <v>1</v>
      </c>
      <c r="P18" t="s">
        <v>15</v>
      </c>
      <c r="Q18" s="2">
        <f ca="1">SUM(Q9:Q17)</f>
        <v>1</v>
      </c>
      <c r="R18" s="2">
        <f t="shared" ref="R18:Y18" ca="1" si="9">SUM(R9:R17)</f>
        <v>1</v>
      </c>
      <c r="S18" s="2">
        <f t="shared" ca="1" si="9"/>
        <v>0.99999999999999989</v>
      </c>
      <c r="T18" s="2">
        <f t="shared" ca="1" si="9"/>
        <v>1</v>
      </c>
      <c r="U18" s="2">
        <f t="shared" ca="1" si="9"/>
        <v>1</v>
      </c>
      <c r="V18" s="2">
        <f t="shared" ca="1" si="9"/>
        <v>1</v>
      </c>
      <c r="W18" s="2">
        <f t="shared" ca="1" si="9"/>
        <v>1</v>
      </c>
      <c r="X18" s="2">
        <f t="shared" ca="1" si="9"/>
        <v>1</v>
      </c>
      <c r="Y18" s="2">
        <f t="shared" ca="1" si="9"/>
        <v>1</v>
      </c>
    </row>
    <row r="20" spans="2:151" x14ac:dyDescent="0.25">
      <c r="B20" t="s">
        <v>12</v>
      </c>
    </row>
    <row r="21" spans="2:151" s="5" customFormat="1" x14ac:dyDescent="0.25">
      <c r="B21" s="5">
        <v>2015</v>
      </c>
      <c r="C21" s="5">
        <v>2016</v>
      </c>
      <c r="D21" s="5">
        <v>2017</v>
      </c>
      <c r="E21" s="5">
        <v>2018</v>
      </c>
      <c r="F21" s="5">
        <v>2019</v>
      </c>
      <c r="G21" s="5">
        <v>2020</v>
      </c>
      <c r="H21" s="5">
        <v>2021</v>
      </c>
      <c r="I21" s="5">
        <v>2022</v>
      </c>
      <c r="J21" s="5">
        <v>2023</v>
      </c>
      <c r="K21" s="5">
        <v>2024</v>
      </c>
      <c r="L21" s="5">
        <v>2025</v>
      </c>
      <c r="M21" s="5">
        <v>2026</v>
      </c>
      <c r="N21" s="5">
        <v>2027</v>
      </c>
      <c r="O21" s="5">
        <v>2028</v>
      </c>
      <c r="P21" s="5">
        <v>2029</v>
      </c>
      <c r="Q21" s="5">
        <v>2030</v>
      </c>
      <c r="R21" s="5">
        <v>2031</v>
      </c>
      <c r="S21" s="5">
        <v>2032</v>
      </c>
      <c r="T21" s="5">
        <v>2033</v>
      </c>
      <c r="U21" s="5">
        <v>2034</v>
      </c>
      <c r="V21" s="5">
        <v>2035</v>
      </c>
      <c r="W21" s="5">
        <v>2036</v>
      </c>
      <c r="X21" s="5">
        <v>2037</v>
      </c>
      <c r="Y21" s="5">
        <v>2038</v>
      </c>
      <c r="Z21" s="5">
        <v>2039</v>
      </c>
      <c r="AA21" s="5">
        <v>2040</v>
      </c>
      <c r="AB21" s="5">
        <v>2041</v>
      </c>
      <c r="AC21" s="5">
        <v>2042</v>
      </c>
      <c r="AD21" s="5">
        <v>2043</v>
      </c>
      <c r="AE21" s="5">
        <v>2044</v>
      </c>
      <c r="AF21" s="5">
        <v>2045</v>
      </c>
      <c r="AG21" s="5">
        <v>2046</v>
      </c>
      <c r="AH21" s="5">
        <v>2047</v>
      </c>
      <c r="AI21" s="5">
        <v>2048</v>
      </c>
      <c r="AJ21" s="5">
        <v>2049</v>
      </c>
      <c r="AK21" s="5">
        <v>2050</v>
      </c>
      <c r="AL21" s="5">
        <v>2051</v>
      </c>
      <c r="AM21" s="5">
        <v>2052</v>
      </c>
      <c r="AN21" s="5">
        <v>2053</v>
      </c>
      <c r="AO21" s="5">
        <v>2054</v>
      </c>
      <c r="AP21" s="5">
        <v>2055</v>
      </c>
      <c r="AQ21" s="5">
        <v>2056</v>
      </c>
      <c r="AR21" s="5">
        <v>2057</v>
      </c>
      <c r="AS21" s="5">
        <v>2058</v>
      </c>
      <c r="AT21" s="5">
        <v>2059</v>
      </c>
      <c r="AU21" s="5">
        <v>2060</v>
      </c>
      <c r="AV21" s="5">
        <v>2061</v>
      </c>
      <c r="AW21" s="5">
        <v>2062</v>
      </c>
      <c r="AX21" s="5">
        <v>2063</v>
      </c>
      <c r="AY21" s="8">
        <v>2064</v>
      </c>
      <c r="AZ21" s="5">
        <v>2065</v>
      </c>
      <c r="BA21" s="5">
        <v>2066</v>
      </c>
      <c r="BB21" s="5">
        <v>2067</v>
      </c>
      <c r="BC21" s="5">
        <v>2068</v>
      </c>
      <c r="BD21" s="5">
        <v>2069</v>
      </c>
      <c r="BE21" s="5">
        <v>2070</v>
      </c>
      <c r="BF21" s="5">
        <v>2071</v>
      </c>
      <c r="BG21" s="5">
        <v>2072</v>
      </c>
      <c r="BH21" s="5">
        <v>2073</v>
      </c>
      <c r="BI21" s="5">
        <v>2074</v>
      </c>
      <c r="BJ21" s="5">
        <v>2075</v>
      </c>
      <c r="BK21" s="5">
        <v>2076</v>
      </c>
      <c r="BL21" s="5">
        <v>2077</v>
      </c>
      <c r="BM21" s="5">
        <v>2078</v>
      </c>
      <c r="BN21" s="5">
        <v>2079</v>
      </c>
      <c r="BO21" s="5">
        <v>2080</v>
      </c>
      <c r="BP21" s="5">
        <v>2081</v>
      </c>
      <c r="BQ21" s="5">
        <v>2082</v>
      </c>
      <c r="BR21" s="5">
        <v>2083</v>
      </c>
      <c r="BS21" s="5">
        <v>2084</v>
      </c>
      <c r="BT21" s="5">
        <v>2085</v>
      </c>
      <c r="BU21" s="5">
        <v>2086</v>
      </c>
      <c r="BV21" s="5">
        <v>2087</v>
      </c>
      <c r="BW21" s="5">
        <v>2088</v>
      </c>
      <c r="BX21" s="5">
        <v>2089</v>
      </c>
      <c r="BY21" s="5">
        <v>2090</v>
      </c>
      <c r="BZ21" s="5">
        <v>2091</v>
      </c>
      <c r="CA21" s="5">
        <v>2092</v>
      </c>
      <c r="CB21" s="5">
        <v>2093</v>
      </c>
      <c r="CC21" s="5">
        <v>2094</v>
      </c>
      <c r="CD21" s="5">
        <v>2095</v>
      </c>
      <c r="CE21" s="5">
        <v>2096</v>
      </c>
      <c r="CF21" s="5">
        <v>2097</v>
      </c>
      <c r="CG21" s="5">
        <v>2098</v>
      </c>
      <c r="CH21" s="5">
        <v>2099</v>
      </c>
      <c r="CI21" s="5">
        <v>2100</v>
      </c>
      <c r="CJ21" s="5">
        <v>2101</v>
      </c>
      <c r="CK21" s="5">
        <v>2102</v>
      </c>
      <c r="CL21" s="5">
        <v>2103</v>
      </c>
      <c r="CM21" s="5">
        <v>2104</v>
      </c>
      <c r="CN21" s="5">
        <v>2105</v>
      </c>
      <c r="CO21" s="5">
        <v>2106</v>
      </c>
      <c r="CP21" s="5">
        <v>2107</v>
      </c>
      <c r="CQ21" s="5">
        <v>2108</v>
      </c>
      <c r="CR21" s="5">
        <v>2109</v>
      </c>
      <c r="CS21" s="5">
        <v>2110</v>
      </c>
      <c r="CT21" s="5">
        <v>2111</v>
      </c>
      <c r="CU21" s="5">
        <v>2112</v>
      </c>
      <c r="CV21" s="5">
        <v>2113</v>
      </c>
      <c r="CW21" s="8">
        <v>2114</v>
      </c>
      <c r="CX21" s="5">
        <v>2115</v>
      </c>
      <c r="CY21" s="5">
        <v>2116</v>
      </c>
      <c r="CZ21" s="5">
        <v>2117</v>
      </c>
      <c r="DA21" s="5">
        <v>2118</v>
      </c>
      <c r="DB21" s="5">
        <v>2119</v>
      </c>
      <c r="DC21" s="5">
        <v>2120</v>
      </c>
      <c r="DD21" s="5">
        <v>2121</v>
      </c>
      <c r="DE21" s="5">
        <v>2122</v>
      </c>
      <c r="DF21" s="5">
        <v>2123</v>
      </c>
      <c r="DG21" s="5">
        <v>2124</v>
      </c>
      <c r="DH21" s="5">
        <v>2125</v>
      </c>
      <c r="DI21" s="5">
        <v>2126</v>
      </c>
      <c r="DJ21" s="5">
        <v>2127</v>
      </c>
      <c r="DK21" s="5">
        <v>2128</v>
      </c>
      <c r="DL21" s="5">
        <v>2129</v>
      </c>
      <c r="DM21" s="5">
        <v>2130</v>
      </c>
      <c r="DN21" s="5">
        <v>2131</v>
      </c>
      <c r="DO21" s="5">
        <v>2132</v>
      </c>
      <c r="DP21" s="5">
        <v>2133</v>
      </c>
      <c r="DQ21" s="5">
        <v>2134</v>
      </c>
      <c r="DR21" s="5">
        <v>2135</v>
      </c>
      <c r="DS21" s="5">
        <v>2136</v>
      </c>
      <c r="DT21" s="5">
        <v>2137</v>
      </c>
      <c r="DU21" s="5">
        <v>2138</v>
      </c>
      <c r="DV21" s="5">
        <v>2139</v>
      </c>
      <c r="DW21" s="5">
        <v>2140</v>
      </c>
      <c r="DX21" s="5">
        <v>2141</v>
      </c>
      <c r="DY21" s="5">
        <v>2142</v>
      </c>
      <c r="DZ21" s="5">
        <v>2143</v>
      </c>
      <c r="EA21" s="5">
        <v>2144</v>
      </c>
      <c r="EB21" s="5">
        <v>2145</v>
      </c>
      <c r="EC21" s="5">
        <v>2146</v>
      </c>
      <c r="ED21" s="5">
        <v>2147</v>
      </c>
      <c r="EE21" s="5">
        <v>2148</v>
      </c>
      <c r="EF21" s="5">
        <v>2149</v>
      </c>
      <c r="EG21" s="5">
        <v>2150</v>
      </c>
      <c r="EH21" s="5">
        <v>2151</v>
      </c>
      <c r="EI21" s="5">
        <v>2152</v>
      </c>
      <c r="EJ21" s="5">
        <v>2153</v>
      </c>
      <c r="EK21" s="5">
        <v>2154</v>
      </c>
      <c r="EL21" s="5">
        <v>2155</v>
      </c>
      <c r="EM21" s="5">
        <v>2156</v>
      </c>
      <c r="EN21" s="5">
        <v>2157</v>
      </c>
      <c r="EO21" s="5">
        <v>2158</v>
      </c>
      <c r="EP21" s="5">
        <v>2159</v>
      </c>
      <c r="EQ21" s="5">
        <v>2160</v>
      </c>
      <c r="ER21" s="5">
        <v>2161</v>
      </c>
      <c r="ES21" s="5">
        <v>2162</v>
      </c>
      <c r="ET21" s="5">
        <v>2163</v>
      </c>
      <c r="EU21" s="8">
        <v>2164</v>
      </c>
    </row>
    <row r="22" spans="2:151" x14ac:dyDescent="0.25">
      <c r="B22">
        <f ca="1">(Q9*$O$9)+(R9*$O$10)+(S9*$O$11)+(T9*$O$12)+(U9*$O$13)+(V9*$O$14)+(W9*$O$15)+(X9*$O$16)+(Y9*$O$17)</f>
        <v>668.16838856956269</v>
      </c>
      <c r="C22">
        <f ca="1">(B$22*$Q9)+(B$23*$R9)+(B$24*$S9)+(B$25*$T9)+(B$26*$U9)+(B$27*$V9)+(B$28*$W9)+(B$29*$X9)+(B$30*$Y9)</f>
        <v>661.64798826642175</v>
      </c>
      <c r="D22">
        <f t="shared" ref="D22:BO23" ca="1" si="10">(C$22*$Q9)+(C$23*$R9)+(C$24*$S9)+(C$25*$T9)+(C$26*$U9)+(C$27*$V9)+(C$28*$W9)+(C$29*$X9)+(C$30*$Y9)</f>
        <v>675.61198695277767</v>
      </c>
      <c r="E22">
        <f t="shared" ca="1" si="10"/>
        <v>697.26637973595211</v>
      </c>
      <c r="F22">
        <f t="shared" ca="1" si="10"/>
        <v>720.24150728509744</v>
      </c>
      <c r="G22">
        <f t="shared" ca="1" si="10"/>
        <v>741.56804617468208</v>
      </c>
      <c r="H22">
        <f t="shared" ca="1" si="10"/>
        <v>760.04839141639593</v>
      </c>
      <c r="I22">
        <f t="shared" ca="1" si="10"/>
        <v>775.38229357494492</v>
      </c>
      <c r="J22">
        <f t="shared" ca="1" si="10"/>
        <v>787.7004956263105</v>
      </c>
      <c r="K22">
        <f t="shared" ca="1" si="10"/>
        <v>797.31904542552786</v>
      </c>
      <c r="L22">
        <f t="shared" ca="1" si="10"/>
        <v>804.61276427261441</v>
      </c>
      <c r="M22">
        <f t="shared" ca="1" si="10"/>
        <v>809.95276889381</v>
      </c>
      <c r="N22">
        <f t="shared" ca="1" si="10"/>
        <v>813.67810970151368</v>
      </c>
      <c r="O22">
        <f t="shared" ca="1" si="10"/>
        <v>816.08526454640992</v>
      </c>
      <c r="P22">
        <f t="shared" ca="1" si="10"/>
        <v>817.42667720875647</v>
      </c>
      <c r="Q22">
        <f t="shared" ca="1" si="10"/>
        <v>817.91359643482724</v>
      </c>
      <c r="R22">
        <f t="shared" ca="1" si="10"/>
        <v>817.72069365934408</v>
      </c>
      <c r="S22">
        <f t="shared" ca="1" si="10"/>
        <v>816.9911514391631</v>
      </c>
      <c r="T22">
        <f t="shared" ca="1" si="10"/>
        <v>815.84157535358167</v>
      </c>
      <c r="U22">
        <f t="shared" ca="1" si="10"/>
        <v>814.36643865433359</v>
      </c>
      <c r="V22">
        <f t="shared" ca="1" si="10"/>
        <v>812.64195795250362</v>
      </c>
      <c r="W22">
        <f t="shared" ca="1" si="10"/>
        <v>810.72939506489092</v>
      </c>
      <c r="X22">
        <f t="shared" ca="1" si="10"/>
        <v>808.67782651906566</v>
      </c>
      <c r="Y22">
        <f t="shared" ca="1" si="10"/>
        <v>806.52644129498321</v>
      </c>
      <c r="Z22">
        <f t="shared" ca="1" si="10"/>
        <v>804.30643204038722</v>
      </c>
      <c r="AA22">
        <f t="shared" ca="1" si="10"/>
        <v>802.04254238705153</v>
      </c>
      <c r="AB22">
        <f t="shared" ca="1" si="10"/>
        <v>799.75432705688866</v>
      </c>
      <c r="AC22">
        <f t="shared" ca="1" si="10"/>
        <v>797.45717432007541</v>
      </c>
      <c r="AD22">
        <f t="shared" ca="1" si="10"/>
        <v>795.16313317625111</v>
      </c>
      <c r="AE22">
        <f t="shared" ca="1" si="10"/>
        <v>792.88158093002676</v>
      </c>
      <c r="AF22">
        <f t="shared" ca="1" si="10"/>
        <v>790.61976086265622</v>
      </c>
      <c r="AG22">
        <f t="shared" ca="1" si="10"/>
        <v>788.38321452968773</v>
      </c>
      <c r="AH22">
        <f t="shared" ca="1" si="10"/>
        <v>786.17612881658954</v>
      </c>
      <c r="AI22">
        <f t="shared" ca="1" si="10"/>
        <v>784.00161419420476</v>
      </c>
      <c r="AJ22">
        <f t="shared" ca="1" si="10"/>
        <v>781.8619275497158</v>
      </c>
      <c r="AK22">
        <f t="shared" ca="1" si="10"/>
        <v>779.75865043992997</v>
      </c>
      <c r="AL22">
        <f t="shared" ca="1" si="10"/>
        <v>777.69283154001732</v>
      </c>
      <c r="AM22">
        <f t="shared" ca="1" si="10"/>
        <v>775.66510036821285</v>
      </c>
      <c r="AN22">
        <f t="shared" ca="1" si="10"/>
        <v>773.67575799052395</v>
      </c>
      <c r="AO22">
        <f t="shared" ca="1" si="10"/>
        <v>771.72484929352697</v>
      </c>
      <c r="AP22">
        <f t="shared" ca="1" si="10"/>
        <v>769.81222051085206</v>
      </c>
      <c r="AQ22">
        <f t="shared" ca="1" si="10"/>
        <v>767.93756496066112</v>
      </c>
      <c r="AR22">
        <f t="shared" ca="1" si="10"/>
        <v>766.10045936472613</v>
      </c>
      <c r="AS22">
        <f t="shared" ca="1" si="10"/>
        <v>764.30039264781249</v>
      </c>
      <c r="AT22">
        <f t="shared" ca="1" si="10"/>
        <v>762.53678873697743</v>
      </c>
      <c r="AU22">
        <f t="shared" ca="1" si="10"/>
        <v>760.80902457620027</v>
      </c>
      <c r="AV22">
        <f t="shared" ca="1" si="10"/>
        <v>759.11644432789649</v>
      </c>
      <c r="AW22">
        <f t="shared" ca="1" si="10"/>
        <v>757.458370537527</v>
      </c>
      <c r="AX22">
        <f t="shared" ca="1" si="10"/>
        <v>755.83411288115872</v>
      </c>
      <c r="AY22" s="9">
        <f t="shared" ca="1" si="10"/>
        <v>754.24297499075283</v>
      </c>
      <c r="AZ22">
        <f t="shared" ca="1" si="10"/>
        <v>752.68425975195282</v>
      </c>
      <c r="BA22">
        <f t="shared" ca="1" si="10"/>
        <v>751.15727338923602</v>
      </c>
      <c r="BB22">
        <f t="shared" ca="1" si="10"/>
        <v>749.661328589449</v>
      </c>
      <c r="BC22">
        <f t="shared" ca="1" si="10"/>
        <v>748.19574686378223</v>
      </c>
      <c r="BD22">
        <f t="shared" ca="1" si="10"/>
        <v>746.75986030754757</v>
      </c>
      <c r="BE22">
        <f t="shared" ca="1" si="10"/>
        <v>745.35301288465655</v>
      </c>
      <c r="BF22">
        <f t="shared" ca="1" si="10"/>
        <v>743.97456133779792</v>
      </c>
      <c r="BG22">
        <f t="shared" ca="1" si="10"/>
        <v>742.6238758046544</v>
      </c>
      <c r="BH22">
        <f t="shared" ca="1" si="10"/>
        <v>741.30034020403127</v>
      </c>
      <c r="BI22">
        <f t="shared" ca="1" si="10"/>
        <v>740.00335244263806</v>
      </c>
      <c r="BJ22">
        <f t="shared" ca="1" si="10"/>
        <v>738.73232448280589</v>
      </c>
      <c r="BK22">
        <f t="shared" ca="1" si="10"/>
        <v>737.48668230308499</v>
      </c>
      <c r="BL22">
        <f t="shared" ca="1" si="10"/>
        <v>736.26586577702926</v>
      </c>
      <c r="BM22">
        <f t="shared" ca="1" si="10"/>
        <v>735.06932849018949</v>
      </c>
      <c r="BN22">
        <f t="shared" ca="1" si="10"/>
        <v>733.89653751112837</v>
      </c>
      <c r="BO22">
        <f t="shared" ca="1" si="10"/>
        <v>732.74697312892363</v>
      </c>
      <c r="BP22">
        <f t="shared" ref="BP22:EA25" ca="1" si="11">(BO$22*$Q9)+(BO$23*$R9)+(BO$24*$S9)+(BO$25*$T9)+(BO$26*$U9)+(BO$27*$V9)+(BO$28*$W9)+(BO$29*$X9)+(BO$30*$Y9)</f>
        <v>731.62012856696231</v>
      </c>
      <c r="BQ22">
        <f t="shared" ca="1" si="11"/>
        <v>730.5155096807149</v>
      </c>
      <c r="BR22">
        <f t="shared" ca="1" si="11"/>
        <v>729.43263464549364</v>
      </c>
      <c r="BS22">
        <f t="shared" ca="1" si="11"/>
        <v>728.37103363886808</v>
      </c>
      <c r="BT22">
        <f t="shared" ca="1" si="11"/>
        <v>727.33024852135168</v>
      </c>
      <c r="BU22">
        <f t="shared" ca="1" si="11"/>
        <v>726.30983251813086</v>
      </c>
      <c r="BV22">
        <f t="shared" ca="1" si="11"/>
        <v>725.30934990395019</v>
      </c>
      <c r="BW22">
        <f t="shared" ca="1" si="11"/>
        <v>724.32837569273693</v>
      </c>
      <c r="BX22">
        <f t="shared" ca="1" si="11"/>
        <v>723.3664953331388</v>
      </c>
      <c r="BY22">
        <f t="shared" ca="1" si="11"/>
        <v>722.42330441082049</v>
      </c>
      <c r="BZ22">
        <f t="shared" ca="1" si="11"/>
        <v>721.4984083581088</v>
      </c>
      <c r="CA22">
        <f t="shared" ca="1" si="11"/>
        <v>720.5914221713781</v>
      </c>
      <c r="CB22">
        <f t="shared" ca="1" si="11"/>
        <v>719.70197013640995</v>
      </c>
      <c r="CC22">
        <f t="shared" ca="1" si="11"/>
        <v>718.82968556183994</v>
      </c>
      <c r="CD22">
        <f t="shared" ca="1" si="11"/>
        <v>717.97421052071365</v>
      </c>
      <c r="CE22">
        <f t="shared" ca="1" si="11"/>
        <v>717.13519560009934</v>
      </c>
      <c r="CF22">
        <f t="shared" ca="1" si="11"/>
        <v>716.31229965865418</v>
      </c>
      <c r="CG22">
        <f t="shared" ca="1" si="11"/>
        <v>715.50518959199871</v>
      </c>
      <c r="CH22">
        <f t="shared" ca="1" si="11"/>
        <v>714.71354010572588</v>
      </c>
      <c r="CI22">
        <f t="shared" ca="1" si="11"/>
        <v>713.93703349585019</v>
      </c>
      <c r="CJ22">
        <f t="shared" ca="1" si="11"/>
        <v>713.17535943648829</v>
      </c>
      <c r="CK22">
        <f t="shared" ca="1" si="11"/>
        <v>712.428214774553</v>
      </c>
      <c r="CL22">
        <f t="shared" ca="1" si="11"/>
        <v>711.69530333123862</v>
      </c>
      <c r="CM22">
        <f t="shared" ca="1" si="11"/>
        <v>710.97633571007259</v>
      </c>
      <c r="CN22">
        <f t="shared" ca="1" si="11"/>
        <v>710.27102911131055</v>
      </c>
      <c r="CO22">
        <f t="shared" ca="1" si="11"/>
        <v>709.57910715245237</v>
      </c>
      <c r="CP22">
        <f t="shared" ca="1" si="11"/>
        <v>708.90029969466286</v>
      </c>
      <c r="CQ22">
        <f t="shared" ca="1" si="11"/>
        <v>708.23434267488233</v>
      </c>
      <c r="CR22">
        <f t="shared" ca="1" si="11"/>
        <v>707.58097794342223</v>
      </c>
      <c r="CS22">
        <f t="shared" ca="1" si="11"/>
        <v>706.9399531068417</v>
      </c>
      <c r="CT22">
        <f t="shared" ca="1" si="11"/>
        <v>706.31102137591176</v>
      </c>
      <c r="CU22">
        <f t="shared" ca="1" si="11"/>
        <v>705.69394141847783</v>
      </c>
      <c r="CV22">
        <f t="shared" ca="1" si="11"/>
        <v>705.08847721703819</v>
      </c>
      <c r="CW22" s="9">
        <f t="shared" ca="1" si="11"/>
        <v>704.49439793086276</v>
      </c>
      <c r="CX22">
        <f t="shared" ca="1" si="11"/>
        <v>703.91147776248442</v>
      </c>
      <c r="CY22">
        <f t="shared" ca="1" si="11"/>
        <v>703.33949582839796</v>
      </c>
      <c r="CZ22">
        <f t="shared" ca="1" si="11"/>
        <v>702.77823603381239</v>
      </c>
      <c r="DA22">
        <f t="shared" ca="1" si="11"/>
        <v>702.22748695130474</v>
      </c>
      <c r="DB22">
        <f t="shared" ca="1" si="11"/>
        <v>701.68704170323235</v>
      </c>
      <c r="DC22">
        <f t="shared" ca="1" si="11"/>
        <v>701.15669784776446</v>
      </c>
      <c r="DD22">
        <f t="shared" ca="1" si="11"/>
        <v>700.63625726839848</v>
      </c>
      <c r="DE22">
        <f t="shared" ca="1" si="11"/>
        <v>700.12552606683732</v>
      </c>
      <c r="DF22">
        <f t="shared" ca="1" si="11"/>
        <v>699.62431445910079</v>
      </c>
      <c r="DG22">
        <f t="shared" ca="1" si="11"/>
        <v>699.1324366747557</v>
      </c>
      <c r="DH22">
        <f t="shared" ca="1" si="11"/>
        <v>698.64971085915261</v>
      </c>
      <c r="DI22">
        <f t="shared" ca="1" si="11"/>
        <v>698.1759589785587</v>
      </c>
      <c r="DJ22">
        <f t="shared" ca="1" si="11"/>
        <v>697.71100672808507</v>
      </c>
      <c r="DK22">
        <f t="shared" ca="1" si="11"/>
        <v>697.25468344230717</v>
      </c>
      <c r="DL22">
        <f t="shared" ca="1" si="11"/>
        <v>696.80682200848491</v>
      </c>
      <c r="DM22">
        <f t="shared" ca="1" si="11"/>
        <v>696.36725878228765</v>
      </c>
      <c r="DN22">
        <f t="shared" ca="1" si="11"/>
        <v>695.93583350593906</v>
      </c>
      <c r="DO22">
        <f t="shared" ca="1" si="11"/>
        <v>695.51238922869538</v>
      </c>
      <c r="DP22">
        <f t="shared" ca="1" si="11"/>
        <v>695.09677222957703</v>
      </c>
      <c r="DQ22">
        <f t="shared" ca="1" si="11"/>
        <v>694.68883194227533</v>
      </c>
      <c r="DR22">
        <f t="shared" ca="1" si="11"/>
        <v>694.28842088215868</v>
      </c>
      <c r="DS22">
        <f t="shared" ca="1" si="11"/>
        <v>693.89539457530907</v>
      </c>
      <c r="DT22">
        <f t="shared" ca="1" si="11"/>
        <v>693.50961148951626</v>
      </c>
      <c r="DU22">
        <f t="shared" ca="1" si="11"/>
        <v>693.13093296716761</v>
      </c>
      <c r="DV22">
        <f t="shared" ca="1" si="11"/>
        <v>692.75922315996559</v>
      </c>
      <c r="DW22">
        <f t="shared" ca="1" si="11"/>
        <v>692.39434896541616</v>
      </c>
      <c r="DX22">
        <f t="shared" ca="1" si="11"/>
        <v>692.03617996502589</v>
      </c>
      <c r="DY22">
        <f t="shared" ca="1" si="11"/>
        <v>691.684588364153</v>
      </c>
      <c r="DZ22">
        <f t="shared" ca="1" si="11"/>
        <v>691.33944893345881</v>
      </c>
      <c r="EA22">
        <f t="shared" ca="1" si="11"/>
        <v>691.00063895190544</v>
      </c>
      <c r="EB22">
        <f t="shared" ref="EB22:EU24" ca="1" si="12">(EA$22*$Q9)+(EA$23*$R9)+(EA$24*$S9)+(EA$25*$T9)+(EA$26*$U9)+(EA$27*$V9)+(EA$28*$W9)+(EA$29*$X9)+(EA$30*$Y9)</f>
        <v>690.66803815125138</v>
      </c>
      <c r="EC22">
        <f t="shared" ca="1" si="12"/>
        <v>690.34152866199588</v>
      </c>
      <c r="ED22">
        <f t="shared" ca="1" si="12"/>
        <v>690.02099496072663</v>
      </c>
      <c r="EE22">
        <f t="shared" ca="1" si="12"/>
        <v>689.70632381882479</v>
      </c>
      <c r="EF22">
        <f t="shared" ca="1" si="12"/>
        <v>689.39740425248544</v>
      </c>
      <c r="EG22">
        <f t="shared" ca="1" si="12"/>
        <v>689.09412747401291</v>
      </c>
      <c r="EH22">
        <f t="shared" ca="1" si="12"/>
        <v>688.79638684434894</v>
      </c>
      <c r="EI22">
        <f t="shared" ca="1" si="12"/>
        <v>688.50407782679758</v>
      </c>
      <c r="EJ22">
        <f t="shared" ca="1" si="12"/>
        <v>688.21709794190951</v>
      </c>
      <c r="EK22">
        <f t="shared" ca="1" si="12"/>
        <v>687.93534672348926</v>
      </c>
      <c r="EL22">
        <f t="shared" ca="1" si="12"/>
        <v>687.65872567569272</v>
      </c>
      <c r="EM22">
        <f t="shared" ca="1" si="12"/>
        <v>687.38713823118064</v>
      </c>
      <c r="EN22">
        <f t="shared" ca="1" si="12"/>
        <v>687.12048971029753</v>
      </c>
      <c r="EO22">
        <f t="shared" ca="1" si="12"/>
        <v>686.85868728124478</v>
      </c>
      <c r="EP22">
        <f t="shared" ca="1" si="12"/>
        <v>686.60163992121829</v>
      </c>
      <c r="EQ22">
        <f t="shared" ca="1" si="12"/>
        <v>686.349258378483</v>
      </c>
      <c r="ER22">
        <f t="shared" ca="1" si="12"/>
        <v>686.10145513535645</v>
      </c>
      <c r="ES22">
        <f t="shared" ca="1" si="12"/>
        <v>685.85814437207546</v>
      </c>
      <c r="ET22">
        <f t="shared" ca="1" si="12"/>
        <v>685.61924193151856</v>
      </c>
      <c r="EU22" s="9">
        <f t="shared" ca="1" si="12"/>
        <v>685.38466528476295</v>
      </c>
    </row>
    <row r="23" spans="2:151" x14ac:dyDescent="0.25">
      <c r="B23">
        <f t="shared" ref="B23:B30" ca="1" si="13">(Q10*$O$9)+(R10*$O$10)+(S10*$O$11)+(T10*$O$12)+(U10*$O$13)+(V10*$O$14)+(W10*$O$15)+(X10*$O$16)+(Y10*$O$17)</f>
        <v>691.08633735712624</v>
      </c>
      <c r="C23">
        <f t="shared" ref="C23:R30" ca="1" si="14">(B$22*$Q10)+(B$23*$R10)+(B$24*$S10)+(B$25*$T10)+(B$26*$U10)+(B$27*$V10)+(B$28*$W10)+(B$29*$X10)+(B$30*$Y10)</f>
        <v>699.23208037629388</v>
      </c>
      <c r="D23">
        <f t="shared" ca="1" si="14"/>
        <v>703.88788402949638</v>
      </c>
      <c r="E23">
        <f t="shared" ca="1" si="14"/>
        <v>708.55191567309282</v>
      </c>
      <c r="F23">
        <f t="shared" ca="1" si="14"/>
        <v>714.11470768574475</v>
      </c>
      <c r="G23">
        <f t="shared" ca="1" si="14"/>
        <v>720.45249134771859</v>
      </c>
      <c r="H23">
        <f t="shared" ca="1" si="14"/>
        <v>727.14726507938815</v>
      </c>
      <c r="I23">
        <f t="shared" ca="1" si="14"/>
        <v>733.78323877319292</v>
      </c>
      <c r="J23">
        <f t="shared" ca="1" si="14"/>
        <v>740.04630041392488</v>
      </c>
      <c r="K23">
        <f t="shared" ca="1" si="14"/>
        <v>745.73820967983738</v>
      </c>
      <c r="L23">
        <f t="shared" ca="1" si="14"/>
        <v>750.75873911172778</v>
      </c>
      <c r="M23">
        <f t="shared" ca="1" si="14"/>
        <v>755.07976829831659</v>
      </c>
      <c r="N23">
        <f t="shared" ca="1" si="14"/>
        <v>758.72113301828608</v>
      </c>
      <c r="O23">
        <f t="shared" ca="1" si="14"/>
        <v>761.73141175830119</v>
      </c>
      <c r="P23">
        <f t="shared" ca="1" si="14"/>
        <v>764.17396130795782</v>
      </c>
      <c r="Q23">
        <f t="shared" ca="1" si="14"/>
        <v>766.11743535770029</v>
      </c>
      <c r="R23">
        <f t="shared" ca="1" si="14"/>
        <v>767.62975518860617</v>
      </c>
      <c r="S23">
        <f t="shared" ca="1" si="10"/>
        <v>768.77457120499218</v>
      </c>
      <c r="T23">
        <f t="shared" ca="1" si="10"/>
        <v>769.60943390704404</v>
      </c>
      <c r="U23">
        <f t="shared" ca="1" si="10"/>
        <v>770.18508473070153</v>
      </c>
      <c r="V23">
        <f t="shared" ca="1" si="10"/>
        <v>770.54544345928184</v>
      </c>
      <c r="W23">
        <f t="shared" ca="1" si="10"/>
        <v>770.72799985105735</v>
      </c>
      <c r="X23">
        <f t="shared" ca="1" si="10"/>
        <v>770.76441454595431</v>
      </c>
      <c r="Y23">
        <f t="shared" ca="1" si="10"/>
        <v>770.68120399999464</v>
      </c>
      <c r="Z23">
        <f t="shared" ca="1" si="10"/>
        <v>770.50043252131013</v>
      </c>
      <c r="AA23">
        <f t="shared" ca="1" si="10"/>
        <v>770.24036707740356</v>
      </c>
      <c r="AB23">
        <f t="shared" ca="1" si="10"/>
        <v>769.91607192052038</v>
      </c>
      <c r="AC23">
        <f t="shared" ca="1" si="10"/>
        <v>769.53993365417307</v>
      </c>
      <c r="AD23">
        <f t="shared" ca="1" si="10"/>
        <v>769.12211563595952</v>
      </c>
      <c r="AE23">
        <f t="shared" ca="1" si="10"/>
        <v>768.67094535646504</v>
      </c>
      <c r="AF23">
        <f t="shared" ca="1" si="10"/>
        <v>768.19324088890335</v>
      </c>
      <c r="AG23">
        <f t="shared" ca="1" si="10"/>
        <v>767.69458351563401</v>
      </c>
      <c r="AH23">
        <f t="shared" ca="1" si="10"/>
        <v>767.17954377437616</v>
      </c>
      <c r="AI23">
        <f t="shared" ca="1" si="10"/>
        <v>766.6518678035369</v>
      </c>
      <c r="AJ23">
        <f t="shared" ca="1" si="10"/>
        <v>766.11463024424893</v>
      </c>
      <c r="AK23">
        <f t="shared" ca="1" si="10"/>
        <v>765.57035922803891</v>
      </c>
      <c r="AL23">
        <f t="shared" ca="1" si="10"/>
        <v>765.02113823501327</v>
      </c>
      <c r="AM23">
        <f t="shared" ca="1" si="10"/>
        <v>764.46868890026701</v>
      </c>
      <c r="AN23">
        <f t="shared" ca="1" si="10"/>
        <v>763.91443820279244</v>
      </c>
      <c r="AO23">
        <f t="shared" ca="1" si="10"/>
        <v>763.35957290264378</v>
      </c>
      <c r="AP23">
        <f t="shared" ca="1" si="10"/>
        <v>762.8050836001222</v>
      </c>
      <c r="AQ23">
        <f t="shared" ca="1" si="10"/>
        <v>762.25180037152234</v>
      </c>
      <c r="AR23">
        <f t="shared" ca="1" si="10"/>
        <v>761.70042158295178</v>
      </c>
      <c r="AS23">
        <f t="shared" ca="1" si="10"/>
        <v>761.15153718919726</v>
      </c>
      <c r="AT23">
        <f t="shared" ca="1" si="10"/>
        <v>760.60564758068256</v>
      </c>
      <c r="AU23">
        <f t="shared" ca="1" si="10"/>
        <v>760.06317884075531</v>
      </c>
      <c r="AV23">
        <f t="shared" ca="1" si="10"/>
        <v>759.52449511102975</v>
      </c>
      <c r="AW23">
        <f t="shared" ca="1" si="10"/>
        <v>758.98990862829851</v>
      </c>
      <c r="AX23">
        <f t="shared" ca="1" si="10"/>
        <v>758.45968788738514</v>
      </c>
      <c r="AY23" s="9">
        <f t="shared" ca="1" si="10"/>
        <v>757.93406429581398</v>
      </c>
      <c r="AZ23">
        <f t="shared" ca="1" si="10"/>
        <v>757.41323761458784</v>
      </c>
      <c r="BA23">
        <f t="shared" ca="1" si="10"/>
        <v>756.89738042157103</v>
      </c>
      <c r="BB23">
        <f t="shared" ca="1" si="10"/>
        <v>756.38664178740009</v>
      </c>
      <c r="BC23">
        <f t="shared" ca="1" si="10"/>
        <v>755.88115031635868</v>
      </c>
      <c r="BD23">
        <f t="shared" ca="1" si="10"/>
        <v>755.38101667452497</v>
      </c>
      <c r="BE23">
        <f t="shared" ca="1" si="10"/>
        <v>754.88633570330569</v>
      </c>
      <c r="BF23">
        <f t="shared" ca="1" si="10"/>
        <v>754.39718819705695</v>
      </c>
      <c r="BG23">
        <f t="shared" ca="1" si="10"/>
        <v>753.91364240793473</v>
      </c>
      <c r="BH23">
        <f t="shared" ca="1" si="10"/>
        <v>753.43575532864145</v>
      </c>
      <c r="BI23">
        <f t="shared" ca="1" si="10"/>
        <v>752.96357379375218</v>
      </c>
      <c r="BJ23">
        <f t="shared" ca="1" si="10"/>
        <v>752.49713543230359</v>
      </c>
      <c r="BK23">
        <f t="shared" ca="1" si="10"/>
        <v>752.03646949793097</v>
      </c>
      <c r="BL23">
        <f t="shared" ca="1" si="10"/>
        <v>751.58159759770899</v>
      </c>
      <c r="BM23">
        <f t="shared" ca="1" si="10"/>
        <v>751.13253433675766</v>
      </c>
      <c r="BN23">
        <f t="shared" ca="1" si="10"/>
        <v>750.68928789238782</v>
      </c>
      <c r="BO23">
        <f t="shared" ca="1" si="10"/>
        <v>750.25186052893275</v>
      </c>
      <c r="BP23">
        <f t="shared" ca="1" si="11"/>
        <v>749.82024906230788</v>
      </c>
      <c r="BQ23">
        <f t="shared" ca="1" si="11"/>
        <v>749.39444528165586</v>
      </c>
      <c r="BR23">
        <f t="shared" ca="1" si="11"/>
        <v>748.97443633407647</v>
      </c>
      <c r="BS23">
        <f t="shared" ca="1" si="11"/>
        <v>748.56020507736184</v>
      </c>
      <c r="BT23">
        <f t="shared" ca="1" si="11"/>
        <v>748.15173040477919</v>
      </c>
      <c r="BU23">
        <f t="shared" ca="1" si="11"/>
        <v>747.74898754524952</v>
      </c>
      <c r="BV23">
        <f t="shared" ca="1" si="11"/>
        <v>747.35194834169693</v>
      </c>
      <c r="BW23">
        <f t="shared" ca="1" si="11"/>
        <v>746.96058150989722</v>
      </c>
      <c r="BX23">
        <f t="shared" ca="1" si="11"/>
        <v>746.57485287977875</v>
      </c>
      <c r="BY23">
        <f t="shared" ca="1" si="11"/>
        <v>746.19472562083263</v>
      </c>
      <c r="BZ23">
        <f t="shared" ca="1" si="11"/>
        <v>745.82016045304738</v>
      </c>
      <c r="CA23">
        <f t="shared" ca="1" si="11"/>
        <v>745.45111584458471</v>
      </c>
      <c r="CB23">
        <f t="shared" ca="1" si="11"/>
        <v>745.08754819724982</v>
      </c>
      <c r="CC23">
        <f t="shared" ca="1" si="11"/>
        <v>744.72941202067921</v>
      </c>
      <c r="CD23">
        <f t="shared" ca="1" si="11"/>
        <v>744.37666009605528</v>
      </c>
      <c r="CE23">
        <f t="shared" ca="1" si="11"/>
        <v>744.02924363007048</v>
      </c>
      <c r="CF23">
        <f t="shared" ca="1" si="11"/>
        <v>743.68711239978279</v>
      </c>
      <c r="CG23">
        <f t="shared" ca="1" si="11"/>
        <v>743.35021488894301</v>
      </c>
      <c r="CH23">
        <f t="shared" ca="1" si="11"/>
        <v>743.01849841631974</v>
      </c>
      <c r="CI23">
        <f t="shared" ca="1" si="11"/>
        <v>742.69190925650003</v>
      </c>
      <c r="CJ23">
        <f t="shared" ca="1" si="11"/>
        <v>742.37039275360758</v>
      </c>
      <c r="CK23">
        <f t="shared" ca="1" si="11"/>
        <v>742.05389342834007</v>
      </c>
      <c r="CL23">
        <f t="shared" ca="1" si="11"/>
        <v>741.74235507870242</v>
      </c>
      <c r="CM23">
        <f t="shared" ca="1" si="11"/>
        <v>741.43572087478549</v>
      </c>
      <c r="CN23">
        <f t="shared" ca="1" si="11"/>
        <v>741.1339334479128</v>
      </c>
      <c r="CO23">
        <f t="shared" ca="1" si="11"/>
        <v>740.83693497446006</v>
      </c>
      <c r="CP23">
        <f t="shared" ca="1" si="11"/>
        <v>740.54466725463351</v>
      </c>
      <c r="CQ23">
        <f t="shared" ca="1" si="11"/>
        <v>740.25707178647383</v>
      </c>
      <c r="CR23">
        <f t="shared" ca="1" si="11"/>
        <v>739.97408983533921</v>
      </c>
      <c r="CS23">
        <f t="shared" ca="1" si="11"/>
        <v>739.69566249910326</v>
      </c>
      <c r="CT23">
        <f t="shared" ca="1" si="11"/>
        <v>739.4217307692968</v>
      </c>
      <c r="CU23">
        <f t="shared" ca="1" si="11"/>
        <v>739.15223558840046</v>
      </c>
      <c r="CV23">
        <f t="shared" ca="1" si="11"/>
        <v>738.88711790349578</v>
      </c>
      <c r="CW23" s="9">
        <f t="shared" ca="1" si="11"/>
        <v>738.62631871646056</v>
      </c>
      <c r="CX23">
        <f t="shared" ca="1" si="11"/>
        <v>738.36977913089129</v>
      </c>
      <c r="CY23">
        <f t="shared" ca="1" si="11"/>
        <v>738.11744039592406</v>
      </c>
      <c r="CZ23">
        <f t="shared" ca="1" si="11"/>
        <v>737.8692439471173</v>
      </c>
      <c r="DA23">
        <f t="shared" ca="1" si="11"/>
        <v>737.62513144455033</v>
      </c>
      <c r="DB23">
        <f t="shared" ca="1" si="11"/>
        <v>737.38504480828294</v>
      </c>
      <c r="DC23">
        <f t="shared" ca="1" si="11"/>
        <v>737.14892625131881</v>
      </c>
      <c r="DD23">
        <f t="shared" ca="1" si="11"/>
        <v>736.91671831020278</v>
      </c>
      <c r="DE23">
        <f t="shared" ca="1" si="11"/>
        <v>736.68836387337797</v>
      </c>
      <c r="DF23">
        <f t="shared" ca="1" si="11"/>
        <v>736.46380620742309</v>
      </c>
      <c r="DG23">
        <f t="shared" ca="1" si="11"/>
        <v>736.24298898128473</v>
      </c>
      <c r="DH23">
        <f t="shared" ca="1" si="11"/>
        <v>736.02585628860902</v>
      </c>
      <c r="DI23">
        <f t="shared" ca="1" si="11"/>
        <v>735.81235266827957</v>
      </c>
      <c r="DJ23">
        <f t="shared" ca="1" si="11"/>
        <v>735.60242312325693</v>
      </c>
      <c r="DK23">
        <f t="shared" ca="1" si="11"/>
        <v>735.39601313781304</v>
      </c>
      <c r="DL23">
        <f t="shared" ca="1" si="11"/>
        <v>735.19306869324816</v>
      </c>
      <c r="DM23">
        <f t="shared" ca="1" si="11"/>
        <v>734.99353628217602</v>
      </c>
      <c r="DN23">
        <f t="shared" ca="1" si="11"/>
        <v>734.79736292145412</v>
      </c>
      <c r="DO23">
        <f t="shared" ca="1" si="11"/>
        <v>734.60449616383733</v>
      </c>
      <c r="DP23">
        <f t="shared" ca="1" si="11"/>
        <v>734.41488410842476</v>
      </c>
      <c r="DQ23">
        <f t="shared" ca="1" si="11"/>
        <v>734.22847540997066</v>
      </c>
      <c r="DR23">
        <f t="shared" ca="1" si="11"/>
        <v>734.04521928712165</v>
      </c>
      <c r="DS23">
        <f t="shared" ca="1" si="11"/>
        <v>733.86506552964306</v>
      </c>
      <c r="DT23">
        <f t="shared" ca="1" si="11"/>
        <v>733.68796450469449</v>
      </c>
      <c r="DU23">
        <f t="shared" ca="1" si="11"/>
        <v>733.51386716220713</v>
      </c>
      <c r="DV23">
        <f t="shared" ca="1" si="11"/>
        <v>733.34272503941907</v>
      </c>
      <c r="DW23">
        <f t="shared" ca="1" si="11"/>
        <v>733.17449026461566</v>
      </c>
      <c r="DX23">
        <f t="shared" ca="1" si="11"/>
        <v>733.00911556012545</v>
      </c>
      <c r="DY23">
        <f t="shared" ca="1" si="11"/>
        <v>732.84655424461448</v>
      </c>
      <c r="DZ23">
        <f t="shared" ca="1" si="11"/>
        <v>732.68676023472369</v>
      </c>
      <c r="EA23">
        <f t="shared" ca="1" si="11"/>
        <v>732.5296880460894</v>
      </c>
      <c r="EB23">
        <f t="shared" ca="1" si="12"/>
        <v>732.37529279378509</v>
      </c>
      <c r="EC23">
        <f t="shared" ca="1" si="12"/>
        <v>732.22353019222248</v>
      </c>
      <c r="ED23">
        <f t="shared" ca="1" si="12"/>
        <v>732.07435655454537</v>
      </c>
      <c r="EE23">
        <f t="shared" ca="1" si="12"/>
        <v>731.92772879154973</v>
      </c>
      <c r="EF23">
        <f t="shared" ca="1" si="12"/>
        <v>731.78360441016218</v>
      </c>
      <c r="EG23">
        <f t="shared" ca="1" si="12"/>
        <v>731.64194151150411</v>
      </c>
      <c r="EH23">
        <f t="shared" ca="1" si="12"/>
        <v>731.5026987885733</v>
      </c>
      <c r="EI23">
        <f t="shared" ca="1" si="12"/>
        <v>731.36583552356569</v>
      </c>
      <c r="EJ23">
        <f t="shared" ca="1" si="12"/>
        <v>731.23131158486626</v>
      </c>
      <c r="EK23">
        <f t="shared" ca="1" si="12"/>
        <v>731.09908742372886</v>
      </c>
      <c r="EL23">
        <f t="shared" ca="1" si="12"/>
        <v>730.96912407067236</v>
      </c>
      <c r="EM23">
        <f t="shared" ca="1" si="12"/>
        <v>730.84138313160963</v>
      </c>
      <c r="EN23">
        <f t="shared" ca="1" si="12"/>
        <v>730.71582678373431</v>
      </c>
      <c r="EO23">
        <f t="shared" ca="1" si="12"/>
        <v>730.59241777118075</v>
      </c>
      <c r="EP23">
        <f t="shared" ca="1" si="12"/>
        <v>730.47111940047773</v>
      </c>
      <c r="EQ23">
        <f t="shared" ca="1" si="12"/>
        <v>730.35189553581199</v>
      </c>
      <c r="ER23">
        <f t="shared" ca="1" si="12"/>
        <v>730.2347105941177</v>
      </c>
      <c r="ES23">
        <f t="shared" ca="1" si="12"/>
        <v>730.11952954000901</v>
      </c>
      <c r="ET23">
        <f t="shared" ca="1" si="12"/>
        <v>730.00631788056683</v>
      </c>
      <c r="EU23" s="9">
        <f t="shared" ca="1" si="12"/>
        <v>729.89504165999733</v>
      </c>
    </row>
    <row r="24" spans="2:151" x14ac:dyDescent="0.25">
      <c r="B24">
        <f t="shared" ca="1" si="13"/>
        <v>36724.024383039272</v>
      </c>
      <c r="C24">
        <f t="shared" ca="1" si="14"/>
        <v>36721.042791071392</v>
      </c>
      <c r="D24">
        <f t="shared" ref="D24:BO27" ca="1" si="15">(C$22*$Q11)+(C$23*$R11)+(C$24*$S11)+(C$25*$T11)+(C$26*$U11)+(C$27*$V11)+(C$28*$W11)+(C$29*$X11)+(C$30*$Y11)</f>
        <v>36719.215210870447</v>
      </c>
      <c r="E24">
        <f t="shared" ca="1" si="15"/>
        <v>36718.047022326995</v>
      </c>
      <c r="F24">
        <f t="shared" ca="1" si="15"/>
        <v>36717.542135578231</v>
      </c>
      <c r="G24">
        <f t="shared" ca="1" si="15"/>
        <v>36717.831611162015</v>
      </c>
      <c r="H24">
        <f t="shared" ca="1" si="15"/>
        <v>36719.02893539059</v>
      </c>
      <c r="I24">
        <f t="shared" ca="1" si="15"/>
        <v>36721.18783711976</v>
      </c>
      <c r="J24">
        <f t="shared" ca="1" si="15"/>
        <v>36724.302399882523</v>
      </c>
      <c r="K24">
        <f t="shared" ca="1" si="15"/>
        <v>36728.321428864874</v>
      </c>
      <c r="L24">
        <f t="shared" ca="1" si="15"/>
        <v>36733.164913712018</v>
      </c>
      <c r="M24">
        <f t="shared" ca="1" si="15"/>
        <v>36738.738001012105</v>
      </c>
      <c r="N24">
        <f t="shared" ca="1" si="15"/>
        <v>36744.941310721384</v>
      </c>
      <c r="O24">
        <f t="shared" ca="1" si="15"/>
        <v>36751.677831024543</v>
      </c>
      <c r="P24">
        <f t="shared" ca="1" si="15"/>
        <v>36758.85708382303</v>
      </c>
      <c r="Q24">
        <f t="shared" ca="1" si="15"/>
        <v>36766.397301206031</v>
      </c>
      <c r="R24">
        <f t="shared" ca="1" si="15"/>
        <v>36774.226247021332</v>
      </c>
      <c r="S24">
        <f t="shared" ca="1" si="15"/>
        <v>36782.281172876588</v>
      </c>
      <c r="T24">
        <f t="shared" ca="1" si="15"/>
        <v>36790.508262366893</v>
      </c>
      <c r="U24">
        <f t="shared" ca="1" si="15"/>
        <v>36798.86180690366</v>
      </c>
      <c r="V24">
        <f t="shared" ca="1" si="15"/>
        <v>36807.303273065656</v>
      </c>
      <c r="W24">
        <f t="shared" ca="1" si="15"/>
        <v>36815.800361378417</v>
      </c>
      <c r="X24">
        <f t="shared" ca="1" si="15"/>
        <v>36824.326114905991</v>
      </c>
      <c r="Y24">
        <f t="shared" ca="1" si="15"/>
        <v>36832.858108292188</v>
      </c>
      <c r="Z24">
        <f t="shared" ca="1" si="15"/>
        <v>36841.377730009954</v>
      </c>
      <c r="AA24">
        <f t="shared" ca="1" si="15"/>
        <v>36849.869559550687</v>
      </c>
      <c r="AB24">
        <f t="shared" ca="1" si="15"/>
        <v>36858.320834888014</v>
      </c>
      <c r="AC24">
        <f t="shared" ca="1" si="15"/>
        <v>36866.721002195329</v>
      </c>
      <c r="AD24">
        <f t="shared" ca="1" si="15"/>
        <v>36875.061338379026</v>
      </c>
      <c r="AE24">
        <f t="shared" ca="1" si="15"/>
        <v>36883.334636756656</v>
      </c>
      <c r="AF24">
        <f t="shared" ca="1" si="15"/>
        <v>36891.534946661486</v>
      </c>
      <c r="AG24">
        <f t="shared" ca="1" si="15"/>
        <v>36899.657358565251</v>
      </c>
      <c r="AH24">
        <f t="shared" ca="1" si="15"/>
        <v>36907.697827273907</v>
      </c>
      <c r="AI24">
        <f t="shared" ca="1" si="15"/>
        <v>36915.653026741355</v>
      </c>
      <c r="AJ24">
        <f t="shared" ca="1" si="15"/>
        <v>36923.520230991599</v>
      </c>
      <c r="AK24">
        <f t="shared" ca="1" si="15"/>
        <v>36931.297216502244</v>
      </c>
      <c r="AL24">
        <f t="shared" ca="1" si="15"/>
        <v>36938.982182166583</v>
      </c>
      <c r="AM24">
        <f t="shared" ca="1" si="15"/>
        <v>36946.573683613489</v>
      </c>
      <c r="AN24">
        <f t="shared" ca="1" si="15"/>
        <v>36954.070579229985</v>
      </c>
      <c r="AO24">
        <f t="shared" ca="1" si="15"/>
        <v>36961.47198570738</v>
      </c>
      <c r="AP24">
        <f t="shared" ca="1" si="15"/>
        <v>36968.777241330332</v>
      </c>
      <c r="AQ24">
        <f t="shared" ca="1" si="15"/>
        <v>36975.985875557788</v>
      </c>
      <c r="AR24">
        <f t="shared" ca="1" si="15"/>
        <v>36983.097583716728</v>
      </c>
      <c r="AS24">
        <f t="shared" ca="1" si="15"/>
        <v>36990.112205852485</v>
      </c>
      <c r="AT24">
        <f t="shared" ca="1" si="15"/>
        <v>36997.029708961498</v>
      </c>
      <c r="AU24">
        <f t="shared" ca="1" si="15"/>
        <v>37003.850171980383</v>
      </c>
      <c r="AV24">
        <f t="shared" ca="1" si="15"/>
        <v>37010.57377302539</v>
      </c>
      <c r="AW24">
        <f t="shared" ca="1" si="15"/>
        <v>37017.200778473845</v>
      </c>
      <c r="AX24">
        <f t="shared" ca="1" si="15"/>
        <v>37023.7315335577</v>
      </c>
      <c r="AY24" s="9">
        <f t="shared" ca="1" si="15"/>
        <v>37030.166454202772</v>
      </c>
      <c r="AZ24">
        <f t="shared" ca="1" si="15"/>
        <v>37036.506019898632</v>
      </c>
      <c r="BA24">
        <f t="shared" ca="1" si="15"/>
        <v>37042.750767425088</v>
      </c>
      <c r="BB24">
        <f t="shared" ca="1" si="15"/>
        <v>37048.901285294407</v>
      </c>
      <c r="BC24">
        <f t="shared" ca="1" si="15"/>
        <v>37054.958208795237</v>
      </c>
      <c r="BD24">
        <f t="shared" ca="1" si="15"/>
        <v>37060.92221554539</v>
      </c>
      <c r="BE24">
        <f t="shared" ca="1" si="15"/>
        <v>37066.794021478054</v>
      </c>
      <c r="BF24">
        <f t="shared" ca="1" si="15"/>
        <v>37072.574377199744</v>
      </c>
      <c r="BG24">
        <f t="shared" ca="1" si="15"/>
        <v>37078.264064669558</v>
      </c>
      <c r="BH24">
        <f t="shared" ca="1" si="15"/>
        <v>37083.863894158065</v>
      </c>
      <c r="BI24">
        <f t="shared" ca="1" si="15"/>
        <v>37089.374701451728</v>
      </c>
      <c r="BJ24">
        <f t="shared" ca="1" si="15"/>
        <v>37094.797345274172</v>
      </c>
      <c r="BK24">
        <f t="shared" ca="1" si="15"/>
        <v>37100.132704900563</v>
      </c>
      <c r="BL24">
        <f t="shared" ca="1" si="15"/>
        <v>37105.381677945203</v>
      </c>
      <c r="BM24">
        <f t="shared" ca="1" si="15"/>
        <v>37110.545178305372</v>
      </c>
      <c r="BN24">
        <f t="shared" ca="1" si="15"/>
        <v>37115.624134247017</v>
      </c>
      <c r="BO24">
        <f t="shared" ca="1" si="15"/>
        <v>37120.619486619988</v>
      </c>
      <c r="BP24">
        <f t="shared" ca="1" si="11"/>
        <v>37125.532187192097</v>
      </c>
      <c r="BQ24">
        <f t="shared" ca="1" si="11"/>
        <v>37130.363197092782</v>
      </c>
      <c r="BR24">
        <f t="shared" ca="1" si="11"/>
        <v>37135.113485358073</v>
      </c>
      <c r="BS24">
        <f t="shared" ca="1" si="11"/>
        <v>37139.784027569847</v>
      </c>
      <c r="BT24">
        <f t="shared" ca="1" si="11"/>
        <v>37144.375804582662</v>
      </c>
      <c r="BU24">
        <f t="shared" ca="1" si="11"/>
        <v>37148.889801332582</v>
      </c>
      <c r="BV24">
        <f t="shared" ca="1" si="11"/>
        <v>37153.327005722764</v>
      </c>
      <c r="BW24">
        <f t="shared" ca="1" si="11"/>
        <v>37157.688407580863</v>
      </c>
      <c r="BX24">
        <f t="shared" ca="1" si="11"/>
        <v>37161.974997684141</v>
      </c>
      <c r="BY24">
        <f t="shared" ca="1" si="11"/>
        <v>37166.187766848081</v>
      </c>
      <c r="BZ24">
        <f t="shared" ca="1" si="11"/>
        <v>37170.327705074968</v>
      </c>
      <c r="CA24">
        <f t="shared" ca="1" si="11"/>
        <v>37174.395800758895</v>
      </c>
      <c r="CB24">
        <f t="shared" ca="1" si="11"/>
        <v>37178.393039944021</v>
      </c>
      <c r="CC24">
        <f t="shared" ca="1" si="11"/>
        <v>37182.320405633167</v>
      </c>
      <c r="CD24">
        <f t="shared" ca="1" si="11"/>
        <v>37186.178877143866</v>
      </c>
      <c r="CE24">
        <f t="shared" ca="1" si="11"/>
        <v>37189.969429509307</v>
      </c>
      <c r="CF24">
        <f t="shared" ca="1" si="11"/>
        <v>37193.693032921707</v>
      </c>
      <c r="CG24">
        <f t="shared" ca="1" si="11"/>
        <v>37197.350652215733</v>
      </c>
      <c r="CH24">
        <f t="shared" ca="1" si="11"/>
        <v>37200.943246389863</v>
      </c>
      <c r="CI24">
        <f t="shared" ca="1" si="11"/>
        <v>37204.471768163523</v>
      </c>
      <c r="CJ24">
        <f t="shared" ca="1" si="11"/>
        <v>37207.937163568145</v>
      </c>
      <c r="CK24">
        <f t="shared" ca="1" si="11"/>
        <v>37211.34037157023</v>
      </c>
      <c r="CL24">
        <f t="shared" ca="1" si="11"/>
        <v>37214.682323724672</v>
      </c>
      <c r="CM24">
        <f t="shared" ca="1" si="11"/>
        <v>37217.963943856637</v>
      </c>
      <c r="CN24">
        <f t="shared" ca="1" si="11"/>
        <v>37221.186147770539</v>
      </c>
      <c r="CO24">
        <f t="shared" ca="1" si="11"/>
        <v>37224.349842984499</v>
      </c>
      <c r="CP24">
        <f t="shared" ca="1" si="11"/>
        <v>37227.45592848894</v>
      </c>
      <c r="CQ24">
        <f t="shared" ca="1" si="11"/>
        <v>37230.505294527909</v>
      </c>
      <c r="CR24">
        <f t="shared" ca="1" si="11"/>
        <v>37233.498822401933</v>
      </c>
      <c r="CS24">
        <f t="shared" ca="1" si="11"/>
        <v>37236.437384291079</v>
      </c>
      <c r="CT24">
        <f t="shared" ca="1" si="11"/>
        <v>37239.321843097241</v>
      </c>
      <c r="CU24">
        <f t="shared" ca="1" si="11"/>
        <v>37242.153052304355</v>
      </c>
      <c r="CV24">
        <f t="shared" ca="1" si="11"/>
        <v>37244.931855855648</v>
      </c>
      <c r="CW24" s="9">
        <f t="shared" ca="1" si="11"/>
        <v>37247.659088046901</v>
      </c>
      <c r="CX24">
        <f t="shared" ca="1" si="11"/>
        <v>37250.335573434764</v>
      </c>
      <c r="CY24">
        <f t="shared" ca="1" si="11"/>
        <v>37252.962126759252</v>
      </c>
      <c r="CZ24">
        <f t="shared" ca="1" si="11"/>
        <v>37255.539552879614</v>
      </c>
      <c r="DA24">
        <f t="shared" ca="1" si="11"/>
        <v>37258.068646722677</v>
      </c>
      <c r="DB24">
        <f t="shared" ca="1" si="11"/>
        <v>37260.550193243034</v>
      </c>
      <c r="DC24">
        <f t="shared" ca="1" si="11"/>
        <v>37262.984967394237</v>
      </c>
      <c r="DD24">
        <f t="shared" ca="1" si="11"/>
        <v>37265.373734110406</v>
      </c>
      <c r="DE24">
        <f t="shared" ca="1" si="11"/>
        <v>37267.717248297537</v>
      </c>
      <c r="DF24">
        <f t="shared" ca="1" si="11"/>
        <v>37270.016254833943</v>
      </c>
      <c r="DG24">
        <f t="shared" ca="1" si="11"/>
        <v>37272.271488579165</v>
      </c>
      <c r="DH24">
        <f t="shared" ca="1" si="11"/>
        <v>37274.483674390911</v>
      </c>
      <c r="DI24">
        <f t="shared" ca="1" si="11"/>
        <v>37276.653527149458</v>
      </c>
      <c r="DJ24">
        <f t="shared" ca="1" si="11"/>
        <v>37278.781751788905</v>
      </c>
      <c r="DK24">
        <f t="shared" ca="1" si="11"/>
        <v>37280.869043335013</v>
      </c>
      <c r="DL24">
        <f t="shared" ca="1" si="11"/>
        <v>37282.916086949001</v>
      </c>
      <c r="DM24">
        <f t="shared" ca="1" si="11"/>
        <v>37284.923557976974</v>
      </c>
      <c r="DN24">
        <f t="shared" ca="1" si="11"/>
        <v>37286.892122004545</v>
      </c>
      <c r="DO24">
        <f t="shared" ca="1" si="11"/>
        <v>37288.822434916314</v>
      </c>
      <c r="DP24">
        <f t="shared" ca="1" si="11"/>
        <v>37290.715142959758</v>
      </c>
      <c r="DQ24">
        <f t="shared" ca="1" si="11"/>
        <v>37292.570882813277</v>
      </c>
      <c r="DR24">
        <f t="shared" ca="1" si="11"/>
        <v>37294.390281658052</v>
      </c>
      <c r="DS24">
        <f t="shared" ca="1" si="11"/>
        <v>37296.173957253362</v>
      </c>
      <c r="DT24">
        <f t="shared" ca="1" si="11"/>
        <v>37297.922518015133</v>
      </c>
      <c r="DU24">
        <f t="shared" ca="1" si="11"/>
        <v>37299.636563097418</v>
      </c>
      <c r="DV24">
        <f t="shared" ca="1" si="11"/>
        <v>37301.316682476572</v>
      </c>
      <c r="DW24">
        <f t="shared" ca="1" si="11"/>
        <v>37302.963457037826</v>
      </c>
      <c r="DX24">
        <f t="shared" ca="1" si="11"/>
        <v>37304.577458664091</v>
      </c>
      <c r="DY24">
        <f t="shared" ca="1" si="11"/>
        <v>37306.159250326731</v>
      </c>
      <c r="DZ24">
        <f t="shared" ca="1" si="11"/>
        <v>37307.70938617814</v>
      </c>
      <c r="EA24">
        <f t="shared" ca="1" si="11"/>
        <v>37309.228411645883</v>
      </c>
      <c r="EB24">
        <f t="shared" ca="1" si="12"/>
        <v>37310.716863528265</v>
      </c>
      <c r="EC24">
        <f t="shared" ca="1" si="12"/>
        <v>37312.175270091124</v>
      </c>
      <c r="ED24">
        <f t="shared" ca="1" si="12"/>
        <v>37313.604151165695</v>
      </c>
      <c r="EE24">
        <f t="shared" ca="1" si="12"/>
        <v>37315.004018247404</v>
      </c>
      <c r="EF24">
        <f t="shared" ca="1" si="12"/>
        <v>37316.375374595431</v>
      </c>
      <c r="EG24">
        <f t="shared" ca="1" si="12"/>
        <v>37317.718715332907</v>
      </c>
      <c r="EH24">
        <f t="shared" ca="1" si="12"/>
        <v>37319.034527547657</v>
      </c>
      <c r="EI24">
        <f t="shared" ca="1" si="12"/>
        <v>37320.323290393295</v>
      </c>
      <c r="EJ24">
        <f t="shared" ca="1" si="12"/>
        <v>37321.585475190645</v>
      </c>
      <c r="EK24">
        <f t="shared" ca="1" si="12"/>
        <v>37322.821545529303</v>
      </c>
      <c r="EL24">
        <f t="shared" ca="1" si="12"/>
        <v>37324.031957369334</v>
      </c>
      <c r="EM24">
        <f t="shared" ca="1" si="12"/>
        <v>37325.217159142885</v>
      </c>
      <c r="EN24">
        <f t="shared" ca="1" si="12"/>
        <v>37326.377591855773</v>
      </c>
      <c r="EO24">
        <f t="shared" ca="1" si="12"/>
        <v>37327.513689188854</v>
      </c>
      <c r="EP24">
        <f t="shared" ca="1" si="12"/>
        <v>37328.62587759913</v>
      </c>
      <c r="EQ24">
        <f t="shared" ca="1" si="12"/>
        <v>37329.714576420563</v>
      </c>
      <c r="ER24">
        <f t="shared" ca="1" si="12"/>
        <v>37330.780197964494</v>
      </c>
      <c r="ES24">
        <f t="shared" ca="1" si="12"/>
        <v>37331.823147619609</v>
      </c>
      <c r="ET24">
        <f t="shared" ca="1" si="12"/>
        <v>37332.843823951385</v>
      </c>
      <c r="EU24" s="9">
        <f t="shared" ca="1" si="12"/>
        <v>37333.842618800983</v>
      </c>
    </row>
    <row r="25" spans="2:151" x14ac:dyDescent="0.25">
      <c r="B25">
        <f t="shared" ca="1" si="13"/>
        <v>74999999.747502655</v>
      </c>
      <c r="C25">
        <f t="shared" ca="1" si="14"/>
        <v>74999999.494967952</v>
      </c>
      <c r="D25">
        <f t="shared" ca="1" si="15"/>
        <v>74999999.242414594</v>
      </c>
      <c r="E25">
        <f t="shared" ca="1" si="15"/>
        <v>74999998.989849836</v>
      </c>
      <c r="F25">
        <f t="shared" ca="1" si="15"/>
        <v>74999998.737277761</v>
      </c>
      <c r="G25">
        <f t="shared" ca="1" si="15"/>
        <v>74999998.484702528</v>
      </c>
      <c r="H25">
        <f t="shared" ca="1" si="15"/>
        <v>74999998.232129112</v>
      </c>
      <c r="I25">
        <f t="shared" ca="1" si="15"/>
        <v>74999997.979563177</v>
      </c>
      <c r="J25">
        <f t="shared" ca="1" si="15"/>
        <v>74999997.727010742</v>
      </c>
      <c r="K25">
        <f t="shared" ca="1" si="15"/>
        <v>74999997.474477783</v>
      </c>
      <c r="L25">
        <f t="shared" ca="1" si="15"/>
        <v>74999997.221969962</v>
      </c>
      <c r="M25">
        <f t="shared" ca="1" si="15"/>
        <v>74999996.969492421</v>
      </c>
      <c r="N25">
        <f t="shared" ca="1" si="15"/>
        <v>74999996.717049748</v>
      </c>
      <c r="O25">
        <f t="shared" ca="1" si="15"/>
        <v>74999996.464645863</v>
      </c>
      <c r="P25">
        <f t="shared" ca="1" si="15"/>
        <v>74999996.212284088</v>
      </c>
      <c r="Q25">
        <f t="shared" ca="1" si="15"/>
        <v>74999995.959967211</v>
      </c>
      <c r="R25">
        <f t="shared" ca="1" si="15"/>
        <v>74999995.707697481</v>
      </c>
      <c r="S25">
        <f t="shared" ca="1" si="15"/>
        <v>74999995.455476701</v>
      </c>
      <c r="T25">
        <f t="shared" ca="1" si="15"/>
        <v>74999995.203306288</v>
      </c>
      <c r="U25">
        <f t="shared" ca="1" si="15"/>
        <v>74999994.951187313</v>
      </c>
      <c r="V25">
        <f t="shared" ca="1" si="15"/>
        <v>74999994.699120581</v>
      </c>
      <c r="W25">
        <f t="shared" ca="1" si="15"/>
        <v>74999994.447106645</v>
      </c>
      <c r="X25">
        <f t="shared" ca="1" si="15"/>
        <v>74999994.195145831</v>
      </c>
      <c r="Y25">
        <f t="shared" ca="1" si="15"/>
        <v>74999993.943238333</v>
      </c>
      <c r="Z25">
        <f t="shared" ca="1" si="15"/>
        <v>74999993.691384181</v>
      </c>
      <c r="AA25">
        <f t="shared" ca="1" si="15"/>
        <v>74999993.439583302</v>
      </c>
      <c r="AB25">
        <f t="shared" ca="1" si="15"/>
        <v>74999993.187835515</v>
      </c>
      <c r="AC25">
        <f t="shared" ca="1" si="15"/>
        <v>74999992.936140567</v>
      </c>
      <c r="AD25">
        <f t="shared" ca="1" si="15"/>
        <v>74999992.684498146</v>
      </c>
      <c r="AE25">
        <f t="shared" ca="1" si="15"/>
        <v>74999992.432907879</v>
      </c>
      <c r="AF25">
        <f t="shared" ca="1" si="15"/>
        <v>74999992.181369364</v>
      </c>
      <c r="AG25">
        <f t="shared" ca="1" si="15"/>
        <v>74999991.929882124</v>
      </c>
      <c r="AH25">
        <f t="shared" ca="1" si="15"/>
        <v>74999991.678445667</v>
      </c>
      <c r="AI25">
        <f t="shared" ca="1" si="15"/>
        <v>74999991.427059487</v>
      </c>
      <c r="AJ25">
        <f t="shared" ca="1" si="15"/>
        <v>74999991.175723046</v>
      </c>
      <c r="AK25">
        <f t="shared" ca="1" si="15"/>
        <v>74999990.924435794</v>
      </c>
      <c r="AL25">
        <f t="shared" ca="1" si="15"/>
        <v>74999990.67319718</v>
      </c>
      <c r="AM25">
        <f t="shared" ca="1" si="15"/>
        <v>74999990.422006607</v>
      </c>
      <c r="AN25">
        <f t="shared" ca="1" si="15"/>
        <v>74999990.170863509</v>
      </c>
      <c r="AO25">
        <f t="shared" ca="1" si="15"/>
        <v>74999989.919767305</v>
      </c>
      <c r="AP25">
        <f t="shared" ca="1" si="15"/>
        <v>74999989.668717369</v>
      </c>
      <c r="AQ25">
        <f t="shared" ca="1" si="15"/>
        <v>74999989.417713121</v>
      </c>
      <c r="AR25">
        <f t="shared" ca="1" si="15"/>
        <v>74999989.166753948</v>
      </c>
      <c r="AS25">
        <f t="shared" ca="1" si="15"/>
        <v>74999988.91583924</v>
      </c>
      <c r="AT25">
        <f t="shared" ca="1" si="15"/>
        <v>74999988.664968386</v>
      </c>
      <c r="AU25">
        <f t="shared" ca="1" si="15"/>
        <v>74999988.414140791</v>
      </c>
      <c r="AV25">
        <f t="shared" ca="1" si="15"/>
        <v>74999988.163355842</v>
      </c>
      <c r="AW25">
        <f t="shared" ca="1" si="15"/>
        <v>74999987.91261293</v>
      </c>
      <c r="AX25">
        <f t="shared" ca="1" si="15"/>
        <v>74999987.661911458</v>
      </c>
      <c r="AY25" s="9">
        <f t="shared" ca="1" si="15"/>
        <v>74999987.411250845</v>
      </c>
      <c r="AZ25">
        <f t="shared" ca="1" si="15"/>
        <v>74999987.160630465</v>
      </c>
      <c r="BA25">
        <f t="shared" ca="1" si="15"/>
        <v>74999986.910049722</v>
      </c>
      <c r="BB25">
        <f t="shared" ca="1" si="15"/>
        <v>74999986.65950802</v>
      </c>
      <c r="BC25">
        <f t="shared" ca="1" si="15"/>
        <v>74999986.409004778</v>
      </c>
      <c r="BD25">
        <f t="shared" ca="1" si="15"/>
        <v>74999986.158539414</v>
      </c>
      <c r="BE25">
        <f t="shared" ca="1" si="15"/>
        <v>74999985.908111334</v>
      </c>
      <c r="BF25">
        <f t="shared" ca="1" si="15"/>
        <v>74999985.65771997</v>
      </c>
      <c r="BG25">
        <f t="shared" ca="1" si="15"/>
        <v>74999985.407364756</v>
      </c>
      <c r="BH25">
        <f t="shared" ca="1" si="15"/>
        <v>74999985.157045126</v>
      </c>
      <c r="BI25">
        <f t="shared" ca="1" si="15"/>
        <v>74999984.906760514</v>
      </c>
      <c r="BJ25">
        <f t="shared" ca="1" si="15"/>
        <v>74999984.656510353</v>
      </c>
      <c r="BK25">
        <f t="shared" ca="1" si="15"/>
        <v>74999984.406294107</v>
      </c>
      <c r="BL25">
        <f t="shared" ca="1" si="15"/>
        <v>74999984.156111225</v>
      </c>
      <c r="BM25">
        <f t="shared" ca="1" si="15"/>
        <v>74999983.905961156</v>
      </c>
      <c r="BN25">
        <f t="shared" ca="1" si="15"/>
        <v>74999983.655843377</v>
      </c>
      <c r="BO25">
        <f t="shared" ca="1" si="15"/>
        <v>74999983.405757353</v>
      </c>
      <c r="BP25">
        <f t="shared" ca="1" si="11"/>
        <v>74999983.155702561</v>
      </c>
      <c r="BQ25">
        <f t="shared" ca="1" si="11"/>
        <v>74999982.905678511</v>
      </c>
      <c r="BR25">
        <f t="shared" ca="1" si="11"/>
        <v>74999982.655684665</v>
      </c>
      <c r="BS25">
        <f t="shared" ca="1" si="11"/>
        <v>74999982.405720517</v>
      </c>
      <c r="BT25">
        <f t="shared" ca="1" si="11"/>
        <v>74999982.155785576</v>
      </c>
      <c r="BU25">
        <f t="shared" ca="1" si="11"/>
        <v>74999981.905879349</v>
      </c>
      <c r="BV25">
        <f t="shared" ca="1" si="11"/>
        <v>74999981.656001344</v>
      </c>
      <c r="BW25">
        <f t="shared" ca="1" si="11"/>
        <v>74999981.406151086</v>
      </c>
      <c r="BX25">
        <f t="shared" ca="1" si="11"/>
        <v>74999981.156328097</v>
      </c>
      <c r="BY25">
        <f t="shared" ca="1" si="11"/>
        <v>74999980.906531915</v>
      </c>
      <c r="BZ25">
        <f t="shared" ca="1" si="11"/>
        <v>74999980.656762078</v>
      </c>
      <c r="CA25">
        <f t="shared" ca="1" si="11"/>
        <v>74999980.40701814</v>
      </c>
      <c r="CB25">
        <f t="shared" ca="1" si="11"/>
        <v>74999980.157299638</v>
      </c>
      <c r="CC25">
        <f t="shared" ca="1" si="11"/>
        <v>74999979.907606125</v>
      </c>
      <c r="CD25">
        <f t="shared" ca="1" si="11"/>
        <v>74999979.657937169</v>
      </c>
      <c r="CE25">
        <f t="shared" ca="1" si="11"/>
        <v>74999979.408292338</v>
      </c>
      <c r="CF25">
        <f t="shared" ca="1" si="11"/>
        <v>74999979.158671215</v>
      </c>
      <c r="CG25">
        <f t="shared" ca="1" si="11"/>
        <v>74999978.909073368</v>
      </c>
      <c r="CH25">
        <f t="shared" ca="1" si="11"/>
        <v>74999978.659498394</v>
      </c>
      <c r="CI25">
        <f t="shared" ca="1" si="11"/>
        <v>74999978.409945875</v>
      </c>
      <c r="CJ25">
        <f t="shared" ca="1" si="11"/>
        <v>74999978.160415441</v>
      </c>
      <c r="CK25">
        <f t="shared" ca="1" si="11"/>
        <v>74999977.910906672</v>
      </c>
      <c r="CL25">
        <f t="shared" ca="1" si="11"/>
        <v>74999977.661419183</v>
      </c>
      <c r="CM25">
        <f t="shared" ca="1" si="11"/>
        <v>74999977.4119526</v>
      </c>
      <c r="CN25">
        <f t="shared" ca="1" si="11"/>
        <v>74999977.162506536</v>
      </c>
      <c r="CO25">
        <f t="shared" ca="1" si="11"/>
        <v>74999976.913080618</v>
      </c>
      <c r="CP25">
        <f t="shared" ca="1" si="11"/>
        <v>74999976.663674474</v>
      </c>
      <c r="CQ25">
        <f t="shared" ca="1" si="11"/>
        <v>74999976.414287761</v>
      </c>
      <c r="CR25">
        <f t="shared" ca="1" si="11"/>
        <v>74999976.164920107</v>
      </c>
      <c r="CS25">
        <f t="shared" ca="1" si="11"/>
        <v>74999975.915571183</v>
      </c>
      <c r="CT25">
        <f t="shared" ca="1" si="11"/>
        <v>74999975.666240633</v>
      </c>
      <c r="CU25">
        <f t="shared" ca="1" si="11"/>
        <v>74999975.416928127</v>
      </c>
      <c r="CV25">
        <f t="shared" ca="1" si="11"/>
        <v>74999975.167633325</v>
      </c>
      <c r="CW25" s="9">
        <f t="shared" ca="1" si="11"/>
        <v>74999974.918355897</v>
      </c>
      <c r="CX25">
        <f t="shared" ca="1" si="11"/>
        <v>74999974.669095516</v>
      </c>
      <c r="CY25">
        <f t="shared" ca="1" si="11"/>
        <v>74999974.419851869</v>
      </c>
      <c r="CZ25">
        <f t="shared" ca="1" si="11"/>
        <v>74999974.170624644</v>
      </c>
      <c r="DA25">
        <f t="shared" ca="1" si="11"/>
        <v>74999973.921413541</v>
      </c>
      <c r="DB25">
        <f t="shared" ca="1" si="11"/>
        <v>74999973.672218263</v>
      </c>
      <c r="DC25">
        <f t="shared" ca="1" si="11"/>
        <v>74999973.423038498</v>
      </c>
      <c r="DD25">
        <f t="shared" ca="1" si="11"/>
        <v>74999973.173873961</v>
      </c>
      <c r="DE25">
        <f t="shared" ca="1" si="11"/>
        <v>74999972.92472437</v>
      </c>
      <c r="DF25">
        <f t="shared" ca="1" si="11"/>
        <v>74999972.675589427</v>
      </c>
      <c r="DG25">
        <f t="shared" ca="1" si="11"/>
        <v>74999972.426468864</v>
      </c>
      <c r="DH25">
        <f t="shared" ca="1" si="11"/>
        <v>74999972.177362397</v>
      </c>
      <c r="DI25">
        <f t="shared" ca="1" si="11"/>
        <v>74999971.928269759</v>
      </c>
      <c r="DJ25">
        <f t="shared" ca="1" si="11"/>
        <v>74999971.679190695</v>
      </c>
      <c r="DK25">
        <f t="shared" ca="1" si="11"/>
        <v>74999971.430124938</v>
      </c>
      <c r="DL25">
        <f t="shared" ca="1" si="11"/>
        <v>74999971.18107225</v>
      </c>
      <c r="DM25">
        <f t="shared" ca="1" si="11"/>
        <v>74999970.932032362</v>
      </c>
      <c r="DN25">
        <f t="shared" ca="1" si="11"/>
        <v>74999970.68300502</v>
      </c>
      <c r="DO25">
        <f t="shared" ca="1" si="11"/>
        <v>74999970.433989987</v>
      </c>
      <c r="DP25">
        <f t="shared" ca="1" si="11"/>
        <v>74999970.184987023</v>
      </c>
      <c r="DQ25">
        <f t="shared" ca="1" si="11"/>
        <v>74999969.935995892</v>
      </c>
      <c r="DR25">
        <f t="shared" ca="1" si="11"/>
        <v>74999969.687016368</v>
      </c>
      <c r="DS25">
        <f t="shared" ca="1" si="11"/>
        <v>74999969.438048214</v>
      </c>
      <c r="DT25">
        <f t="shared" ca="1" si="11"/>
        <v>74999969.18909122</v>
      </c>
      <c r="DU25">
        <f t="shared" ca="1" si="11"/>
        <v>74999968.94014518</v>
      </c>
      <c r="DV25">
        <f t="shared" ca="1" si="11"/>
        <v>74999968.691209853</v>
      </c>
      <c r="DW25">
        <f t="shared" ca="1" si="11"/>
        <v>74999968.442285031</v>
      </c>
      <c r="DX25">
        <f t="shared" ca="1" si="11"/>
        <v>74999968.193370506</v>
      </c>
      <c r="DY25">
        <f t="shared" ca="1" si="11"/>
        <v>74999967.944466069</v>
      </c>
      <c r="DZ25">
        <f t="shared" ca="1" si="11"/>
        <v>74999967.695571527</v>
      </c>
      <c r="EA25">
        <f t="shared" ref="EA25:EU30" ca="1" si="16">(DZ$22*$Q12)+(DZ$23*$R12)+(DZ$24*$S12)+(DZ$25*$T12)+(DZ$26*$U12)+(DZ$27*$V12)+(DZ$28*$W12)+(DZ$29*$X12)+(DZ$30*$Y12)</f>
        <v>74999967.44668667</v>
      </c>
      <c r="EB25">
        <f t="shared" ca="1" si="16"/>
        <v>74999967.19781132</v>
      </c>
      <c r="EC25">
        <f t="shared" ca="1" si="16"/>
        <v>74999966.948945269</v>
      </c>
      <c r="ED25">
        <f t="shared" ca="1" si="16"/>
        <v>74999966.700088352</v>
      </c>
      <c r="EE25">
        <f t="shared" ca="1" si="16"/>
        <v>74999966.451240376</v>
      </c>
      <c r="EF25">
        <f t="shared" ca="1" si="16"/>
        <v>74999966.202401146</v>
      </c>
      <c r="EG25">
        <f t="shared" ca="1" si="16"/>
        <v>74999965.9535705</v>
      </c>
      <c r="EH25">
        <f t="shared" ca="1" si="16"/>
        <v>74999965.704748243</v>
      </c>
      <c r="EI25">
        <f t="shared" ca="1" si="16"/>
        <v>74999965.455934212</v>
      </c>
      <c r="EJ25">
        <f t="shared" ca="1" si="16"/>
        <v>74999965.207128242</v>
      </c>
      <c r="EK25">
        <f t="shared" ca="1" si="16"/>
        <v>74999964.958330169</v>
      </c>
      <c r="EL25">
        <f t="shared" ca="1" si="16"/>
        <v>74999964.709539831</v>
      </c>
      <c r="EM25">
        <f t="shared" ca="1" si="16"/>
        <v>74999964.460757062</v>
      </c>
      <c r="EN25">
        <f t="shared" ca="1" si="16"/>
        <v>74999964.211981714</v>
      </c>
      <c r="EO25">
        <f t="shared" ca="1" si="16"/>
        <v>74999963.963213623</v>
      </c>
      <c r="EP25">
        <f t="shared" ca="1" si="16"/>
        <v>74999963.714452624</v>
      </c>
      <c r="EQ25">
        <f t="shared" ca="1" si="16"/>
        <v>74999963.465698585</v>
      </c>
      <c r="ER25">
        <f t="shared" ca="1" si="16"/>
        <v>74999963.216951355</v>
      </c>
      <c r="ES25">
        <f t="shared" ca="1" si="16"/>
        <v>74999962.968210787</v>
      </c>
      <c r="ET25">
        <f t="shared" ca="1" si="16"/>
        <v>74999962.719476745</v>
      </c>
      <c r="EU25" s="9">
        <f t="shared" ca="1" si="16"/>
        <v>74999962.47074908</v>
      </c>
    </row>
    <row r="26" spans="2:151" x14ac:dyDescent="0.25">
      <c r="B26">
        <f t="shared" ca="1" si="13"/>
        <v>59.669391761412207</v>
      </c>
      <c r="C26">
        <f t="shared" ca="1" si="14"/>
        <v>59.269527931153576</v>
      </c>
      <c r="D26">
        <f t="shared" ca="1" si="15"/>
        <v>58.828680013002796</v>
      </c>
      <c r="E26">
        <f t="shared" ca="1" si="15"/>
        <v>58.363904969128484</v>
      </c>
      <c r="F26">
        <f t="shared" ca="1" si="15"/>
        <v>57.885678733029486</v>
      </c>
      <c r="G26">
        <f t="shared" ca="1" si="15"/>
        <v>57.400549438479928</v>
      </c>
      <c r="H26">
        <f t="shared" ca="1" si="15"/>
        <v>56.912678713159337</v>
      </c>
      <c r="I26">
        <f t="shared" ca="1" si="15"/>
        <v>56.424751446079512</v>
      </c>
      <c r="J26">
        <f t="shared" ca="1" si="15"/>
        <v>55.938522100449759</v>
      </c>
      <c r="K26">
        <f t="shared" ca="1" si="15"/>
        <v>55.455148702933116</v>
      </c>
      <c r="L26">
        <f t="shared" ca="1" si="15"/>
        <v>54.975400747438584</v>
      </c>
      <c r="M26">
        <f t="shared" ca="1" si="15"/>
        <v>54.499790908990555</v>
      </c>
      <c r="N26">
        <f t="shared" ca="1" si="15"/>
        <v>54.028659886254601</v>
      </c>
      <c r="O26">
        <f t="shared" ca="1" si="15"/>
        <v>53.562231891549729</v>
      </c>
      <c r="P26">
        <f t="shared" ca="1" si="15"/>
        <v>53.100651442173664</v>
      </c>
      <c r="Q26">
        <f t="shared" ca="1" si="15"/>
        <v>52.644008048623597</v>
      </c>
      <c r="R26">
        <f t="shared" ca="1" si="15"/>
        <v>52.192352954945349</v>
      </c>
      <c r="S26">
        <f t="shared" ca="1" si="15"/>
        <v>51.745710592808358</v>
      </c>
      <c r="T26">
        <f t="shared" ca="1" si="15"/>
        <v>51.304086480392677</v>
      </c>
      <c r="U26">
        <f t="shared" ca="1" si="15"/>
        <v>50.867472707471833</v>
      </c>
      <c r="V26">
        <f t="shared" ca="1" si="15"/>
        <v>50.435851768316155</v>
      </c>
      <c r="W26">
        <f t="shared" ca="1" si="15"/>
        <v>50.009199255890351</v>
      </c>
      <c r="X26">
        <f t="shared" ca="1" si="15"/>
        <v>49.587485766557435</v>
      </c>
      <c r="Y26">
        <f t="shared" ca="1" si="15"/>
        <v>49.170678254545038</v>
      </c>
      <c r="Z26">
        <f t="shared" ca="1" si="15"/>
        <v>48.758741001118956</v>
      </c>
      <c r="AA26">
        <f t="shared" ca="1" si="15"/>
        <v>48.351636312781771</v>
      </c>
      <c r="AB26">
        <f t="shared" ca="1" si="15"/>
        <v>47.949325028089007</v>
      </c>
      <c r="AC26">
        <f t="shared" ca="1" si="15"/>
        <v>47.551766888722241</v>
      </c>
      <c r="AD26">
        <f t="shared" ca="1" si="15"/>
        <v>47.158920813856327</v>
      </c>
      <c r="AE26">
        <f t="shared" ca="1" si="15"/>
        <v>46.770745105303817</v>
      </c>
      <c r="AF26">
        <f t="shared" ca="1" si="15"/>
        <v>46.387197602849653</v>
      </c>
      <c r="AG26">
        <f t="shared" ca="1" si="15"/>
        <v>46.00823580353466</v>
      </c>
      <c r="AH26">
        <f t="shared" ca="1" si="15"/>
        <v>45.633816954672213</v>
      </c>
      <c r="AI26">
        <f t="shared" ca="1" si="15"/>
        <v>45.263898127581747</v>
      </c>
      <c r="AJ26">
        <f t="shared" ca="1" si="15"/>
        <v>44.898436277043011</v>
      </c>
      <c r="AK26">
        <f t="shared" ca="1" si="15"/>
        <v>44.537388290071952</v>
      </c>
      <c r="AL26">
        <f t="shared" ca="1" si="15"/>
        <v>44.180711026621594</v>
      </c>
      <c r="AM26">
        <f t="shared" ca="1" si="15"/>
        <v>43.828361354100046</v>
      </c>
      <c r="AN26">
        <f t="shared" ca="1" si="15"/>
        <v>43.480296177088789</v>
      </c>
      <c r="AO26">
        <f t="shared" ca="1" si="15"/>
        <v>43.136472463279127</v>
      </c>
      <c r="AP26">
        <f t="shared" ca="1" si="15"/>
        <v>42.796847266381221</v>
      </c>
      <c r="AQ26">
        <f t="shared" ca="1" si="15"/>
        <v>42.461377746569518</v>
      </c>
      <c r="AR26">
        <f t="shared" ca="1" si="15"/>
        <v>42.130021188889849</v>
      </c>
      <c r="AS26">
        <f t="shared" ca="1" si="15"/>
        <v>41.802735019952031</v>
      </c>
      <c r="AT26">
        <f t="shared" ca="1" si="15"/>
        <v>41.47947682315759</v>
      </c>
      <c r="AU26">
        <f t="shared" ca="1" si="15"/>
        <v>41.160204352657026</v>
      </c>
      <c r="AV26">
        <f t="shared" ca="1" si="15"/>
        <v>40.84487554619038</v>
      </c>
      <c r="AW26">
        <f t="shared" ca="1" si="15"/>
        <v>40.533448536933939</v>
      </c>
      <c r="AX26">
        <f t="shared" ca="1" si="15"/>
        <v>40.225881664453098</v>
      </c>
      <c r="AY26" s="9">
        <f t="shared" ca="1" si="15"/>
        <v>39.92213348484362</v>
      </c>
      <c r="AZ26">
        <f t="shared" ca="1" si="15"/>
        <v>39.622162780130104</v>
      </c>
      <c r="BA26">
        <f t="shared" ca="1" si="15"/>
        <v>39.325928566980103</v>
      </c>
      <c r="BB26">
        <f t="shared" ca="1" si="15"/>
        <v>39.033390104783997</v>
      </c>
      <c r="BC26">
        <f t="shared" ca="1" si="15"/>
        <v>38.744506903144433</v>
      </c>
      <c r="BD26">
        <f t="shared" ca="1" si="15"/>
        <v>38.459238728813865</v>
      </c>
      <c r="BE26">
        <f t="shared" ca="1" si="15"/>
        <v>38.177545612114571</v>
      </c>
      <c r="BF26">
        <f t="shared" ca="1" si="15"/>
        <v>37.899387852872195</v>
      </c>
      <c r="BG26">
        <f t="shared" ca="1" si="15"/>
        <v>37.624726025890801</v>
      </c>
      <c r="BH26">
        <f t="shared" ca="1" si="15"/>
        <v>37.353520985995388</v>
      </c>
      <c r="BI26">
        <f t="shared" ca="1" si="15"/>
        <v>37.085733872665408</v>
      </c>
      <c r="BJ26">
        <f t="shared" ca="1" si="15"/>
        <v>36.821326114281355</v>
      </c>
      <c r="BK26">
        <f t="shared" ca="1" si="15"/>
        <v>36.560259432004969</v>
      </c>
      <c r="BL26">
        <f t="shared" ca="1" si="15"/>
        <v>36.30249584331208</v>
      </c>
      <c r="BM26">
        <f t="shared" ca="1" si="15"/>
        <v>36.047997665196121</v>
      </c>
      <c r="BN26">
        <f t="shared" ca="1" si="15"/>
        <v>35.796727517059267</v>
      </c>
      <c r="BO26">
        <f t="shared" ca="1" si="15"/>
        <v>35.548648323306999</v>
      </c>
      <c r="BP26">
        <f t="shared" ref="BP26:EA30" ca="1" si="17">(BO$22*$Q13)+(BO$23*$R13)+(BO$24*$S13)+(BO$25*$T13)+(BO$26*$U13)+(BO$27*$V13)+(BO$28*$W13)+(BO$29*$X13)+(BO$30*$Y13)</f>
        <v>35.30372331566133</v>
      </c>
      <c r="BQ26">
        <f t="shared" ca="1" si="17"/>
        <v>35.061916035206913</v>
      </c>
      <c r="BR26">
        <f t="shared" ca="1" si="17"/>
        <v>34.823190334183451</v>
      </c>
      <c r="BS26">
        <f t="shared" ca="1" si="17"/>
        <v>34.587510377537477</v>
      </c>
      <c r="BT26">
        <f t="shared" ca="1" si="17"/>
        <v>34.354840644245499</v>
      </c>
      <c r="BU26">
        <f t="shared" ca="1" si="17"/>
        <v>34.12514592842026</v>
      </c>
      <c r="BV26">
        <f t="shared" ca="1" si="17"/>
        <v>33.898391340211099</v>
      </c>
      <c r="BW26">
        <f t="shared" ca="1" si="17"/>
        <v>33.674542306508968</v>
      </c>
      <c r="BX26">
        <f t="shared" ca="1" si="17"/>
        <v>33.453564571466075</v>
      </c>
      <c r="BY26">
        <f t="shared" ca="1" si="17"/>
        <v>33.235424196839759</v>
      </c>
      <c r="BZ26">
        <f t="shared" ca="1" si="17"/>
        <v>33.020087562169728</v>
      </c>
      <c r="CA26">
        <f t="shared" ca="1" si="17"/>
        <v>32.807521364797239</v>
      </c>
      <c r="CB26">
        <f t="shared" ca="1" si="17"/>
        <v>32.59769261973458</v>
      </c>
      <c r="CC26">
        <f t="shared" ca="1" si="17"/>
        <v>32.390568659392777</v>
      </c>
      <c r="CD26">
        <f t="shared" ca="1" si="17"/>
        <v>32.186117133174989</v>
      </c>
      <c r="CE26">
        <f t="shared" ca="1" si="17"/>
        <v>31.98430600694282</v>
      </c>
      <c r="CF26">
        <f t="shared" ca="1" si="17"/>
        <v>31.785103562362433</v>
      </c>
      <c r="CG26">
        <f t="shared" ca="1" si="17"/>
        <v>31.588478396136992</v>
      </c>
      <c r="CH26">
        <f t="shared" ca="1" si="17"/>
        <v>31.394399419131677</v>
      </c>
      <c r="CI26">
        <f t="shared" ca="1" si="17"/>
        <v>31.20283585539724</v>
      </c>
      <c r="CJ26">
        <f t="shared" ca="1" si="17"/>
        <v>31.013757241097831</v>
      </c>
      <c r="CK26">
        <f t="shared" ca="1" si="17"/>
        <v>30.827133423348482</v>
      </c>
      <c r="CL26">
        <f t="shared" ca="1" si="17"/>
        <v>30.642934558967458</v>
      </c>
      <c r="CM26">
        <f t="shared" ca="1" si="17"/>
        <v>30.461131113148426</v>
      </c>
      <c r="CN26">
        <f t="shared" ca="1" si="17"/>
        <v>30.281693858057178</v>
      </c>
      <c r="CO26">
        <f t="shared" ca="1" si="17"/>
        <v>30.10459387135738</v>
      </c>
      <c r="CP26">
        <f t="shared" ca="1" si="17"/>
        <v>29.92980253466969</v>
      </c>
      <c r="CQ26">
        <f t="shared" ca="1" si="17"/>
        <v>29.757291531968356</v>
      </c>
      <c r="CR26">
        <f t="shared" ca="1" si="17"/>
        <v>29.587032847919158</v>
      </c>
      <c r="CS26">
        <f t="shared" ca="1" si="17"/>
        <v>29.418998766162499</v>
      </c>
      <c r="CT26">
        <f t="shared" ca="1" si="17"/>
        <v>29.253161867545181</v>
      </c>
      <c r="CU26">
        <f t="shared" ca="1" si="17"/>
        <v>29.08949502830427</v>
      </c>
      <c r="CV26">
        <f t="shared" ca="1" si="17"/>
        <v>28.927971418206308</v>
      </c>
      <c r="CW26" s="9">
        <f t="shared" ca="1" si="17"/>
        <v>28.768564498644974</v>
      </c>
      <c r="CX26">
        <f t="shared" ca="1" si="17"/>
        <v>28.611248020700135</v>
      </c>
      <c r="CY26">
        <f t="shared" ca="1" si="17"/>
        <v>28.455996023161113</v>
      </c>
      <c r="CZ26">
        <f t="shared" ca="1" si="17"/>
        <v>28.302782830516868</v>
      </c>
      <c r="DA26">
        <f t="shared" ca="1" si="17"/>
        <v>28.151583050915654</v>
      </c>
      <c r="DB26">
        <f t="shared" ca="1" si="17"/>
        <v>28.002371574096561</v>
      </c>
      <c r="DC26">
        <f t="shared" ca="1" si="17"/>
        <v>27.855123569295348</v>
      </c>
      <c r="DD26">
        <f t="shared" ca="1" si="17"/>
        <v>27.70981448312671</v>
      </c>
      <c r="DE26">
        <f t="shared" ca="1" si="17"/>
        <v>27.566420037445152</v>
      </c>
      <c r="DF26">
        <f t="shared" ca="1" si="17"/>
        <v>27.424916227186451</v>
      </c>
      <c r="DG26">
        <f t="shared" ca="1" si="17"/>
        <v>27.285279318191655</v>
      </c>
      <c r="DH26">
        <f t="shared" ca="1" si="17"/>
        <v>27.147485845015446</v>
      </c>
      <c r="DI26">
        <f t="shared" ca="1" si="17"/>
        <v>27.011512608720601</v>
      </c>
      <c r="DJ26">
        <f t="shared" ca="1" si="17"/>
        <v>26.877336674660221</v>
      </c>
      <c r="DK26">
        <f t="shared" ca="1" si="17"/>
        <v>26.744935370249305</v>
      </c>
      <c r="DL26">
        <f t="shared" ca="1" si="17"/>
        <v>26.614286282727196</v>
      </c>
      <c r="DM26">
        <f t="shared" ca="1" si="17"/>
        <v>26.485367256912301</v>
      </c>
      <c r="DN26">
        <f t="shared" ca="1" si="17"/>
        <v>26.358156392950477</v>
      </c>
      <c r="DO26">
        <f t="shared" ca="1" si="17"/>
        <v>26.232632044058363</v>
      </c>
      <c r="DP26">
        <f t="shared" ca="1" si="17"/>
        <v>26.108772814262906</v>
      </c>
      <c r="DQ26">
        <f t="shared" ca="1" si="17"/>
        <v>25.986557556138237</v>
      </c>
      <c r="DR26">
        <f t="shared" ca="1" si="17"/>
        <v>25.865965368541033</v>
      </c>
      <c r="DS26">
        <f t="shared" ca="1" si="17"/>
        <v>25.746975594345415</v>
      </c>
      <c r="DT26">
        <f t="shared" ca="1" si="17"/>
        <v>25.629567818178383</v>
      </c>
      <c r="DU26">
        <f t="shared" ca="1" si="17"/>
        <v>25.513721864156782</v>
      </c>
      <c r="DV26">
        <f t="shared" ca="1" si="17"/>
        <v>25.399417793626618</v>
      </c>
      <c r="DW26">
        <f t="shared" ca="1" si="17"/>
        <v>25.286635902905708</v>
      </c>
      <c r="DX26">
        <f t="shared" ca="1" si="17"/>
        <v>25.175356721030365</v>
      </c>
      <c r="DY26">
        <f t="shared" ca="1" si="17"/>
        <v>25.065561007506986</v>
      </c>
      <c r="DZ26">
        <f t="shared" ca="1" si="17"/>
        <v>24.9572297500692</v>
      </c>
      <c r="EA26">
        <f t="shared" ca="1" si="17"/>
        <v>24.850344162441338</v>
      </c>
      <c r="EB26">
        <f t="shared" ca="1" si="16"/>
        <v>24.74488568210883</v>
      </c>
      <c r="EC26">
        <f t="shared" ca="1" si="16"/>
        <v>24.640835968096173</v>
      </c>
      <c r="ED26">
        <f t="shared" ca="1" si="16"/>
        <v>24.538176898753076</v>
      </c>
      <c r="EE26">
        <f t="shared" ca="1" si="16"/>
        <v>24.436890569549313</v>
      </c>
      <c r="EF26">
        <f t="shared" ca="1" si="16"/>
        <v>24.336959290878799</v>
      </c>
      <c r="EG26">
        <f t="shared" ca="1" si="16"/>
        <v>24.238365585873435</v>
      </c>
      <c r="EH26">
        <f t="shared" ca="1" si="16"/>
        <v>24.141092188227134</v>
      </c>
      <c r="EI26">
        <f t="shared" ca="1" si="16"/>
        <v>24.045122040030492</v>
      </c>
      <c r="EJ26">
        <f t="shared" ca="1" si="16"/>
        <v>23.950438289616528</v>
      </c>
      <c r="EK26">
        <f t="shared" ca="1" si="16"/>
        <v>23.857024289417861</v>
      </c>
      <c r="EL26">
        <f t="shared" ca="1" si="16"/>
        <v>23.76486359383571</v>
      </c>
      <c r="EM26">
        <f t="shared" ca="1" si="16"/>
        <v>23.673939957121021</v>
      </c>
      <c r="EN26">
        <f t="shared" ca="1" si="16"/>
        <v>23.58423733126812</v>
      </c>
      <c r="EO26">
        <f t="shared" ca="1" si="16"/>
        <v>23.495739863921088</v>
      </c>
      <c r="EP26">
        <f t="shared" ca="1" si="16"/>
        <v>23.408431896293227</v>
      </c>
      <c r="EQ26">
        <f t="shared" ca="1" si="16"/>
        <v>23.322297961099853</v>
      </c>
      <c r="ER26">
        <f t="shared" ca="1" si="16"/>
        <v>23.237322780504609</v>
      </c>
      <c r="ES26">
        <f t="shared" ca="1" si="16"/>
        <v>23.153491264079612</v>
      </c>
      <c r="ET26">
        <f t="shared" ca="1" si="16"/>
        <v>23.070788506779579</v>
      </c>
      <c r="EU26" s="9">
        <f t="shared" ca="1" si="16"/>
        <v>22.989199786930143</v>
      </c>
    </row>
    <row r="27" spans="2:151" x14ac:dyDescent="0.25">
      <c r="B27">
        <f t="shared" ca="1" si="13"/>
        <v>996.35930474934798</v>
      </c>
      <c r="C27">
        <f t="shared" ca="1" si="14"/>
        <v>994.5428941748587</v>
      </c>
      <c r="D27">
        <f t="shared" ca="1" si="15"/>
        <v>993.45385175098579</v>
      </c>
      <c r="E27">
        <f t="shared" ca="1" si="15"/>
        <v>992.7833537267868</v>
      </c>
      <c r="F27">
        <f t="shared" ca="1" si="15"/>
        <v>992.50892226678627</v>
      </c>
      <c r="G27">
        <f t="shared" ca="1" si="15"/>
        <v>992.67787500276984</v>
      </c>
      <c r="H27">
        <f t="shared" ca="1" si="15"/>
        <v>993.32538890664273</v>
      </c>
      <c r="I27">
        <f t="shared" ca="1" si="15"/>
        <v>994.4525202656074</v>
      </c>
      <c r="J27">
        <f t="shared" ca="1" si="15"/>
        <v>996.0282590041985</v>
      </c>
      <c r="K27">
        <f t="shared" ca="1" si="15"/>
        <v>997.99912663389796</v>
      </c>
      <c r="L27">
        <f t="shared" ca="1" si="15"/>
        <v>1000.2993368629423</v>
      </c>
      <c r="M27">
        <f t="shared" ca="1" si="15"/>
        <v>1002.8590203614422</v>
      </c>
      <c r="N27">
        <f t="shared" ca="1" si="15"/>
        <v>1005.6100011087722</v>
      </c>
      <c r="O27">
        <f t="shared" ca="1" si="15"/>
        <v>1008.4893946189964</v>
      </c>
      <c r="P27">
        <f t="shared" ca="1" si="15"/>
        <v>1011.4415284014439</v>
      </c>
      <c r="Q27">
        <f t="shared" ca="1" si="15"/>
        <v>1014.4186813798922</v>
      </c>
      <c r="R27">
        <f t="shared" ca="1" si="15"/>
        <v>1017.3810525923573</v>
      </c>
      <c r="S27">
        <f t="shared" ca="1" si="15"/>
        <v>1020.296267475469</v>
      </c>
      <c r="T27">
        <f t="shared" ca="1" si="15"/>
        <v>1023.1386390153031</v>
      </c>
      <c r="U27">
        <f t="shared" ca="1" si="15"/>
        <v>1025.8883288952889</v>
      </c>
      <c r="V27">
        <f t="shared" ca="1" si="15"/>
        <v>1028.5305003719345</v>
      </c>
      <c r="W27">
        <f t="shared" ca="1" si="15"/>
        <v>1031.0545169580944</v>
      </c>
      <c r="X27">
        <f t="shared" ca="1" si="15"/>
        <v>1033.4532155014199</v>
      </c>
      <c r="Y27">
        <f t="shared" ca="1" si="15"/>
        <v>1035.7222656605929</v>
      </c>
      <c r="Z27">
        <f t="shared" ca="1" si="15"/>
        <v>1037.8596174771806</v>
      </c>
      <c r="AA27">
        <f t="shared" ca="1" si="15"/>
        <v>1039.8650327253233</v>
      </c>
      <c r="AB27">
        <f t="shared" ca="1" si="15"/>
        <v>1041.739692547286</v>
      </c>
      <c r="AC27">
        <f t="shared" ca="1" si="15"/>
        <v>1043.4858725296344</v>
      </c>
      <c r="AD27">
        <f t="shared" ca="1" si="15"/>
        <v>1045.1066761413642</v>
      </c>
      <c r="AE27">
        <f t="shared" ca="1" si="15"/>
        <v>1046.6058178715687</v>
      </c>
      <c r="AF27">
        <f t="shared" ca="1" si="15"/>
        <v>1047.9874481627432</v>
      </c>
      <c r="AG27">
        <f t="shared" ca="1" si="15"/>
        <v>1049.2560131414414</v>
      </c>
      <c r="AH27">
        <f t="shared" ca="1" si="15"/>
        <v>1050.416143081467</v>
      </c>
      <c r="AI27">
        <f t="shared" ca="1" si="15"/>
        <v>1051.4725644272369</v>
      </c>
      <c r="AJ27">
        <f t="shared" ca="1" si="15"/>
        <v>1052.4300310201418</v>
      </c>
      <c r="AK27">
        <f t="shared" ca="1" si="15"/>
        <v>1053.2932708930466</v>
      </c>
      <c r="AL27">
        <f t="shared" ca="1" si="15"/>
        <v>1054.0669456244041</v>
      </c>
      <c r="AM27">
        <f t="shared" ca="1" si="15"/>
        <v>1054.7556197779261</v>
      </c>
      <c r="AN27">
        <f t="shared" ca="1" si="15"/>
        <v>1055.36373840428</v>
      </c>
      <c r="AO27">
        <f t="shared" ca="1" si="15"/>
        <v>1055.895610957383</v>
      </c>
      <c r="AP27">
        <f t="shared" ca="1" si="15"/>
        <v>1056.35540028945</v>
      </c>
      <c r="AQ27">
        <f t="shared" ca="1" si="15"/>
        <v>1056.7471156454437</v>
      </c>
      <c r="AR27">
        <f t="shared" ca="1" si="15"/>
        <v>1057.074608787643</v>
      </c>
      <c r="AS27">
        <f t="shared" ca="1" si="15"/>
        <v>1057.3415725523275</v>
      </c>
      <c r="AT27">
        <f t="shared" ca="1" si="15"/>
        <v>1057.5515412797363</v>
      </c>
      <c r="AU27">
        <f t="shared" ca="1" si="15"/>
        <v>1057.7078926711456</v>
      </c>
      <c r="AV27">
        <f t="shared" ca="1" si="15"/>
        <v>1057.8138507179285</v>
      </c>
      <c r="AW27">
        <f t="shared" ca="1" si="15"/>
        <v>1057.872489420776</v>
      </c>
      <c r="AX27">
        <f t="shared" ca="1" si="15"/>
        <v>1057.8867370762036</v>
      </c>
      <c r="AY27" s="9">
        <f t="shared" ca="1" si="15"/>
        <v>1057.8593809547515</v>
      </c>
      <c r="AZ27">
        <f t="shared" ca="1" si="15"/>
        <v>1057.7930722331485</v>
      </c>
      <c r="BA27">
        <f t="shared" ca="1" si="15"/>
        <v>1057.6903310729679</v>
      </c>
      <c r="BB27">
        <f t="shared" ca="1" si="15"/>
        <v>1057.5535517624478</v>
      </c>
      <c r="BC27">
        <f t="shared" ca="1" si="15"/>
        <v>1057.3850078573644</v>
      </c>
      <c r="BD27">
        <f t="shared" ca="1" si="15"/>
        <v>1057.1868572721271</v>
      </c>
      <c r="BE27">
        <f t="shared" ca="1" si="15"/>
        <v>1056.9611472843724</v>
      </c>
      <c r="BF27">
        <f t="shared" ca="1" si="15"/>
        <v>1056.7098194259161</v>
      </c>
      <c r="BG27">
        <f t="shared" ca="1" si="15"/>
        <v>1056.4347142404802</v>
      </c>
      <c r="BH27">
        <f t="shared" ca="1" si="15"/>
        <v>1056.137575894551</v>
      </c>
      <c r="BI27">
        <f t="shared" ca="1" si="15"/>
        <v>1055.8200566323833</v>
      </c>
      <c r="BJ27">
        <f t="shared" ca="1" si="15"/>
        <v>1055.4837210697883</v>
      </c>
      <c r="BK27">
        <f t="shared" ca="1" si="15"/>
        <v>1055.1300503241573</v>
      </c>
      <c r="BL27">
        <f t="shared" ca="1" si="15"/>
        <v>1054.7604459803401</v>
      </c>
      <c r="BM27">
        <f t="shared" ca="1" si="15"/>
        <v>1054.3762338936406</v>
      </c>
      <c r="BN27">
        <f t="shared" ca="1" si="15"/>
        <v>1053.9786678324406</v>
      </c>
      <c r="BO27">
        <f t="shared" ref="BO27:DZ30" ca="1" si="18">(BN$22*$Q14)+(BN$23*$R14)+(BN$24*$S14)+(BN$25*$T14)+(BN$26*$U14)+(BN$27*$V14)+(BN$28*$W14)+(BN$29*$X14)+(BN$30*$Y14)</f>
        <v>1053.5689329638842</v>
      </c>
      <c r="BP27">
        <f t="shared" ca="1" si="18"/>
        <v>1053.148149186721</v>
      </c>
      <c r="BQ27">
        <f t="shared" ca="1" si="18"/>
        <v>1052.7173743158783</v>
      </c>
      <c r="BR27">
        <f t="shared" ca="1" si="18"/>
        <v>1052.2776071236462</v>
      </c>
      <c r="BS27">
        <f t="shared" ca="1" si="18"/>
        <v>1051.8297902425511</v>
      </c>
      <c r="BT27">
        <f t="shared" ca="1" si="18"/>
        <v>1051.3748129350918</v>
      </c>
      <c r="BU27">
        <f t="shared" ca="1" si="18"/>
        <v>1050.9135137355379</v>
      </c>
      <c r="BV27">
        <f t="shared" ca="1" si="18"/>
        <v>1050.4466829689625</v>
      </c>
      <c r="BW27">
        <f t="shared" ca="1" si="18"/>
        <v>1049.975065152604</v>
      </c>
      <c r="BX27">
        <f t="shared" ca="1" si="18"/>
        <v>1049.4993612845583</v>
      </c>
      <c r="BY27">
        <f t="shared" ca="1" si="18"/>
        <v>1049.0202310246671</v>
      </c>
      <c r="BZ27">
        <f t="shared" ca="1" si="18"/>
        <v>1048.5382947723356</v>
      </c>
      <c r="CA27">
        <f t="shared" ca="1" si="18"/>
        <v>1048.0541356458543</v>
      </c>
      <c r="CB27">
        <f t="shared" ca="1" si="18"/>
        <v>1047.5683013676437</v>
      </c>
      <c r="CC27">
        <f t="shared" ca="1" si="18"/>
        <v>1047.0813060596768</v>
      </c>
      <c r="CD27">
        <f t="shared" ca="1" si="18"/>
        <v>1046.5936319531716</v>
      </c>
      <c r="CE27">
        <f t="shared" ca="1" si="18"/>
        <v>1046.1057310164804</v>
      </c>
      <c r="CF27">
        <f t="shared" ca="1" si="18"/>
        <v>1045.6180265049422</v>
      </c>
      <c r="CG27">
        <f t="shared" ca="1" si="18"/>
        <v>1045.1309144363061</v>
      </c>
      <c r="CH27">
        <f t="shared" ca="1" si="18"/>
        <v>1044.6447649951797</v>
      </c>
      <c r="CI27">
        <f t="shared" ca="1" si="18"/>
        <v>1044.1599238698047</v>
      </c>
      <c r="CJ27">
        <f t="shared" ca="1" si="18"/>
        <v>1043.6767135243185</v>
      </c>
      <c r="CK27">
        <f t="shared" ca="1" si="18"/>
        <v>1043.1954344095168</v>
      </c>
      <c r="CL27">
        <f t="shared" ca="1" si="18"/>
        <v>1042.7163661150007</v>
      </c>
      <c r="CM27">
        <f t="shared" ca="1" si="18"/>
        <v>1042.2397684654593</v>
      </c>
      <c r="CN27">
        <f t="shared" ca="1" si="18"/>
        <v>1041.7658825637131</v>
      </c>
      <c r="CO27">
        <f t="shared" ca="1" si="18"/>
        <v>1041.2949317830262</v>
      </c>
      <c r="CP27">
        <f t="shared" ca="1" si="18"/>
        <v>1040.8271227110754</v>
      </c>
      <c r="CQ27">
        <f t="shared" ca="1" si="18"/>
        <v>1040.3626460478622</v>
      </c>
      <c r="CR27">
        <f t="shared" ca="1" si="18"/>
        <v>1039.9016774597385</v>
      </c>
      <c r="CS27">
        <f t="shared" ca="1" si="18"/>
        <v>1039.4443783916242</v>
      </c>
      <c r="CT27">
        <f t="shared" ca="1" si="18"/>
        <v>1038.9908968393959</v>
      </c>
      <c r="CU27">
        <f t="shared" ca="1" si="18"/>
        <v>1038.5413680843299</v>
      </c>
      <c r="CV27">
        <f t="shared" ca="1" si="18"/>
        <v>1038.0959153914041</v>
      </c>
      <c r="CW27" s="9">
        <f t="shared" ca="1" si="18"/>
        <v>1037.6546506731686</v>
      </c>
      <c r="CX27">
        <f t="shared" ca="1" si="18"/>
        <v>1037.2176751208242</v>
      </c>
      <c r="CY27">
        <f t="shared" ca="1" si="18"/>
        <v>1036.7850798040654</v>
      </c>
      <c r="CZ27">
        <f t="shared" ca="1" si="18"/>
        <v>1036.3569462411751</v>
      </c>
      <c r="DA27">
        <f t="shared" ca="1" si="18"/>
        <v>1035.9333469407866</v>
      </c>
      <c r="DB27">
        <f t="shared" ca="1" si="18"/>
        <v>1035.5143459166632</v>
      </c>
      <c r="DC27">
        <f t="shared" ca="1" si="18"/>
        <v>1035.0999991767824</v>
      </c>
      <c r="DD27">
        <f t="shared" ca="1" si="18"/>
        <v>1034.6903551879523</v>
      </c>
      <c r="DE27">
        <f t="shared" ca="1" si="18"/>
        <v>1034.2854553171269</v>
      </c>
      <c r="DF27">
        <f t="shared" ca="1" si="18"/>
        <v>1033.8853342505363</v>
      </c>
      <c r="DG27">
        <f t="shared" ca="1" si="18"/>
        <v>1033.4900203916932</v>
      </c>
      <c r="DH27">
        <f t="shared" ca="1" si="18"/>
        <v>1033.0995362392873</v>
      </c>
      <c r="DI27">
        <f t="shared" ca="1" si="18"/>
        <v>1032.7138987459332</v>
      </c>
      <c r="DJ27">
        <f t="shared" ca="1" si="18"/>
        <v>1032.333119658688</v>
      </c>
      <c r="DK27">
        <f t="shared" ca="1" si="18"/>
        <v>1031.9572058422186</v>
      </c>
      <c r="DL27">
        <f t="shared" ca="1" si="18"/>
        <v>1031.5861595854496</v>
      </c>
      <c r="DM27">
        <f t="shared" ca="1" si="18"/>
        <v>1031.2199788924893</v>
      </c>
      <c r="DN27">
        <f t="shared" ca="1" si="18"/>
        <v>1030.8586577585907</v>
      </c>
      <c r="DO27">
        <f t="shared" ca="1" si="18"/>
        <v>1030.5021864318696</v>
      </c>
      <c r="DP27">
        <f t="shared" ca="1" si="18"/>
        <v>1030.1505516614691</v>
      </c>
      <c r="DQ27">
        <f t="shared" ca="1" si="18"/>
        <v>1029.803736932824</v>
      </c>
      <c r="DR27">
        <f t="shared" ca="1" si="18"/>
        <v>1029.4617226906519</v>
      </c>
      <c r="DS27">
        <f t="shared" ca="1" si="18"/>
        <v>1029.1244865502654</v>
      </c>
      <c r="DT27">
        <f t="shared" ca="1" si="18"/>
        <v>1028.792003497771</v>
      </c>
      <c r="DU27">
        <f t="shared" ca="1" si="18"/>
        <v>1028.4642460796988</v>
      </c>
      <c r="DV27">
        <f t="shared" ca="1" si="18"/>
        <v>1028.1411845825724</v>
      </c>
      <c r="DW27">
        <f t="shared" ca="1" si="18"/>
        <v>1027.8227872029147</v>
      </c>
      <c r="DX27">
        <f t="shared" ca="1" si="18"/>
        <v>1027.5090202081535</v>
      </c>
      <c r="DY27">
        <f t="shared" ca="1" si="18"/>
        <v>1027.1998480888717</v>
      </c>
      <c r="DZ27">
        <f t="shared" ca="1" si="18"/>
        <v>1026.8952337028295</v>
      </c>
      <c r="EA27">
        <f t="shared" ca="1" si="17"/>
        <v>1026.5951384111572</v>
      </c>
      <c r="EB27">
        <f t="shared" ca="1" si="16"/>
        <v>1026.299522207109</v>
      </c>
      <c r="EC27">
        <f t="shared" ca="1" si="16"/>
        <v>1026.0083438377392</v>
      </c>
      <c r="ED27">
        <f t="shared" ca="1" si="16"/>
        <v>1025.7215609188529</v>
      </c>
      <c r="EE27">
        <f t="shared" ca="1" si="16"/>
        <v>1025.439130043563</v>
      </c>
      <c r="EF27">
        <f t="shared" ca="1" si="16"/>
        <v>1025.1610068847688</v>
      </c>
      <c r="EG27">
        <f t="shared" ca="1" si="16"/>
        <v>1024.8871462918596</v>
      </c>
      <c r="EH27">
        <f t="shared" ca="1" si="16"/>
        <v>1024.6175023819296</v>
      </c>
      <c r="EI27">
        <f t="shared" ca="1" si="16"/>
        <v>1024.3520286257765</v>
      </c>
      <c r="EJ27">
        <f t="shared" ca="1" si="16"/>
        <v>1024.0906779289462</v>
      </c>
      <c r="EK27">
        <f t="shared" ca="1" si="16"/>
        <v>1023.833402708071</v>
      </c>
      <c r="EL27">
        <f t="shared" ca="1" si="16"/>
        <v>1023.5801549627361</v>
      </c>
      <c r="EM27">
        <f t="shared" ca="1" si="16"/>
        <v>1023.3308863431006</v>
      </c>
      <c r="EN27">
        <f t="shared" ca="1" si="16"/>
        <v>1023.0855482134866</v>
      </c>
      <c r="EO27">
        <f t="shared" ca="1" si="16"/>
        <v>1022.8440917121411</v>
      </c>
      <c r="EP27">
        <f t="shared" ca="1" si="16"/>
        <v>1022.6064678073624</v>
      </c>
      <c r="EQ27">
        <f t="shared" ca="1" si="16"/>
        <v>1022.3726273501788</v>
      </c>
      <c r="ER27">
        <f t="shared" ca="1" si="16"/>
        <v>1022.1425211237531</v>
      </c>
      <c r="ES27">
        <f t="shared" ca="1" si="16"/>
        <v>1021.9160998896808</v>
      </c>
      <c r="ET27">
        <f t="shared" ca="1" si="16"/>
        <v>1021.6933144313427</v>
      </c>
      <c r="EU27" s="9">
        <f t="shared" ca="1" si="16"/>
        <v>1021.4741155944613</v>
      </c>
    </row>
    <row r="28" spans="2:151" x14ac:dyDescent="0.25">
      <c r="B28">
        <f t="shared" ca="1" si="13"/>
        <v>4130.4821667244687</v>
      </c>
      <c r="C28">
        <f t="shared" ca="1" si="14"/>
        <v>4130.964332576099</v>
      </c>
      <c r="D28">
        <f t="shared" ref="D28:BO30" ca="1" si="19">(C$22*$Q15)+(C$23*$R15)+(C$24*$S15)+(C$25*$T15)+(C$26*$U15)+(C$27*$V15)+(C$28*$W15)+(C$29*$X15)+(C$30*$Y15)</f>
        <v>4131.4464977731222</v>
      </c>
      <c r="E28">
        <f t="shared" ca="1" si="19"/>
        <v>4131.9286624740589</v>
      </c>
      <c r="F28">
        <f t="shared" ca="1" si="19"/>
        <v>4132.4108267955771</v>
      </c>
      <c r="G28">
        <f t="shared" ca="1" si="19"/>
        <v>4132.8929908244982</v>
      </c>
      <c r="H28">
        <f t="shared" ca="1" si="19"/>
        <v>4133.3751546260373</v>
      </c>
      <c r="I28">
        <f t="shared" ca="1" si="19"/>
        <v>4133.8573182495747</v>
      </c>
      <c r="J28">
        <f t="shared" ca="1" si="19"/>
        <v>4134.3394817327562</v>
      </c>
      <c r="K28">
        <f t="shared" ca="1" si="19"/>
        <v>4134.8216451044545</v>
      </c>
      <c r="L28">
        <f t="shared" ca="1" si="19"/>
        <v>4135.3038083869324</v>
      </c>
      <c r="M28">
        <f t="shared" ca="1" si="19"/>
        <v>4135.7859715974355</v>
      </c>
      <c r="N28">
        <f t="shared" ca="1" si="19"/>
        <v>4136.2681347493844</v>
      </c>
      <c r="O28">
        <f t="shared" ca="1" si="19"/>
        <v>4136.7502978532657</v>
      </c>
      <c r="P28">
        <f t="shared" ca="1" si="19"/>
        <v>4137.2324609173038</v>
      </c>
      <c r="Q28">
        <f t="shared" ca="1" si="19"/>
        <v>4137.7146239479744</v>
      </c>
      <c r="R28">
        <f t="shared" ca="1" si="19"/>
        <v>4138.1967869503951</v>
      </c>
      <c r="S28">
        <f t="shared" ca="1" si="19"/>
        <v>4138.6789499286269</v>
      </c>
      <c r="T28">
        <f t="shared" ca="1" si="19"/>
        <v>4139.161112885904</v>
      </c>
      <c r="U28">
        <f t="shared" ca="1" si="19"/>
        <v>4139.6432758248138</v>
      </c>
      <c r="V28">
        <f t="shared" ca="1" si="19"/>
        <v>4140.1254387474355</v>
      </c>
      <c r="W28">
        <f t="shared" ca="1" si="19"/>
        <v>4140.6076016554462</v>
      </c>
      <c r="X28">
        <f t="shared" ca="1" si="19"/>
        <v>4141.0897645502082</v>
      </c>
      <c r="Y28">
        <f t="shared" ca="1" si="19"/>
        <v>4141.571927432833</v>
      </c>
      <c r="Z28">
        <f t="shared" ca="1" si="19"/>
        <v>4142.0540903042338</v>
      </c>
      <c r="AA28">
        <f t="shared" ca="1" si="19"/>
        <v>4142.5362531651672</v>
      </c>
      <c r="AB28">
        <f t="shared" ca="1" si="19"/>
        <v>4143.0184160162635</v>
      </c>
      <c r="AC28">
        <f t="shared" ca="1" si="19"/>
        <v>4143.500578858052</v>
      </c>
      <c r="AD28">
        <f t="shared" ca="1" si="19"/>
        <v>4143.9827416909829</v>
      </c>
      <c r="AE28">
        <f t="shared" ca="1" si="19"/>
        <v>4144.464904515442</v>
      </c>
      <c r="AF28">
        <f t="shared" ca="1" si="19"/>
        <v>4144.9470673317601</v>
      </c>
      <c r="AG28">
        <f t="shared" ca="1" si="19"/>
        <v>4145.4292301402293</v>
      </c>
      <c r="AH28">
        <f t="shared" ca="1" si="19"/>
        <v>4145.911392941106</v>
      </c>
      <c r="AI28">
        <f t="shared" ca="1" si="19"/>
        <v>4146.3935557346185</v>
      </c>
      <c r="AJ28">
        <f t="shared" ca="1" si="19"/>
        <v>4146.8757185209734</v>
      </c>
      <c r="AK28">
        <f t="shared" ca="1" si="19"/>
        <v>4147.3578813003569</v>
      </c>
      <c r="AL28">
        <f t="shared" ca="1" si="19"/>
        <v>4147.8400440729401</v>
      </c>
      <c r="AM28">
        <f t="shared" ca="1" si="19"/>
        <v>4148.3222068388814</v>
      </c>
      <c r="AN28">
        <f t="shared" ca="1" si="19"/>
        <v>4148.804369598327</v>
      </c>
      <c r="AO28">
        <f t="shared" ca="1" si="19"/>
        <v>4149.2865323514143</v>
      </c>
      <c r="AP28">
        <f t="shared" ca="1" si="19"/>
        <v>4149.7686950982734</v>
      </c>
      <c r="AQ28">
        <f t="shared" ca="1" si="19"/>
        <v>4150.2508578390261</v>
      </c>
      <c r="AR28">
        <f t="shared" ca="1" si="19"/>
        <v>4150.733020573789</v>
      </c>
      <c r="AS28">
        <f t="shared" ca="1" si="19"/>
        <v>4151.2151833026728</v>
      </c>
      <c r="AT28">
        <f t="shared" ca="1" si="19"/>
        <v>4151.6973460257841</v>
      </c>
      <c r="AU28">
        <f t="shared" ca="1" si="19"/>
        <v>4152.1795087432238</v>
      </c>
      <c r="AV28">
        <f t="shared" ca="1" si="19"/>
        <v>4152.661671455091</v>
      </c>
      <c r="AW28">
        <f t="shared" ca="1" si="19"/>
        <v>4153.1438341614803</v>
      </c>
      <c r="AX28">
        <f t="shared" ca="1" si="19"/>
        <v>4153.6259968624809</v>
      </c>
      <c r="AY28" s="9">
        <f t="shared" ca="1" si="19"/>
        <v>4154.1081595581827</v>
      </c>
      <c r="AZ28">
        <f t="shared" ca="1" si="19"/>
        <v>4154.5903222486704</v>
      </c>
      <c r="BA28">
        <f t="shared" ca="1" si="19"/>
        <v>4155.0724849340268</v>
      </c>
      <c r="BB28">
        <f t="shared" ca="1" si="19"/>
        <v>4155.5546476143318</v>
      </c>
      <c r="BC28">
        <f t="shared" ca="1" si="19"/>
        <v>4156.0368102896646</v>
      </c>
      <c r="BD28">
        <f t="shared" ca="1" si="19"/>
        <v>4156.5189729600988</v>
      </c>
      <c r="BE28">
        <f t="shared" ca="1" si="19"/>
        <v>4157.0011356257082</v>
      </c>
      <c r="BF28">
        <f t="shared" ca="1" si="19"/>
        <v>4157.4832982865646</v>
      </c>
      <c r="BG28">
        <f t="shared" ca="1" si="19"/>
        <v>4157.965460942738</v>
      </c>
      <c r="BH28">
        <f t="shared" ca="1" si="19"/>
        <v>4158.4476235942957</v>
      </c>
      <c r="BI28">
        <f t="shared" ca="1" si="19"/>
        <v>4158.9297862413032</v>
      </c>
      <c r="BJ28">
        <f t="shared" ca="1" si="19"/>
        <v>4159.4119488838251</v>
      </c>
      <c r="BK28">
        <f t="shared" ca="1" si="19"/>
        <v>4159.8941115219232</v>
      </c>
      <c r="BL28">
        <f t="shared" ca="1" si="19"/>
        <v>4160.3762741556584</v>
      </c>
      <c r="BM28">
        <f t="shared" ca="1" si="19"/>
        <v>4160.8584367850899</v>
      </c>
      <c r="BN28">
        <f t="shared" ca="1" si="19"/>
        <v>4161.3405994102759</v>
      </c>
      <c r="BO28">
        <f t="shared" ca="1" si="19"/>
        <v>4161.8227620312728</v>
      </c>
      <c r="BP28">
        <f t="shared" ca="1" si="18"/>
        <v>4162.3049246481341</v>
      </c>
      <c r="BQ28">
        <f t="shared" ca="1" si="18"/>
        <v>4162.7870872609155</v>
      </c>
      <c r="BR28">
        <f t="shared" ca="1" si="18"/>
        <v>4163.2692498696679</v>
      </c>
      <c r="BS28">
        <f t="shared" ca="1" si="18"/>
        <v>4163.7514124744421</v>
      </c>
      <c r="BT28">
        <f t="shared" ca="1" si="18"/>
        <v>4164.2335750752882</v>
      </c>
      <c r="BU28">
        <f t="shared" ca="1" si="18"/>
        <v>4164.7157376722553</v>
      </c>
      <c r="BV28">
        <f t="shared" ca="1" si="18"/>
        <v>4165.1979002653898</v>
      </c>
      <c r="BW28">
        <f t="shared" ca="1" si="18"/>
        <v>4165.680062854738</v>
      </c>
      <c r="BX28">
        <f t="shared" ca="1" si="18"/>
        <v>4166.1622254403455</v>
      </c>
      <c r="BY28">
        <f t="shared" ca="1" si="18"/>
        <v>4166.6443880222569</v>
      </c>
      <c r="BZ28">
        <f t="shared" ca="1" si="18"/>
        <v>4167.1265506005138</v>
      </c>
      <c r="CA28">
        <f t="shared" ca="1" si="18"/>
        <v>4167.6087131751601</v>
      </c>
      <c r="CB28">
        <f t="shared" ca="1" si="18"/>
        <v>4168.0908757462348</v>
      </c>
      <c r="CC28">
        <f t="shared" ca="1" si="18"/>
        <v>4168.5730383137789</v>
      </c>
      <c r="CD28">
        <f t="shared" ca="1" si="18"/>
        <v>4169.0552008778322</v>
      </c>
      <c r="CE28">
        <f t="shared" ca="1" si="18"/>
        <v>4169.5373634384323</v>
      </c>
      <c r="CF28">
        <f t="shared" ca="1" si="18"/>
        <v>4170.0195259956172</v>
      </c>
      <c r="CG28">
        <f t="shared" ca="1" si="18"/>
        <v>4170.5016885494224</v>
      </c>
      <c r="CH28">
        <f t="shared" ca="1" si="18"/>
        <v>4170.9838510998852</v>
      </c>
      <c r="CI28">
        <f t="shared" ca="1" si="18"/>
        <v>4171.4660136470393</v>
      </c>
      <c r="CJ28">
        <f t="shared" ca="1" si="18"/>
        <v>4171.9481761909192</v>
      </c>
      <c r="CK28">
        <f t="shared" ca="1" si="18"/>
        <v>4172.4303387315585</v>
      </c>
      <c r="CL28">
        <f t="shared" ca="1" si="18"/>
        <v>4172.9125012689892</v>
      </c>
      <c r="CM28">
        <f t="shared" ca="1" si="18"/>
        <v>4173.3946638032448</v>
      </c>
      <c r="CN28">
        <f t="shared" ca="1" si="18"/>
        <v>4173.8768263343554</v>
      </c>
      <c r="CO28">
        <f t="shared" ca="1" si="18"/>
        <v>4174.358988862351</v>
      </c>
      <c r="CP28">
        <f t="shared" ca="1" si="18"/>
        <v>4174.8411513872625</v>
      </c>
      <c r="CQ28">
        <f t="shared" ca="1" si="18"/>
        <v>4175.323313909119</v>
      </c>
      <c r="CR28">
        <f t="shared" ca="1" si="18"/>
        <v>4175.8054764279495</v>
      </c>
      <c r="CS28">
        <f t="shared" ca="1" si="18"/>
        <v>4176.2876389437815</v>
      </c>
      <c r="CT28">
        <f t="shared" ca="1" si="18"/>
        <v>4176.7698014566422</v>
      </c>
      <c r="CU28">
        <f t="shared" ca="1" si="18"/>
        <v>4177.2519639665588</v>
      </c>
      <c r="CV28">
        <f t="shared" ca="1" si="18"/>
        <v>4177.7341264735578</v>
      </c>
      <c r="CW28" s="9">
        <f t="shared" ca="1" si="18"/>
        <v>4178.2162889776637</v>
      </c>
      <c r="CX28">
        <f t="shared" ca="1" si="18"/>
        <v>4178.6984514789019</v>
      </c>
      <c r="CY28">
        <f t="shared" ca="1" si="18"/>
        <v>4179.1806139772989</v>
      </c>
      <c r="CZ28">
        <f t="shared" ca="1" si="18"/>
        <v>4179.6627764728764</v>
      </c>
      <c r="DA28">
        <f t="shared" ca="1" si="18"/>
        <v>4180.1449389656591</v>
      </c>
      <c r="DB28">
        <f t="shared" ca="1" si="18"/>
        <v>4180.6271014556696</v>
      </c>
      <c r="DC28">
        <f t="shared" ca="1" si="18"/>
        <v>4181.1092639429316</v>
      </c>
      <c r="DD28">
        <f t="shared" ca="1" si="18"/>
        <v>4181.5914264274661</v>
      </c>
      <c r="DE28">
        <f t="shared" ca="1" si="18"/>
        <v>4182.0735889092948</v>
      </c>
      <c r="DF28">
        <f t="shared" ca="1" si="18"/>
        <v>4182.5557513884396</v>
      </c>
      <c r="DG28">
        <f t="shared" ca="1" si="18"/>
        <v>4183.0379138649214</v>
      </c>
      <c r="DH28">
        <f t="shared" ca="1" si="18"/>
        <v>4183.5200763387602</v>
      </c>
      <c r="DI28">
        <f t="shared" ca="1" si="18"/>
        <v>4184.002238809976</v>
      </c>
      <c r="DJ28">
        <f t="shared" ca="1" si="18"/>
        <v>4184.4844012785888</v>
      </c>
      <c r="DK28">
        <f t="shared" ca="1" si="18"/>
        <v>4184.9665637446169</v>
      </c>
      <c r="DL28">
        <f t="shared" ca="1" si="18"/>
        <v>4185.4487262080793</v>
      </c>
      <c r="DM28">
        <f t="shared" ca="1" si="18"/>
        <v>4185.9308886689942</v>
      </c>
      <c r="DN28">
        <f t="shared" ca="1" si="18"/>
        <v>4186.4130511273806</v>
      </c>
      <c r="DO28">
        <f t="shared" ca="1" si="18"/>
        <v>4186.895213583256</v>
      </c>
      <c r="DP28">
        <f t="shared" ca="1" si="18"/>
        <v>4187.3773760366357</v>
      </c>
      <c r="DQ28">
        <f t="shared" ca="1" si="18"/>
        <v>4187.8595384875389</v>
      </c>
      <c r="DR28">
        <f t="shared" ca="1" si="18"/>
        <v>4188.341700935981</v>
      </c>
      <c r="DS28">
        <f t="shared" ca="1" si="18"/>
        <v>4188.8238633819792</v>
      </c>
      <c r="DT28">
        <f t="shared" ca="1" si="18"/>
        <v>4189.3060258255491</v>
      </c>
      <c r="DU28">
        <f t="shared" ca="1" si="18"/>
        <v>4189.7881882667061</v>
      </c>
      <c r="DV28">
        <f t="shared" ca="1" si="18"/>
        <v>4190.2703507054657</v>
      </c>
      <c r="DW28">
        <f t="shared" ca="1" si="18"/>
        <v>4190.7525131418424</v>
      </c>
      <c r="DX28">
        <f t="shared" ca="1" si="18"/>
        <v>4191.2346755758517</v>
      </c>
      <c r="DY28">
        <f t="shared" ca="1" si="18"/>
        <v>4191.7168380075072</v>
      </c>
      <c r="DZ28">
        <f t="shared" ca="1" si="18"/>
        <v>4192.1990004368236</v>
      </c>
      <c r="EA28">
        <f t="shared" ca="1" si="17"/>
        <v>4192.6811628638152</v>
      </c>
      <c r="EB28">
        <f t="shared" ca="1" si="16"/>
        <v>4193.1633252884949</v>
      </c>
      <c r="EC28">
        <f t="shared" ca="1" si="16"/>
        <v>4193.6454877108763</v>
      </c>
      <c r="ED28">
        <f t="shared" ca="1" si="16"/>
        <v>4194.1276501309721</v>
      </c>
      <c r="EE28">
        <f t="shared" ca="1" si="16"/>
        <v>4194.6098125487961</v>
      </c>
      <c r="EF28">
        <f t="shared" ca="1" si="16"/>
        <v>4195.0919749643599</v>
      </c>
      <c r="EG28">
        <f t="shared" ca="1" si="16"/>
        <v>4195.5741373776755</v>
      </c>
      <c r="EH28">
        <f t="shared" ca="1" si="16"/>
        <v>4196.0562997887555</v>
      </c>
      <c r="EI28">
        <f t="shared" ca="1" si="16"/>
        <v>4196.5384621976118</v>
      </c>
      <c r="EJ28">
        <f t="shared" ca="1" si="16"/>
        <v>4197.0206246042571</v>
      </c>
      <c r="EK28">
        <f t="shared" ca="1" si="16"/>
        <v>4197.5027870087015</v>
      </c>
      <c r="EL28">
        <f t="shared" ca="1" si="16"/>
        <v>4197.9849494109558</v>
      </c>
      <c r="EM28">
        <f t="shared" ca="1" si="16"/>
        <v>4198.4671118110318</v>
      </c>
      <c r="EN28">
        <f t="shared" ca="1" si="16"/>
        <v>4198.9492742089396</v>
      </c>
      <c r="EO28">
        <f t="shared" ca="1" si="16"/>
        <v>4199.431436604691</v>
      </c>
      <c r="EP28">
        <f t="shared" ca="1" si="16"/>
        <v>4199.9135989982951</v>
      </c>
      <c r="EQ28">
        <f t="shared" ca="1" si="16"/>
        <v>4200.3957613897628</v>
      </c>
      <c r="ER28">
        <f t="shared" ca="1" si="16"/>
        <v>4200.8779237791041</v>
      </c>
      <c r="ES28">
        <f t="shared" ca="1" si="16"/>
        <v>4201.3600861663272</v>
      </c>
      <c r="ET28">
        <f t="shared" ca="1" si="16"/>
        <v>4201.8422485514429</v>
      </c>
      <c r="EU28" s="9">
        <f t="shared" ca="1" si="16"/>
        <v>4202.3244109344605</v>
      </c>
    </row>
    <row r="29" spans="2:151" x14ac:dyDescent="0.25">
      <c r="B29">
        <f t="shared" ca="1" si="13"/>
        <v>1043.4904575549619</v>
      </c>
      <c r="C29">
        <f t="shared" ca="1" si="14"/>
        <v>1199.0047003460595</v>
      </c>
      <c r="D29">
        <f t="shared" ca="1" si="19"/>
        <v>1298.7423280165365</v>
      </c>
      <c r="E29">
        <f t="shared" ca="1" si="19"/>
        <v>1362.5389861800973</v>
      </c>
      <c r="F29">
        <f t="shared" ca="1" si="19"/>
        <v>1402.8375828724861</v>
      </c>
      <c r="G29">
        <f t="shared" ca="1" si="19"/>
        <v>1427.5809566120361</v>
      </c>
      <c r="H29">
        <f t="shared" ca="1" si="19"/>
        <v>1441.9224301844524</v>
      </c>
      <c r="I29">
        <f t="shared" ca="1" si="19"/>
        <v>1449.254979212822</v>
      </c>
      <c r="J29">
        <f t="shared" ca="1" si="19"/>
        <v>1451.8416562799184</v>
      </c>
      <c r="K29">
        <f t="shared" ca="1" si="19"/>
        <v>1451.2087799351089</v>
      </c>
      <c r="L29">
        <f t="shared" ca="1" si="19"/>
        <v>1448.3954853684809</v>
      </c>
      <c r="M29">
        <f t="shared" ca="1" si="19"/>
        <v>1444.11473232868</v>
      </c>
      <c r="N29">
        <f t="shared" ca="1" si="19"/>
        <v>1438.8587547371742</v>
      </c>
      <c r="O29">
        <f t="shared" ca="1" si="19"/>
        <v>1432.9690508841343</v>
      </c>
      <c r="P29">
        <f t="shared" ca="1" si="19"/>
        <v>1426.6833819021922</v>
      </c>
      <c r="Q29">
        <f t="shared" ca="1" si="19"/>
        <v>1420.1676484874906</v>
      </c>
      <c r="R29">
        <f t="shared" ca="1" si="19"/>
        <v>1413.5376961985551</v>
      </c>
      <c r="S29">
        <f t="shared" ca="1" si="19"/>
        <v>1406.8743396275918</v>
      </c>
      <c r="T29">
        <f t="shared" ca="1" si="19"/>
        <v>1400.2337782270633</v>
      </c>
      <c r="U29">
        <f t="shared" ca="1" si="19"/>
        <v>1393.654855641375</v>
      </c>
      <c r="V29">
        <f t="shared" ca="1" si="19"/>
        <v>1387.1641425410455</v>
      </c>
      <c r="W29">
        <f t="shared" ca="1" si="19"/>
        <v>1380.7795101623612</v>
      </c>
      <c r="X29">
        <f t="shared" ca="1" si="19"/>
        <v>1374.5126520990927</v>
      </c>
      <c r="Y29">
        <f t="shared" ca="1" si="19"/>
        <v>1368.3708700384543</v>
      </c>
      <c r="Z29">
        <f t="shared" ca="1" si="19"/>
        <v>1362.358342390424</v>
      </c>
      <c r="AA29">
        <f t="shared" ca="1" si="19"/>
        <v>1356.4770283418452</v>
      </c>
      <c r="AB29">
        <f t="shared" ca="1" si="19"/>
        <v>1350.727314013378</v>
      </c>
      <c r="AC29">
        <f t="shared" ca="1" si="19"/>
        <v>1345.1084755913416</v>
      </c>
      <c r="AD29">
        <f t="shared" ca="1" si="19"/>
        <v>1339.6190121547193</v>
      </c>
      <c r="AE29">
        <f t="shared" ca="1" si="19"/>
        <v>1334.2568854347655</v>
      </c>
      <c r="AF29">
        <f t="shared" ca="1" si="19"/>
        <v>1329.0196928883822</v>
      </c>
      <c r="AG29">
        <f t="shared" ca="1" si="19"/>
        <v>1323.9047928316729</v>
      </c>
      <c r="AH29">
        <f t="shared" ca="1" si="19"/>
        <v>1318.9093949957057</v>
      </c>
      <c r="AI29">
        <f t="shared" ca="1" si="19"/>
        <v>1314.0306260586872</v>
      </c>
      <c r="AJ29">
        <f t="shared" ca="1" si="19"/>
        <v>1309.2655770083877</v>
      </c>
      <c r="AK29">
        <f t="shared" ca="1" si="19"/>
        <v>1304.6113372681962</v>
      </c>
      <c r="AL29">
        <f t="shared" ca="1" si="19"/>
        <v>1300.065019150378</v>
      </c>
      <c r="AM29">
        <f t="shared" ca="1" si="19"/>
        <v>1295.6237752200402</v>
      </c>
      <c r="AN29">
        <f t="shared" ca="1" si="19"/>
        <v>1291.2848104498125</v>
      </c>
      <c r="AO29">
        <f t="shared" ca="1" si="19"/>
        <v>1287.0453905385777</v>
      </c>
      <c r="AP29">
        <f t="shared" ca="1" si="19"/>
        <v>1282.9028474013433</v>
      </c>
      <c r="AQ29">
        <f t="shared" ca="1" si="19"/>
        <v>1278.8545825716255</v>
      </c>
      <c r="AR29">
        <f t="shared" ca="1" si="19"/>
        <v>1274.8980690641768</v>
      </c>
      <c r="AS29">
        <f t="shared" ca="1" si="19"/>
        <v>1271.030852104358</v>
      </c>
      <c r="AT29">
        <f t="shared" ca="1" si="19"/>
        <v>1267.2505490265187</v>
      </c>
      <c r="AU29">
        <f t="shared" ca="1" si="19"/>
        <v>1263.5548485671138</v>
      </c>
      <c r="AV29">
        <f t="shared" ca="1" si="19"/>
        <v>1259.9415097215301</v>
      </c>
      <c r="AW29">
        <f t="shared" ca="1" si="19"/>
        <v>1256.4083602913931</v>
      </c>
      <c r="AX29">
        <f t="shared" ca="1" si="19"/>
        <v>1252.9532952176153</v>
      </c>
      <c r="AY29" s="9">
        <f t="shared" ca="1" si="19"/>
        <v>1249.5742747708232</v>
      </c>
      <c r="AZ29">
        <f t="shared" ca="1" si="19"/>
        <v>1246.2693226530232</v>
      </c>
      <c r="BA29">
        <f t="shared" ca="1" si="19"/>
        <v>1243.0365240509484</v>
      </c>
      <c r="BB29">
        <f t="shared" ca="1" si="19"/>
        <v>1239.874023671352</v>
      </c>
      <c r="BC29">
        <f t="shared" ca="1" si="19"/>
        <v>1236.7800237807971</v>
      </c>
      <c r="BD29">
        <f t="shared" ca="1" si="19"/>
        <v>1233.7527822666002</v>
      </c>
      <c r="BE29">
        <f t="shared" ca="1" si="19"/>
        <v>1230.7906107311062</v>
      </c>
      <c r="BF29">
        <f t="shared" ca="1" si="19"/>
        <v>1227.8918726280344</v>
      </c>
      <c r="BG29">
        <f t="shared" ca="1" si="19"/>
        <v>1225.0549814470253</v>
      </c>
      <c r="BH29">
        <f t="shared" ca="1" si="19"/>
        <v>1222.2783989505044</v>
      </c>
      <c r="BI29">
        <f t="shared" ca="1" si="19"/>
        <v>1219.5606334654633</v>
      </c>
      <c r="BJ29">
        <f t="shared" ca="1" si="19"/>
        <v>1216.9002382315832</v>
      </c>
      <c r="BK29">
        <f t="shared" ca="1" si="19"/>
        <v>1214.2958098062504</v>
      </c>
      <c r="BL29">
        <f t="shared" ca="1" si="19"/>
        <v>1211.7459865263511</v>
      </c>
      <c r="BM29">
        <f t="shared" ca="1" si="19"/>
        <v>1209.2494470262293</v>
      </c>
      <c r="BN29">
        <f t="shared" ca="1" si="19"/>
        <v>1206.8049088108291</v>
      </c>
      <c r="BO29">
        <f t="shared" ca="1" si="19"/>
        <v>1204.4111268827764</v>
      </c>
      <c r="BP29">
        <f t="shared" ca="1" si="18"/>
        <v>1202.0668924219653</v>
      </c>
      <c r="BQ29">
        <f t="shared" ca="1" si="18"/>
        <v>1199.7710315160855</v>
      </c>
      <c r="BR29">
        <f t="shared" ca="1" si="18"/>
        <v>1197.5224039404486</v>
      </c>
      <c r="BS29">
        <f t="shared" ca="1" si="18"/>
        <v>1195.3199019854208</v>
      </c>
      <c r="BT29">
        <f t="shared" ca="1" si="18"/>
        <v>1193.1624493297513</v>
      </c>
      <c r="BU29">
        <f t="shared" ca="1" si="18"/>
        <v>1191.04899995809</v>
      </c>
      <c r="BV29">
        <f t="shared" ca="1" si="18"/>
        <v>1188.9785371210014</v>
      </c>
      <c r="BW29">
        <f t="shared" ca="1" si="18"/>
        <v>1186.9500723358128</v>
      </c>
      <c r="BX29">
        <f t="shared" ca="1" si="18"/>
        <v>1184.962644426673</v>
      </c>
      <c r="BY29">
        <f t="shared" ca="1" si="18"/>
        <v>1183.0153186022349</v>
      </c>
      <c r="BZ29">
        <f t="shared" ca="1" si="18"/>
        <v>1181.1071855694336</v>
      </c>
      <c r="CA29">
        <f t="shared" ca="1" si="18"/>
        <v>1179.2373606818708</v>
      </c>
      <c r="CB29">
        <f t="shared" ca="1" si="18"/>
        <v>1177.4049831213747</v>
      </c>
      <c r="CC29">
        <f t="shared" ca="1" si="18"/>
        <v>1175.6092151113553</v>
      </c>
      <c r="CD29">
        <f t="shared" ca="1" si="18"/>
        <v>1173.8492411606271</v>
      </c>
      <c r="CE29">
        <f t="shared" ca="1" si="18"/>
        <v>1172.1242673364231</v>
      </c>
      <c r="CF29">
        <f t="shared" ca="1" si="18"/>
        <v>1170.4335205653767</v>
      </c>
      <c r="CG29">
        <f t="shared" ca="1" si="18"/>
        <v>1168.7762479612963</v>
      </c>
      <c r="CH29">
        <f t="shared" ca="1" si="18"/>
        <v>1167.1517161786076</v>
      </c>
      <c r="CI29">
        <f t="shared" ca="1" si="18"/>
        <v>1165.5592107903838</v>
      </c>
      <c r="CJ29">
        <f t="shared" ca="1" si="18"/>
        <v>1163.9980356899357</v>
      </c>
      <c r="CK29">
        <f t="shared" ca="1" si="18"/>
        <v>1162.4675125149656</v>
      </c>
      <c r="CL29">
        <f t="shared" ca="1" si="18"/>
        <v>1160.966980093348</v>
      </c>
      <c r="CM29">
        <f t="shared" ca="1" si="18"/>
        <v>1159.4957939096255</v>
      </c>
      <c r="CN29">
        <f t="shared" ca="1" si="18"/>
        <v>1158.0533255913576</v>
      </c>
      <c r="CO29">
        <f t="shared" ca="1" si="18"/>
        <v>1156.6389624144954</v>
      </c>
      <c r="CP29">
        <f t="shared" ca="1" si="18"/>
        <v>1155.2521068269864</v>
      </c>
      <c r="CQ29">
        <f t="shared" ca="1" si="18"/>
        <v>1153.8921759898581</v>
      </c>
      <c r="CR29">
        <f t="shared" ca="1" si="18"/>
        <v>1152.5586013350503</v>
      </c>
      <c r="CS29">
        <f t="shared" ca="1" si="18"/>
        <v>1151.2508281393098</v>
      </c>
      <c r="CT29">
        <f t="shared" ca="1" si="18"/>
        <v>1149.9683151134807</v>
      </c>
      <c r="CU29">
        <f t="shared" ca="1" si="18"/>
        <v>1148.7105340065607</v>
      </c>
      <c r="CV29">
        <f t="shared" ca="1" si="18"/>
        <v>1147.4769692239172</v>
      </c>
      <c r="CW29" s="9">
        <f t="shared" ca="1" si="18"/>
        <v>1146.2671174590832</v>
      </c>
      <c r="CX29">
        <f t="shared" ca="1" si="18"/>
        <v>1145.0804873385828</v>
      </c>
      <c r="CY29">
        <f t="shared" ca="1" si="18"/>
        <v>1143.9165990792533</v>
      </c>
      <c r="CZ29">
        <f t="shared" ca="1" si="18"/>
        <v>1142.7749841575617</v>
      </c>
      <c r="DA29">
        <f t="shared" ca="1" si="18"/>
        <v>1141.6551849904283</v>
      </c>
      <c r="DB29">
        <f t="shared" ca="1" si="18"/>
        <v>1140.5567546270968</v>
      </c>
      <c r="DC29">
        <f t="shared" ca="1" si="18"/>
        <v>1139.4792564516072</v>
      </c>
      <c r="DD29">
        <f t="shared" ca="1" si="18"/>
        <v>1138.4222638954479</v>
      </c>
      <c r="DE29">
        <f t="shared" ca="1" si="18"/>
        <v>1137.3853601599831</v>
      </c>
      <c r="DF29">
        <f t="shared" ca="1" si="18"/>
        <v>1136.3681379482657</v>
      </c>
      <c r="DG29">
        <f t="shared" ca="1" si="18"/>
        <v>1135.3701992058668</v>
      </c>
      <c r="DH29">
        <f t="shared" ca="1" si="18"/>
        <v>1134.3911548703663</v>
      </c>
      <c r="DI29">
        <f t="shared" ca="1" si="18"/>
        <v>1133.4306246291651</v>
      </c>
      <c r="DJ29">
        <f t="shared" ca="1" si="18"/>
        <v>1132.4882366852935</v>
      </c>
      <c r="DK29">
        <f t="shared" ca="1" si="18"/>
        <v>1131.5636275309057</v>
      </c>
      <c r="DL29">
        <f t="shared" ca="1" si="18"/>
        <v>1130.6564417281625</v>
      </c>
      <c r="DM29">
        <f t="shared" ca="1" si="18"/>
        <v>1129.7663316972157</v>
      </c>
      <c r="DN29">
        <f t="shared" ca="1" si="18"/>
        <v>1128.8929575110246</v>
      </c>
      <c r="DO29">
        <f t="shared" ca="1" si="18"/>
        <v>1128.0359866967401</v>
      </c>
      <c r="DP29">
        <f t="shared" ca="1" si="18"/>
        <v>1127.1950940434076</v>
      </c>
      <c r="DQ29">
        <f t="shared" ca="1" si="18"/>
        <v>1126.3699614157504</v>
      </c>
      <c r="DR29">
        <f t="shared" ca="1" si="18"/>
        <v>1125.5602775738023</v>
      </c>
      <c r="DS29">
        <f t="shared" ca="1" si="18"/>
        <v>1124.7657379981702</v>
      </c>
      <c r="DT29">
        <f t="shared" ca="1" si="18"/>
        <v>1123.9860447207172</v>
      </c>
      <c r="DU29">
        <f t="shared" ca="1" si="18"/>
        <v>1123.2209061604631</v>
      </c>
      <c r="DV29">
        <f t="shared" ca="1" si="18"/>
        <v>1122.4700369645109</v>
      </c>
      <c r="DW29">
        <f t="shared" ca="1" si="18"/>
        <v>1121.733157853811</v>
      </c>
      <c r="DX29">
        <f t="shared" ca="1" si="18"/>
        <v>1121.0099954735895</v>
      </c>
      <c r="DY29">
        <f t="shared" ca="1" si="18"/>
        <v>1120.3002822482683</v>
      </c>
      <c r="DZ29">
        <f t="shared" ca="1" si="18"/>
        <v>1119.6037562407139</v>
      </c>
      <c r="EA29">
        <f t="shared" ca="1" si="17"/>
        <v>1118.9201610156583</v>
      </c>
      <c r="EB29">
        <f t="shared" ca="1" si="16"/>
        <v>1118.2492455071447</v>
      </c>
      <c r="EC29">
        <f t="shared" ca="1" si="16"/>
        <v>1117.5907638898505</v>
      </c>
      <c r="ED29">
        <f t="shared" ca="1" si="16"/>
        <v>1116.9444754541516</v>
      </c>
      <c r="EE29">
        <f t="shared" ca="1" si="16"/>
        <v>1116.3101444847975</v>
      </c>
      <c r="EF29">
        <f t="shared" ca="1" si="16"/>
        <v>1115.6875401430661</v>
      </c>
      <c r="EG29">
        <f t="shared" ca="1" si="16"/>
        <v>1115.0764363522803</v>
      </c>
      <c r="EH29">
        <f t="shared" ca="1" si="16"/>
        <v>1114.4766116865671</v>
      </c>
      <c r="EI29">
        <f t="shared" ca="1" si="16"/>
        <v>1113.8878492627489</v>
      </c>
      <c r="EJ29">
        <f t="shared" ca="1" si="16"/>
        <v>1113.3099366352583</v>
      </c>
      <c r="EK29">
        <f t="shared" ca="1" si="16"/>
        <v>1112.7426656939722</v>
      </c>
      <c r="EL29">
        <f t="shared" ca="1" si="16"/>
        <v>1112.1858325648684</v>
      </c>
      <c r="EM29">
        <f t="shared" ca="1" si="16"/>
        <v>1111.6392375134069</v>
      </c>
      <c r="EN29">
        <f t="shared" ca="1" si="16"/>
        <v>1111.1026848505451</v>
      </c>
      <c r="EO29">
        <f t="shared" ca="1" si="16"/>
        <v>1110.5759828413009</v>
      </c>
      <c r="EP29">
        <f t="shared" ca="1" si="16"/>
        <v>1110.0589436157757</v>
      </c>
      <c r="EQ29">
        <f t="shared" ca="1" si="16"/>
        <v>1109.5513830825591</v>
      </c>
      <c r="ER29">
        <f t="shared" ca="1" si="16"/>
        <v>1109.0531208444361</v>
      </c>
      <c r="ES29">
        <f t="shared" ca="1" si="16"/>
        <v>1108.5639801163193</v>
      </c>
      <c r="ET29">
        <f t="shared" ca="1" si="16"/>
        <v>1108.0837876453413</v>
      </c>
      <c r="EU29" s="9">
        <f t="shared" ca="1" si="16"/>
        <v>1107.612373633028</v>
      </c>
    </row>
    <row r="30" spans="2:151" x14ac:dyDescent="0.25">
      <c r="B30">
        <f t="shared" ca="1" si="13"/>
        <v>996.97206758297648</v>
      </c>
      <c r="C30">
        <f t="shared" ca="1" si="14"/>
        <v>844.80071729850454</v>
      </c>
      <c r="D30">
        <f t="shared" ca="1" si="19"/>
        <v>729.5711459776544</v>
      </c>
      <c r="E30">
        <f t="shared" ca="1" si="19"/>
        <v>641.52992506697251</v>
      </c>
      <c r="F30">
        <f t="shared" ca="1" si="19"/>
        <v>573.72136100798036</v>
      </c>
      <c r="G30">
        <f t="shared" ca="1" si="19"/>
        <v>521.11077688990019</v>
      </c>
      <c r="H30">
        <f t="shared" ca="1" si="19"/>
        <v>480.00762655094707</v>
      </c>
      <c r="I30">
        <f t="shared" ca="1" si="19"/>
        <v>447.67749815293354</v>
      </c>
      <c r="J30">
        <f t="shared" ca="1" si="19"/>
        <v>422.07587418139872</v>
      </c>
      <c r="K30">
        <f t="shared" ca="1" si="19"/>
        <v>401.66213782513347</v>
      </c>
      <c r="L30">
        <f t="shared" ca="1" si="19"/>
        <v>385.26758152822356</v>
      </c>
      <c r="M30">
        <f t="shared" ca="1" si="19"/>
        <v>372.00045412138826</v>
      </c>
      <c r="N30">
        <f t="shared" ca="1" si="19"/>
        <v>361.17684628232934</v>
      </c>
      <c r="O30">
        <f t="shared" ca="1" si="19"/>
        <v>352.26987152134291</v>
      </c>
      <c r="P30">
        <f t="shared" ca="1" si="19"/>
        <v>344.87197086559576</v>
      </c>
      <c r="Q30">
        <f t="shared" ca="1" si="19"/>
        <v>338.66673788398657</v>
      </c>
      <c r="R30">
        <f t="shared" ca="1" si="19"/>
        <v>333.40771791019978</v>
      </c>
      <c r="S30">
        <f t="shared" ca="1" si="19"/>
        <v>328.90236010547943</v>
      </c>
      <c r="T30">
        <f t="shared" ca="1" si="19"/>
        <v>324.9998054223085</v>
      </c>
      <c r="U30">
        <f t="shared" ca="1" si="19"/>
        <v>321.58154926488959</v>
      </c>
      <c r="V30">
        <f t="shared" ca="1" si="19"/>
        <v>318.55427144600515</v>
      </c>
      <c r="W30">
        <f t="shared" ca="1" si="19"/>
        <v>315.84430897149258</v>
      </c>
      <c r="X30">
        <f t="shared" ca="1" si="19"/>
        <v>313.39338022287569</v>
      </c>
      <c r="Y30">
        <f t="shared" ca="1" si="19"/>
        <v>311.15526663989959</v>
      </c>
      <c r="Z30">
        <f t="shared" ca="1" si="19"/>
        <v>309.09323002099927</v>
      </c>
      <c r="AA30">
        <f t="shared" ca="1" si="19"/>
        <v>307.17799708460473</v>
      </c>
      <c r="AB30">
        <f t="shared" ca="1" si="19"/>
        <v>305.3861829546114</v>
      </c>
      <c r="AC30">
        <f t="shared" ca="1" si="19"/>
        <v>303.6990553224054</v>
      </c>
      <c r="AD30">
        <f t="shared" ca="1" si="19"/>
        <v>302.10156377632842</v>
      </c>
      <c r="AE30">
        <f t="shared" ca="1" si="19"/>
        <v>300.58157605519779</v>
      </c>
      <c r="AF30">
        <f t="shared" ca="1" si="19"/>
        <v>299.12927615093054</v>
      </c>
      <c r="AG30">
        <f t="shared" ca="1" si="19"/>
        <v>297.73668927027268</v>
      </c>
      <c r="AH30">
        <f t="shared" ca="1" si="19"/>
        <v>296.3973064187303</v>
      </c>
      <c r="AI30">
        <f t="shared" ca="1" si="19"/>
        <v>295.10578735134425</v>
      </c>
      <c r="AJ30">
        <f t="shared" ca="1" si="19"/>
        <v>293.85772526482668</v>
      </c>
      <c r="AK30">
        <f t="shared" ca="1" si="19"/>
        <v>292.6494601999832</v>
      </c>
      <c r="AL30">
        <f t="shared" ca="1" si="19"/>
        <v>291.47793092153495</v>
      </c>
      <c r="AM30">
        <f t="shared" ca="1" si="19"/>
        <v>290.34055722625476</v>
      </c>
      <c r="AN30">
        <f t="shared" ca="1" si="19"/>
        <v>289.23514633852085</v>
      </c>
      <c r="AO30">
        <f t="shared" ca="1" si="19"/>
        <v>288.15981839130461</v>
      </c>
      <c r="AP30">
        <f t="shared" ca="1" si="19"/>
        <v>287.11294704202248</v>
      </c>
      <c r="AQ30">
        <f t="shared" ca="1" si="19"/>
        <v>286.09311209970951</v>
      </c>
      <c r="AR30">
        <f t="shared" ca="1" si="19"/>
        <v>285.09906169147592</v>
      </c>
      <c r="AS30">
        <f t="shared" ca="1" si="19"/>
        <v>284.12968201012529</v>
      </c>
      <c r="AT30">
        <f t="shared" ca="1" si="19"/>
        <v>283.18397309068871</v>
      </c>
      <c r="AU30">
        <f t="shared" ca="1" si="19"/>
        <v>282.26102938451498</v>
      </c>
      <c r="AV30">
        <f t="shared" ca="1" si="19"/>
        <v>281.36002415349236</v>
      </c>
      <c r="AW30">
        <f t="shared" ca="1" si="19"/>
        <v>280.48019690810236</v>
      </c>
      <c r="AX30">
        <f t="shared" ca="1" si="19"/>
        <v>279.62084327241962</v>
      </c>
      <c r="AY30" s="9">
        <f t="shared" ca="1" si="19"/>
        <v>278.7813067856128</v>
      </c>
      <c r="AZ30">
        <f t="shared" ca="1" si="19"/>
        <v>277.96097224984607</v>
      </c>
      <c r="BA30">
        <f t="shared" ca="1" si="19"/>
        <v>277.15926031416063</v>
      </c>
      <c r="BB30">
        <f t="shared" ca="1" si="19"/>
        <v>276.37562304721422</v>
      </c>
      <c r="BC30">
        <f t="shared" ca="1" si="19"/>
        <v>275.60954030206369</v>
      </c>
      <c r="BD30">
        <f t="shared" ca="1" si="19"/>
        <v>274.86051671617463</v>
      </c>
      <c r="BE30">
        <f t="shared" ca="1" si="19"/>
        <v>274.1280792216541</v>
      </c>
      <c r="BF30">
        <f t="shared" ca="1" si="19"/>
        <v>273.41177496601415</v>
      </c>
      <c r="BG30">
        <f t="shared" ca="1" si="19"/>
        <v>272.71116956391631</v>
      </c>
      <c r="BH30">
        <f t="shared" ca="1" si="19"/>
        <v>272.02584561638486</v>
      </c>
      <c r="BI30">
        <f t="shared" ca="1" si="19"/>
        <v>271.35540144674616</v>
      </c>
      <c r="BJ30">
        <f t="shared" ca="1" si="19"/>
        <v>270.69945001272379</v>
      </c>
      <c r="BK30">
        <f t="shared" ca="1" si="19"/>
        <v>270.05761796222328</v>
      </c>
      <c r="BL30">
        <f t="shared" ca="1" si="19"/>
        <v>269.42954480680169</v>
      </c>
      <c r="BM30">
        <f t="shared" ca="1" si="19"/>
        <v>268.81488219196501</v>
      </c>
      <c r="BN30">
        <f t="shared" ca="1" si="19"/>
        <v>268.21329324754737</v>
      </c>
      <c r="BO30">
        <f t="shared" ca="1" si="19"/>
        <v>267.62445200469938</v>
      </c>
      <c r="BP30">
        <f t="shared" ca="1" si="18"/>
        <v>267.0480428686331</v>
      </c>
      <c r="BQ30">
        <f t="shared" ca="1" si="18"/>
        <v>266.48376013835696</v>
      </c>
      <c r="BR30">
        <f t="shared" ca="1" si="18"/>
        <v>265.93130756630592</v>
      </c>
      <c r="BS30">
        <f t="shared" ca="1" si="18"/>
        <v>265.39039795210539</v>
      </c>
      <c r="BT30">
        <f t="shared" ca="1" si="18"/>
        <v>264.86075276577731</v>
      </c>
      <c r="BU30">
        <f t="shared" ca="1" si="18"/>
        <v>264.34210179655105</v>
      </c>
      <c r="BV30">
        <f t="shared" ca="1" si="18"/>
        <v>263.83418282412856</v>
      </c>
      <c r="BW30">
        <f t="shared" ca="1" si="18"/>
        <v>263.33674130980478</v>
      </c>
      <c r="BX30">
        <f t="shared" ca="1" si="18"/>
        <v>262.84953010528545</v>
      </c>
      <c r="BY30">
        <f t="shared" ca="1" si="18"/>
        <v>262.37230917740351</v>
      </c>
      <c r="BZ30">
        <f t="shared" ca="1" si="18"/>
        <v>261.9048453472206</v>
      </c>
      <c r="CA30">
        <f t="shared" ca="1" si="18"/>
        <v>261.44691204223574</v>
      </c>
      <c r="CB30">
        <f t="shared" ca="1" si="18"/>
        <v>260.99828906060998</v>
      </c>
      <c r="CC30">
        <f t="shared" ca="1" si="18"/>
        <v>260.55876234647064</v>
      </c>
      <c r="CD30">
        <f t="shared" ca="1" si="18"/>
        <v>260.12812377548414</v>
      </c>
      <c r="CE30">
        <f t="shared" ca="1" si="18"/>
        <v>259.70617094998948</v>
      </c>
      <c r="CF30">
        <f t="shared" ca="1" si="18"/>
        <v>259.29270700306859</v>
      </c>
      <c r="CG30">
        <f t="shared" ca="1" si="18"/>
        <v>258.8875404110006</v>
      </c>
      <c r="CH30">
        <f t="shared" ca="1" si="18"/>
        <v>258.49048481360586</v>
      </c>
      <c r="CI30">
        <f t="shared" ca="1" si="18"/>
        <v>258.10135884203328</v>
      </c>
      <c r="CJ30">
        <f t="shared" ca="1" si="18"/>
        <v>257.71998595358718</v>
      </c>
      <c r="CK30">
        <f t="shared" ca="1" si="18"/>
        <v>257.34619427322485</v>
      </c>
      <c r="CL30">
        <f t="shared" ca="1" si="18"/>
        <v>256.97981644138503</v>
      </c>
      <c r="CM30">
        <f t="shared" ca="1" si="18"/>
        <v>256.62068946783501</v>
      </c>
      <c r="CN30">
        <f t="shared" ca="1" si="18"/>
        <v>256.26865459124571</v>
      </c>
      <c r="CO30">
        <f t="shared" ca="1" si="18"/>
        <v>255.92355714422399</v>
      </c>
      <c r="CP30">
        <f t="shared" ca="1" si="18"/>
        <v>255.58524642354968</v>
      </c>
      <c r="CQ30">
        <f t="shared" ca="1" si="18"/>
        <v>255.25357556537975</v>
      </c>
      <c r="CR30">
        <f t="shared" ca="1" si="18"/>
        <v>254.92840142519628</v>
      </c>
      <c r="CS30">
        <f t="shared" ca="1" si="18"/>
        <v>254.60958446228801</v>
      </c>
      <c r="CT30">
        <f t="shared" ca="1" si="18"/>
        <v>254.29698862856606</v>
      </c>
      <c r="CU30">
        <f t="shared" ca="1" si="18"/>
        <v>253.99048126152593</v>
      </c>
      <c r="CV30">
        <f t="shared" ca="1" si="18"/>
        <v>253.68993298117681</v>
      </c>
      <c r="CW30" s="9">
        <f t="shared" ca="1" si="18"/>
        <v>253.39521759076908</v>
      </c>
      <c r="CX30">
        <f t="shared" ca="1" si="18"/>
        <v>253.10621198115811</v>
      </c>
      <c r="CY30">
        <f t="shared" ca="1" si="18"/>
        <v>252.822796038652</v>
      </c>
      <c r="CZ30">
        <f t="shared" ca="1" si="18"/>
        <v>252.54485255619647</v>
      </c>
      <c r="DA30">
        <f t="shared" ca="1" si="18"/>
        <v>252.27226714775816</v>
      </c>
      <c r="DB30">
        <f t="shared" ca="1" si="18"/>
        <v>252.00492816577383</v>
      </c>
      <c r="DC30">
        <f t="shared" ca="1" si="18"/>
        <v>251.74272662153874</v>
      </c>
      <c r="DD30">
        <f t="shared" ca="1" si="18"/>
        <v>251.48555610841365</v>
      </c>
      <c r="DE30">
        <f t="shared" ca="1" si="18"/>
        <v>251.23331272773521</v>
      </c>
      <c r="DF30">
        <f t="shared" ca="1" si="18"/>
        <v>250.98589501731959</v>
      </c>
      <c r="DG30">
        <f t="shared" ca="1" si="18"/>
        <v>250.74320388245448</v>
      </c>
      <c r="DH30">
        <f t="shared" ca="1" si="18"/>
        <v>250.50514252927871</v>
      </c>
      <c r="DI30">
        <f t="shared" ca="1" si="18"/>
        <v>250.27161640045387</v>
      </c>
      <c r="DJ30">
        <f t="shared" ca="1" si="18"/>
        <v>250.0425331130358</v>
      </c>
      <c r="DK30">
        <f t="shared" ca="1" si="18"/>
        <v>249.8178023984585</v>
      </c>
      <c r="DL30">
        <f t="shared" ca="1" si="18"/>
        <v>249.59733604454664</v>
      </c>
      <c r="DM30">
        <f t="shared" ca="1" si="18"/>
        <v>249.38104783947608</v>
      </c>
      <c r="DN30">
        <f t="shared" ca="1" si="18"/>
        <v>249.16885351760607</v>
      </c>
      <c r="DO30">
        <f t="shared" ca="1" si="18"/>
        <v>248.96067070710947</v>
      </c>
      <c r="DP30">
        <f t="shared" ca="1" si="18"/>
        <v>248.75641887933091</v>
      </c>
      <c r="DQ30">
        <f t="shared" ca="1" si="18"/>
        <v>248.55601929980554</v>
      </c>
      <c r="DR30">
        <f t="shared" ca="1" si="18"/>
        <v>248.35939498087413</v>
      </c>
      <c r="DS30">
        <f t="shared" ca="1" si="18"/>
        <v>248.16647063583295</v>
      </c>
      <c r="DT30">
        <f t="shared" ca="1" si="18"/>
        <v>247.97717263455945</v>
      </c>
      <c r="DU30">
        <f t="shared" ca="1" si="18"/>
        <v>247.79142896055743</v>
      </c>
      <c r="DV30">
        <f t="shared" ca="1" si="18"/>
        <v>247.60916916936742</v>
      </c>
      <c r="DW30">
        <f t="shared" ca="1" si="18"/>
        <v>247.43032434829095</v>
      </c>
      <c r="DX30">
        <f t="shared" ca="1" si="18"/>
        <v>247.25482707737874</v>
      </c>
      <c r="DY30">
        <f t="shared" ca="1" si="18"/>
        <v>247.08261139163551</v>
      </c>
      <c r="DZ30">
        <f t="shared" ca="1" si="18"/>
        <v>246.91361274439618</v>
      </c>
      <c r="EA30">
        <f t="shared" ca="1" si="17"/>
        <v>246.7477679718296</v>
      </c>
      <c r="EB30">
        <f t="shared" ca="1" si="16"/>
        <v>246.5850152585281</v>
      </c>
      <c r="EC30">
        <f t="shared" ca="1" si="16"/>
        <v>246.42529410414301</v>
      </c>
      <c r="ED30">
        <f t="shared" ca="1" si="16"/>
        <v>246.26854529102783</v>
      </c>
      <c r="EE30">
        <f t="shared" ca="1" si="16"/>
        <v>246.11471085285231</v>
      </c>
      <c r="EF30">
        <f t="shared" ca="1" si="16"/>
        <v>245.96373404415186</v>
      </c>
      <c r="EG30">
        <f t="shared" ca="1" si="16"/>
        <v>245.81555931077918</v>
      </c>
      <c r="EH30">
        <f t="shared" ca="1" si="16"/>
        <v>245.67013226122529</v>
      </c>
      <c r="EI30">
        <f t="shared" ca="1" si="16"/>
        <v>245.52739963877889</v>
      </c>
      <c r="EJ30">
        <f t="shared" ca="1" si="16"/>
        <v>245.38730929449454</v>
      </c>
      <c r="EK30">
        <f t="shared" ca="1" si="16"/>
        <v>245.24981016094085</v>
      </c>
      <c r="EL30">
        <f t="shared" ca="1" si="16"/>
        <v>245.1148522267014</v>
      </c>
      <c r="EM30">
        <f t="shared" ca="1" si="16"/>
        <v>244.98238651160204</v>
      </c>
      <c r="EN30">
        <f t="shared" ca="1" si="16"/>
        <v>244.85236504263952</v>
      </c>
      <c r="EO30">
        <f t="shared" ca="1" si="16"/>
        <v>244.72474083058665</v>
      </c>
      <c r="EP30">
        <f t="shared" ca="1" si="16"/>
        <v>244.59946784725159</v>
      </c>
      <c r="EQ30">
        <f t="shared" ca="1" si="16"/>
        <v>244.47650100336824</v>
      </c>
      <c r="ER30">
        <f t="shared" ca="1" si="16"/>
        <v>244.35579612709665</v>
      </c>
      <c r="ES30">
        <f t="shared" ca="1" si="16"/>
        <v>244.23730994311273</v>
      </c>
      <c r="ET30">
        <f t="shared" ca="1" si="16"/>
        <v>244.12100005226742</v>
      </c>
      <c r="EU30" s="9">
        <f t="shared" ca="1" si="16"/>
        <v>244.00682491179671</v>
      </c>
    </row>
    <row r="33" spans="2:151" x14ac:dyDescent="0.25">
      <c r="AB33" s="1"/>
    </row>
    <row r="34" spans="2:151" x14ac:dyDescent="0.25">
      <c r="C34" s="1" t="s">
        <v>16</v>
      </c>
      <c r="F34" s="1" t="s">
        <v>13</v>
      </c>
      <c r="Q34" t="s">
        <v>18</v>
      </c>
    </row>
    <row r="35" spans="2:151" x14ac:dyDescent="0.25">
      <c r="C35" t="s">
        <v>1</v>
      </c>
      <c r="D35" t="s">
        <v>3</v>
      </c>
      <c r="E35" t="s">
        <v>4</v>
      </c>
      <c r="F35" t="s">
        <v>5</v>
      </c>
      <c r="G35" t="s">
        <v>6</v>
      </c>
      <c r="H35" t="s">
        <v>10</v>
      </c>
      <c r="I35" t="s">
        <v>7</v>
      </c>
      <c r="J35" t="s">
        <v>8</v>
      </c>
      <c r="K35" t="s">
        <v>9</v>
      </c>
      <c r="L35" s="1" t="s">
        <v>14</v>
      </c>
      <c r="O35" s="1" t="s">
        <v>11</v>
      </c>
      <c r="Q35" t="s">
        <v>1</v>
      </c>
      <c r="R35" t="s">
        <v>3</v>
      </c>
      <c r="S35" t="s">
        <v>4</v>
      </c>
      <c r="T35" t="s">
        <v>5</v>
      </c>
      <c r="U35" t="s">
        <v>6</v>
      </c>
      <c r="V35" t="s">
        <v>10</v>
      </c>
      <c r="W35" t="s">
        <v>7</v>
      </c>
      <c r="X35" t="s">
        <v>8</v>
      </c>
      <c r="Y35" t="s">
        <v>9</v>
      </c>
      <c r="Z35" s="1" t="s">
        <v>14</v>
      </c>
    </row>
    <row r="36" spans="2:151" x14ac:dyDescent="0.25">
      <c r="C36">
        <v>0.8014</v>
      </c>
      <c r="D36">
        <v>0.13519999999999999</v>
      </c>
      <c r="E36">
        <v>0</v>
      </c>
      <c r="F36">
        <v>6.6666659999999998E-7</v>
      </c>
      <c r="G36">
        <v>0</v>
      </c>
      <c r="H36">
        <v>0</v>
      </c>
      <c r="I36">
        <v>5.8599999999999999E-2</v>
      </c>
      <c r="J36">
        <v>0.1515</v>
      </c>
      <c r="K36">
        <v>0</v>
      </c>
      <c r="L36" t="s">
        <v>1</v>
      </c>
      <c r="O36">
        <v>720</v>
      </c>
      <c r="Q36">
        <f ca="1">1-SUM(Q37:Q44)</f>
        <v>0.81999926254294819</v>
      </c>
      <c r="R36">
        <f ca="1">IF(D36=0,0,D36+_xlfn.NORM.INV(RAND(),0,0.1*D36))</f>
        <v>0.13189082469946156</v>
      </c>
      <c r="S36">
        <f ca="1">IF(E36=0,0,E36+_xlfn.NORM.INV(RAND(),0,0.1*E36))</f>
        <v>0</v>
      </c>
      <c r="T36">
        <f ca="1">IF(F36=0,0,F36+_xlfn.NORM.INV(RAND(),0,0.1*F36))</f>
        <v>6.8559623726748597E-7</v>
      </c>
      <c r="U36">
        <f ca="1">IF(G36=0,0,G36+_xlfn.NORM.INV(RAND(),0,0.1*G36))</f>
        <v>0</v>
      </c>
      <c r="V36">
        <f ca="1">IF(H36=0,0,H36+_xlfn.NORM.INV(RAND(),0,0.1*H36))</f>
        <v>0</v>
      </c>
      <c r="W36">
        <f ca="1">IF(I36=0,0,I36+_xlfn.NORM.INV(RAND(),0,0.1*I36))</f>
        <v>6.7689735932860151E-2</v>
      </c>
      <c r="X36">
        <f ca="1">IF(J36=0,0,J36+_xlfn.NORM.INV(RAND(),0,0.1*J36))</f>
        <v>0.16339851506824127</v>
      </c>
      <c r="Y36">
        <f ca="1">IF(K36=0,0,K36+_xlfn.NORM.INV(RAND(),0,0.1*K36))</f>
        <v>0</v>
      </c>
      <c r="Z36" t="s">
        <v>1</v>
      </c>
    </row>
    <row r="37" spans="2:151" x14ac:dyDescent="0.25">
      <c r="C37">
        <v>0.12805555555000001</v>
      </c>
      <c r="D37">
        <f>1-(D36+D38+D41)</f>
        <v>0.65260000000000007</v>
      </c>
      <c r="E37">
        <v>2.7499999999999998E-3</v>
      </c>
      <c r="F37">
        <v>0</v>
      </c>
      <c r="G37">
        <v>1.3333332999999999E-2</v>
      </c>
      <c r="H37">
        <v>0.189</v>
      </c>
      <c r="I37">
        <v>0</v>
      </c>
      <c r="J37">
        <v>0</v>
      </c>
      <c r="K37">
        <v>0</v>
      </c>
      <c r="L37" t="s">
        <v>3</v>
      </c>
      <c r="O37">
        <v>670</v>
      </c>
      <c r="Q37">
        <f ca="1">IF(C37=0,0,C37+_xlfn.NORM.INV(RAND(),0,0.1*C37))</f>
        <v>0.11805673957797107</v>
      </c>
      <c r="R37">
        <f ca="1">1-SUM(R36,R38:R44)</f>
        <v>0.64859671309800571</v>
      </c>
      <c r="S37">
        <f ca="1">IF(E37=0,0,E37+_xlfn.NORM.INV(RAND(),0,0.1*E37))</f>
        <v>3.0413313725839758E-3</v>
      </c>
      <c r="T37">
        <f t="shared" ref="T37:T38" ca="1" si="20">IF(F37=0,0,F37+_xlfn.NORM.INV(RAND(),0,0.1*F37))</f>
        <v>0</v>
      </c>
      <c r="U37">
        <f t="shared" ref="U37:U39" ca="1" si="21">IF(G37=0,0,G37+_xlfn.NORM.INV(RAND(),0,0.1*G37))</f>
        <v>1.3293110619848876E-2</v>
      </c>
      <c r="V37">
        <f t="shared" ref="V37:V40" ca="1" si="22">IF(H37=0,0,H37+_xlfn.NORM.INV(RAND(),0,0.1*H37))</f>
        <v>0.21322095478168665</v>
      </c>
      <c r="W37">
        <f t="shared" ref="W37:W41" ca="1" si="23">IF(I37=0,0,I37+_xlfn.NORM.INV(RAND(),0,0.1*I37))</f>
        <v>0</v>
      </c>
      <c r="X37">
        <f t="shared" ref="X37:X42" ca="1" si="24">IF(J37=0,0,J37+_xlfn.NORM.INV(RAND(),0,0.1*J37))</f>
        <v>0</v>
      </c>
      <c r="Y37">
        <f t="shared" ref="Y37:Y43" ca="1" si="25">IF(K37=0,0,K37+_xlfn.NORM.INV(RAND(),0,0.1*K37))</f>
        <v>0</v>
      </c>
      <c r="Z37" t="s">
        <v>3</v>
      </c>
    </row>
    <row r="38" spans="2:151" x14ac:dyDescent="0.25">
      <c r="C38">
        <v>0</v>
      </c>
      <c r="D38">
        <v>0.1376</v>
      </c>
      <c r="E38">
        <f>1-(E37+E39)</f>
        <v>0.99724455499999998</v>
      </c>
      <c r="F38">
        <v>0</v>
      </c>
      <c r="G38">
        <v>0</v>
      </c>
      <c r="H38">
        <v>1.0999999999999999E-2</v>
      </c>
      <c r="I38">
        <v>0</v>
      </c>
      <c r="J38">
        <v>0</v>
      </c>
      <c r="K38">
        <v>0</v>
      </c>
      <c r="L38" t="s">
        <v>4</v>
      </c>
      <c r="O38">
        <v>36730</v>
      </c>
      <c r="Q38">
        <f t="shared" ref="Q38:X44" ca="1" si="26">IF(C38=0,0,C38+_xlfn.NORM.INV(RAND(),0,0.1*C38))</f>
        <v>0</v>
      </c>
      <c r="R38">
        <f t="shared" ca="1" si="26"/>
        <v>0.15364557924301631</v>
      </c>
      <c r="S38">
        <f ca="1">1-SUM(S37,S39:S44)</f>
        <v>0.99695306432461406</v>
      </c>
      <c r="T38">
        <f t="shared" ca="1" si="20"/>
        <v>0</v>
      </c>
      <c r="U38">
        <f t="shared" ca="1" si="21"/>
        <v>0</v>
      </c>
      <c r="V38">
        <f t="shared" ca="1" si="22"/>
        <v>1.1957428502997766E-2</v>
      </c>
      <c r="W38">
        <f t="shared" ca="1" si="23"/>
        <v>0</v>
      </c>
      <c r="X38">
        <f t="shared" ca="1" si="24"/>
        <v>0</v>
      </c>
      <c r="Y38">
        <f t="shared" ca="1" si="25"/>
        <v>0</v>
      </c>
      <c r="Z38" t="s">
        <v>4</v>
      </c>
    </row>
    <row r="39" spans="2:151" x14ac:dyDescent="0.25">
      <c r="C39">
        <v>0</v>
      </c>
      <c r="D39">
        <v>0</v>
      </c>
      <c r="E39">
        <v>5.4450000000000004E-6</v>
      </c>
      <c r="F39" s="3">
        <f>1-(F40+F42+F36)</f>
        <v>0.999999264000074</v>
      </c>
      <c r="G39">
        <v>0</v>
      </c>
      <c r="H39">
        <v>0</v>
      </c>
      <c r="I39">
        <v>0</v>
      </c>
      <c r="J39">
        <v>0</v>
      </c>
      <c r="K39">
        <v>0</v>
      </c>
      <c r="L39" t="s">
        <v>5</v>
      </c>
      <c r="O39">
        <v>75000000</v>
      </c>
      <c r="Q39">
        <f t="shared" ca="1" si="26"/>
        <v>0</v>
      </c>
      <c r="R39">
        <f t="shared" ca="1" si="26"/>
        <v>0</v>
      </c>
      <c r="S39">
        <f t="shared" ca="1" si="26"/>
        <v>5.6043028020131608E-6</v>
      </c>
      <c r="T39">
        <f ca="1">1-SUM(T36,T41:T44)</f>
        <v>0.99999918925799502</v>
      </c>
      <c r="U39">
        <f t="shared" ca="1" si="21"/>
        <v>0</v>
      </c>
      <c r="V39">
        <f t="shared" ca="1" si="22"/>
        <v>0</v>
      </c>
      <c r="W39">
        <f t="shared" ca="1" si="23"/>
        <v>0</v>
      </c>
      <c r="X39">
        <f t="shared" ca="1" si="24"/>
        <v>0</v>
      </c>
      <c r="Y39">
        <f t="shared" ca="1" si="25"/>
        <v>0</v>
      </c>
      <c r="Z39" t="s">
        <v>5</v>
      </c>
    </row>
    <row r="40" spans="2:151" x14ac:dyDescent="0.25">
      <c r="C40">
        <v>2.7777777769999999E-4</v>
      </c>
      <c r="D40">
        <v>0</v>
      </c>
      <c r="E40">
        <v>0</v>
      </c>
      <c r="F40" s="3">
        <v>2.6666659999999998E-9</v>
      </c>
      <c r="G40">
        <v>0.98666666660000002</v>
      </c>
      <c r="H40">
        <v>0</v>
      </c>
      <c r="I40">
        <v>0</v>
      </c>
      <c r="J40">
        <v>0</v>
      </c>
      <c r="K40">
        <v>3.333333E-4</v>
      </c>
      <c r="L40" t="s">
        <v>6</v>
      </c>
      <c r="O40">
        <v>60</v>
      </c>
      <c r="Q40">
        <f t="shared" ca="1" si="26"/>
        <v>2.7755703995907473E-4</v>
      </c>
      <c r="R40">
        <f t="shared" ca="1" si="26"/>
        <v>0</v>
      </c>
      <c r="S40">
        <f t="shared" ca="1" si="26"/>
        <v>0</v>
      </c>
      <c r="T40">
        <f t="shared" ca="1" si="26"/>
        <v>2.4090167284874503E-9</v>
      </c>
      <c r="U40">
        <f ca="1">1-SUM(U37)</f>
        <v>0.98670688938015116</v>
      </c>
      <c r="V40">
        <f t="shared" ca="1" si="22"/>
        <v>0</v>
      </c>
      <c r="W40">
        <f t="shared" ca="1" si="23"/>
        <v>0</v>
      </c>
      <c r="X40">
        <f t="shared" ca="1" si="24"/>
        <v>0</v>
      </c>
      <c r="Y40">
        <f t="shared" ca="1" si="25"/>
        <v>3.1658045868253814E-4</v>
      </c>
      <c r="Z40" t="s">
        <v>6</v>
      </c>
    </row>
    <row r="41" spans="2:151" x14ac:dyDescent="0.25">
      <c r="C41">
        <v>0</v>
      </c>
      <c r="D41">
        <v>7.46E-2</v>
      </c>
      <c r="E41">
        <v>0</v>
      </c>
      <c r="F41">
        <v>0</v>
      </c>
      <c r="G41">
        <v>0</v>
      </c>
      <c r="H41">
        <f>1-(H37+H38)</f>
        <v>0.8</v>
      </c>
      <c r="I41">
        <v>0</v>
      </c>
      <c r="J41">
        <v>0</v>
      </c>
      <c r="K41">
        <v>0</v>
      </c>
      <c r="L41" t="s">
        <v>10</v>
      </c>
      <c r="O41">
        <v>1000</v>
      </c>
      <c r="Q41">
        <f t="shared" ca="1" si="26"/>
        <v>0</v>
      </c>
      <c r="R41">
        <f t="shared" ca="1" si="26"/>
        <v>6.5866882959516412E-2</v>
      </c>
      <c r="S41">
        <f t="shared" ca="1" si="26"/>
        <v>0</v>
      </c>
      <c r="T41">
        <f t="shared" ca="1" si="26"/>
        <v>0</v>
      </c>
      <c r="U41">
        <f t="shared" ca="1" si="26"/>
        <v>0</v>
      </c>
      <c r="V41">
        <f ca="1">1-SUM(V37:V38)</f>
        <v>0.77482161671531558</v>
      </c>
      <c r="W41">
        <f t="shared" ca="1" si="23"/>
        <v>0</v>
      </c>
      <c r="X41">
        <f t="shared" ca="1" si="24"/>
        <v>0</v>
      </c>
      <c r="Y41">
        <f t="shared" ca="1" si="25"/>
        <v>0</v>
      </c>
      <c r="Z41" t="s">
        <v>10</v>
      </c>
    </row>
    <row r="42" spans="2:151" x14ac:dyDescent="0.25">
      <c r="C42">
        <v>0</v>
      </c>
      <c r="D42">
        <v>0</v>
      </c>
      <c r="E42">
        <v>0</v>
      </c>
      <c r="F42">
        <v>6.6666659999999995E-8</v>
      </c>
      <c r="G42">
        <v>0</v>
      </c>
      <c r="H42">
        <v>0</v>
      </c>
      <c r="I42">
        <f>1-I36</f>
        <v>0.94140000000000001</v>
      </c>
      <c r="J42">
        <v>0</v>
      </c>
      <c r="K42">
        <v>4.1666666600000003E-3</v>
      </c>
      <c r="L42" t="s">
        <v>7</v>
      </c>
      <c r="O42">
        <v>4130</v>
      </c>
      <c r="Q42">
        <f t="shared" ca="1" si="26"/>
        <v>0</v>
      </c>
      <c r="R42">
        <f t="shared" ca="1" si="26"/>
        <v>0</v>
      </c>
      <c r="S42">
        <f t="shared" ca="1" si="26"/>
        <v>0</v>
      </c>
      <c r="T42">
        <f t="shared" ca="1" si="26"/>
        <v>6.4542633780815461E-8</v>
      </c>
      <c r="U42">
        <f t="shared" ca="1" si="26"/>
        <v>0</v>
      </c>
      <c r="V42">
        <f t="shared" ca="1" si="26"/>
        <v>0</v>
      </c>
      <c r="W42">
        <f ca="1">1-SUM(W36)</f>
        <v>0.9323102640671399</v>
      </c>
      <c r="X42">
        <f t="shared" ca="1" si="24"/>
        <v>0</v>
      </c>
      <c r="Y42">
        <f t="shared" ca="1" si="25"/>
        <v>4.7214232390488707E-3</v>
      </c>
      <c r="Z42" t="s">
        <v>7</v>
      </c>
    </row>
    <row r="43" spans="2:151" x14ac:dyDescent="0.25">
      <c r="C43">
        <v>6.6666666659999999E-2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f>1-(J44+J36)</f>
        <v>0.60809999999999997</v>
      </c>
      <c r="K43">
        <v>8.9099999999999999E-2</v>
      </c>
      <c r="L43" t="s">
        <v>8</v>
      </c>
      <c r="O43">
        <v>800</v>
      </c>
      <c r="Q43">
        <f t="shared" ca="1" si="26"/>
        <v>5.7842209549186077E-2</v>
      </c>
      <c r="R43">
        <f t="shared" ca="1" si="26"/>
        <v>0</v>
      </c>
      <c r="S43">
        <f t="shared" ca="1" si="26"/>
        <v>0</v>
      </c>
      <c r="T43">
        <f t="shared" ca="1" si="26"/>
        <v>0</v>
      </c>
      <c r="U43">
        <f t="shared" ca="1" si="26"/>
        <v>0</v>
      </c>
      <c r="V43">
        <f t="shared" ca="1" si="26"/>
        <v>0</v>
      </c>
      <c r="W43">
        <f t="shared" ca="1" si="26"/>
        <v>0</v>
      </c>
      <c r="X43">
        <f ca="1">1-SUM(X36,X44)</f>
        <v>0.59735706405815403</v>
      </c>
      <c r="Y43">
        <f t="shared" ca="1" si="25"/>
        <v>8.0916670522717782E-2</v>
      </c>
      <c r="Z43" t="s">
        <v>8</v>
      </c>
    </row>
    <row r="44" spans="2:151" x14ac:dyDescent="0.25">
      <c r="C44">
        <v>3.5999999999999999E-3</v>
      </c>
      <c r="D44">
        <v>0</v>
      </c>
      <c r="E44">
        <v>0</v>
      </c>
      <c r="F44">
        <v>6.6666659999999995E-8</v>
      </c>
      <c r="G44">
        <v>0</v>
      </c>
      <c r="H44">
        <v>0</v>
      </c>
      <c r="I44">
        <v>0</v>
      </c>
      <c r="J44">
        <v>0.2404</v>
      </c>
      <c r="K44">
        <f>1-SUM(K36:K43)</f>
        <v>0.90640000003999999</v>
      </c>
      <c r="L44" t="s">
        <v>9</v>
      </c>
      <c r="O44">
        <v>1200</v>
      </c>
      <c r="Q44">
        <f t="shared" ca="1" si="26"/>
        <v>3.8242312899355903E-3</v>
      </c>
      <c r="R44">
        <f t="shared" ca="1" si="26"/>
        <v>0</v>
      </c>
      <c r="S44">
        <f t="shared" ca="1" si="26"/>
        <v>0</v>
      </c>
      <c r="T44">
        <f t="shared" ca="1" si="26"/>
        <v>6.0603133942972779E-8</v>
      </c>
      <c r="U44">
        <f t="shared" ca="1" si="26"/>
        <v>0</v>
      </c>
      <c r="V44">
        <f t="shared" ca="1" si="26"/>
        <v>0</v>
      </c>
      <c r="W44">
        <f t="shared" ca="1" si="26"/>
        <v>0</v>
      </c>
      <c r="X44">
        <f t="shared" ca="1" si="26"/>
        <v>0.23924442087360473</v>
      </c>
      <c r="Y44">
        <f ca="1">1-SUM(Y36:Y43)</f>
        <v>0.91404532577955078</v>
      </c>
      <c r="Z44" t="s">
        <v>9</v>
      </c>
    </row>
    <row r="45" spans="2:151" x14ac:dyDescent="0.25">
      <c r="B45" s="2" t="s">
        <v>15</v>
      </c>
      <c r="C45" s="2">
        <f>SUM(C36:C44)</f>
        <v>0.99999999998770006</v>
      </c>
      <c r="D45" s="2">
        <f t="shared" ref="D45:K45" si="27">SUM(D36:D44)</f>
        <v>1</v>
      </c>
      <c r="E45" s="2">
        <f t="shared" si="27"/>
        <v>1</v>
      </c>
      <c r="F45" s="4">
        <f t="shared" si="27"/>
        <v>1.00000006666666</v>
      </c>
      <c r="G45" s="2">
        <f t="shared" si="27"/>
        <v>0.99999999959999997</v>
      </c>
      <c r="H45" s="2">
        <f t="shared" si="27"/>
        <v>1</v>
      </c>
      <c r="I45" s="2">
        <f t="shared" si="27"/>
        <v>1</v>
      </c>
      <c r="J45" s="2">
        <f t="shared" si="27"/>
        <v>1</v>
      </c>
      <c r="K45" s="2">
        <f t="shared" si="27"/>
        <v>1</v>
      </c>
      <c r="P45" t="s">
        <v>15</v>
      </c>
      <c r="Q45" s="2">
        <f ca="1">SUM(Q36:Q44)</f>
        <v>0.99999999999999989</v>
      </c>
      <c r="R45" s="2">
        <f t="shared" ref="R45:Y45" ca="1" si="28">SUM(R36:R44)</f>
        <v>1</v>
      </c>
      <c r="S45" s="2">
        <f t="shared" ca="1" si="28"/>
        <v>1</v>
      </c>
      <c r="T45" s="2">
        <f t="shared" ca="1" si="28"/>
        <v>1.0000000024090168</v>
      </c>
      <c r="U45" s="2">
        <f t="shared" ca="1" si="28"/>
        <v>1</v>
      </c>
      <c r="V45" s="2">
        <f t="shared" ca="1" si="28"/>
        <v>1</v>
      </c>
      <c r="W45" s="2">
        <f t="shared" ca="1" si="28"/>
        <v>1</v>
      </c>
      <c r="X45" s="2">
        <f t="shared" ca="1" si="28"/>
        <v>1</v>
      </c>
      <c r="Y45" s="2">
        <f t="shared" ca="1" si="28"/>
        <v>1</v>
      </c>
    </row>
    <row r="47" spans="2:151" x14ac:dyDescent="0.25">
      <c r="B47" t="s">
        <v>12</v>
      </c>
    </row>
    <row r="48" spans="2:151" s="5" customFormat="1" x14ac:dyDescent="0.25">
      <c r="B48" s="5">
        <v>2015</v>
      </c>
      <c r="C48" s="5">
        <v>2016</v>
      </c>
      <c r="D48" s="5">
        <v>2017</v>
      </c>
      <c r="E48" s="5">
        <v>2018</v>
      </c>
      <c r="F48" s="5">
        <v>2019</v>
      </c>
      <c r="G48" s="5">
        <v>2020</v>
      </c>
      <c r="H48" s="5">
        <v>2021</v>
      </c>
      <c r="I48" s="5">
        <v>2022</v>
      </c>
      <c r="J48" s="5">
        <v>2023</v>
      </c>
      <c r="K48" s="5">
        <v>2024</v>
      </c>
      <c r="L48" s="5">
        <v>2025</v>
      </c>
      <c r="M48" s="5">
        <v>2026</v>
      </c>
      <c r="N48" s="5">
        <v>2027</v>
      </c>
      <c r="O48" s="5">
        <v>2028</v>
      </c>
      <c r="P48" s="5">
        <v>2029</v>
      </c>
      <c r="Q48" s="5">
        <v>2030</v>
      </c>
      <c r="R48" s="5">
        <v>2031</v>
      </c>
      <c r="S48" s="5">
        <v>2032</v>
      </c>
      <c r="T48" s="5">
        <v>2033</v>
      </c>
      <c r="U48" s="5">
        <v>2034</v>
      </c>
      <c r="V48" s="5">
        <v>2035</v>
      </c>
      <c r="W48" s="5">
        <v>2036</v>
      </c>
      <c r="X48" s="5">
        <v>2037</v>
      </c>
      <c r="Y48" s="5">
        <v>2038</v>
      </c>
      <c r="Z48" s="5">
        <v>2039</v>
      </c>
      <c r="AA48" s="5">
        <v>2040</v>
      </c>
      <c r="AB48" s="5">
        <v>2041</v>
      </c>
      <c r="AC48" s="5">
        <v>2042</v>
      </c>
      <c r="AD48" s="5">
        <v>2043</v>
      </c>
      <c r="AE48" s="5">
        <v>2044</v>
      </c>
      <c r="AF48" s="5">
        <v>2045</v>
      </c>
      <c r="AG48" s="5">
        <v>2046</v>
      </c>
      <c r="AH48" s="5">
        <v>2047</v>
      </c>
      <c r="AI48" s="5">
        <v>2048</v>
      </c>
      <c r="AJ48" s="5">
        <v>2049</v>
      </c>
      <c r="AK48" s="5">
        <v>2050</v>
      </c>
      <c r="AL48" s="5">
        <v>2051</v>
      </c>
      <c r="AM48" s="5">
        <v>2052</v>
      </c>
      <c r="AN48" s="5">
        <v>2053</v>
      </c>
      <c r="AO48" s="5">
        <v>2054</v>
      </c>
      <c r="AP48" s="5">
        <v>2055</v>
      </c>
      <c r="AQ48" s="5">
        <v>2056</v>
      </c>
      <c r="AR48" s="5">
        <v>2057</v>
      </c>
      <c r="AS48" s="5">
        <v>2058</v>
      </c>
      <c r="AT48" s="5">
        <v>2059</v>
      </c>
      <c r="AU48" s="5">
        <v>2060</v>
      </c>
      <c r="AV48" s="5">
        <v>2061</v>
      </c>
      <c r="AW48" s="5">
        <v>2062</v>
      </c>
      <c r="AX48" s="5">
        <v>2063</v>
      </c>
      <c r="AY48" s="8">
        <v>2064</v>
      </c>
      <c r="AZ48" s="5">
        <v>2065</v>
      </c>
      <c r="BA48" s="5">
        <v>2066</v>
      </c>
      <c r="BB48" s="5">
        <v>2067</v>
      </c>
      <c r="BC48" s="5">
        <v>2068</v>
      </c>
      <c r="BD48" s="5">
        <v>2069</v>
      </c>
      <c r="BE48" s="5">
        <v>2070</v>
      </c>
      <c r="BF48" s="5">
        <v>2071</v>
      </c>
      <c r="BG48" s="5">
        <v>2072</v>
      </c>
      <c r="BH48" s="5">
        <v>2073</v>
      </c>
      <c r="BI48" s="5">
        <v>2074</v>
      </c>
      <c r="BJ48" s="5">
        <v>2075</v>
      </c>
      <c r="BK48" s="5">
        <v>2076</v>
      </c>
      <c r="BL48" s="5">
        <v>2077</v>
      </c>
      <c r="BM48" s="5">
        <v>2078</v>
      </c>
      <c r="BN48" s="5">
        <v>2079</v>
      </c>
      <c r="BO48" s="5">
        <v>2080</v>
      </c>
      <c r="BP48" s="5">
        <v>2081</v>
      </c>
      <c r="BQ48" s="5">
        <v>2082</v>
      </c>
      <c r="BR48" s="5">
        <v>2083</v>
      </c>
      <c r="BS48" s="5">
        <v>2084</v>
      </c>
      <c r="BT48" s="5">
        <v>2085</v>
      </c>
      <c r="BU48" s="5">
        <v>2086</v>
      </c>
      <c r="BV48" s="5">
        <v>2087</v>
      </c>
      <c r="BW48" s="5">
        <v>2088</v>
      </c>
      <c r="BX48" s="5">
        <v>2089</v>
      </c>
      <c r="BY48" s="5">
        <v>2090</v>
      </c>
      <c r="BZ48" s="5">
        <v>2091</v>
      </c>
      <c r="CA48" s="5">
        <v>2092</v>
      </c>
      <c r="CB48" s="5">
        <v>2093</v>
      </c>
      <c r="CC48" s="5">
        <v>2094</v>
      </c>
      <c r="CD48" s="5">
        <v>2095</v>
      </c>
      <c r="CE48" s="5">
        <v>2096</v>
      </c>
      <c r="CF48" s="5">
        <v>2097</v>
      </c>
      <c r="CG48" s="5">
        <v>2098</v>
      </c>
      <c r="CH48" s="5">
        <v>2099</v>
      </c>
      <c r="CI48" s="5">
        <v>2100</v>
      </c>
      <c r="CJ48" s="5">
        <v>2101</v>
      </c>
      <c r="CK48" s="5">
        <v>2102</v>
      </c>
      <c r="CL48" s="5">
        <v>2103</v>
      </c>
      <c r="CM48" s="5">
        <v>2104</v>
      </c>
      <c r="CN48" s="5">
        <v>2105</v>
      </c>
      <c r="CO48" s="5">
        <v>2106</v>
      </c>
      <c r="CP48" s="5">
        <v>2107</v>
      </c>
      <c r="CQ48" s="5">
        <v>2108</v>
      </c>
      <c r="CR48" s="5">
        <v>2109</v>
      </c>
      <c r="CS48" s="5">
        <v>2110</v>
      </c>
      <c r="CT48" s="5">
        <v>2111</v>
      </c>
      <c r="CU48" s="5">
        <v>2112</v>
      </c>
      <c r="CV48" s="5">
        <v>2113</v>
      </c>
      <c r="CW48" s="8">
        <v>2114</v>
      </c>
      <c r="CX48" s="5">
        <v>2115</v>
      </c>
      <c r="CY48" s="5">
        <v>2116</v>
      </c>
      <c r="CZ48" s="5">
        <v>2117</v>
      </c>
      <c r="DA48" s="5">
        <v>2118</v>
      </c>
      <c r="DB48" s="5">
        <v>2119</v>
      </c>
      <c r="DC48" s="5">
        <v>2120</v>
      </c>
      <c r="DD48" s="5">
        <v>2121</v>
      </c>
      <c r="DE48" s="5">
        <v>2122</v>
      </c>
      <c r="DF48" s="5">
        <v>2123</v>
      </c>
      <c r="DG48" s="5">
        <v>2124</v>
      </c>
      <c r="DH48" s="5">
        <v>2125</v>
      </c>
      <c r="DI48" s="5">
        <v>2126</v>
      </c>
      <c r="DJ48" s="5">
        <v>2127</v>
      </c>
      <c r="DK48" s="5">
        <v>2128</v>
      </c>
      <c r="DL48" s="5">
        <v>2129</v>
      </c>
      <c r="DM48" s="5">
        <v>2130</v>
      </c>
      <c r="DN48" s="5">
        <v>2131</v>
      </c>
      <c r="DO48" s="5">
        <v>2132</v>
      </c>
      <c r="DP48" s="5">
        <v>2133</v>
      </c>
      <c r="DQ48" s="5">
        <v>2134</v>
      </c>
      <c r="DR48" s="5">
        <v>2135</v>
      </c>
      <c r="DS48" s="5">
        <v>2136</v>
      </c>
      <c r="DT48" s="5">
        <v>2137</v>
      </c>
      <c r="DU48" s="5">
        <v>2138</v>
      </c>
      <c r="DV48" s="5">
        <v>2139</v>
      </c>
      <c r="DW48" s="5">
        <v>2140</v>
      </c>
      <c r="DX48" s="5">
        <v>2141</v>
      </c>
      <c r="DY48" s="5">
        <v>2142</v>
      </c>
      <c r="DZ48" s="5">
        <v>2143</v>
      </c>
      <c r="EA48" s="5">
        <v>2144</v>
      </c>
      <c r="EB48" s="5">
        <v>2145</v>
      </c>
      <c r="EC48" s="5">
        <v>2146</v>
      </c>
      <c r="ED48" s="5">
        <v>2147</v>
      </c>
      <c r="EE48" s="5">
        <v>2148</v>
      </c>
      <c r="EF48" s="5">
        <v>2149</v>
      </c>
      <c r="EG48" s="5">
        <v>2150</v>
      </c>
      <c r="EH48" s="5">
        <v>2151</v>
      </c>
      <c r="EI48" s="5">
        <v>2152</v>
      </c>
      <c r="EJ48" s="5">
        <v>2153</v>
      </c>
      <c r="EK48" s="5">
        <v>2154</v>
      </c>
      <c r="EL48" s="5">
        <v>2155</v>
      </c>
      <c r="EM48" s="5">
        <v>2156</v>
      </c>
      <c r="EN48" s="5">
        <v>2157</v>
      </c>
      <c r="EO48" s="5">
        <v>2158</v>
      </c>
      <c r="EP48" s="5">
        <v>2159</v>
      </c>
      <c r="EQ48" s="5">
        <v>2160</v>
      </c>
      <c r="ER48" s="5">
        <v>2161</v>
      </c>
      <c r="ES48" s="5">
        <v>2162</v>
      </c>
      <c r="ET48" s="5">
        <v>2163</v>
      </c>
      <c r="EU48" s="8">
        <v>2164</v>
      </c>
    </row>
    <row r="49" spans="2:151" x14ac:dyDescent="0.25">
      <c r="B49">
        <f ca="1">(Q36*$O$9)+(R36*$O$10)+(S36*$O$11)+(T36*$O$12)+(U36*$O$13)+(V36*$O$14)+(W36*$O$15)+(X36*$O$16)+(Y36*$O$17)</f>
        <v>1140.4634608319286</v>
      </c>
      <c r="C49">
        <f ca="1">(B$49*$Q36)+(B$50*$R36)+(B$51*$S36)+(B$52*$T36)+(B$53*$U36)+(B$54*$V36)+(B$55*$W36)+(B$56*$X36)+(B$57*$Y36)</f>
        <v>1460.1878088152257</v>
      </c>
      <c r="D49">
        <f t="shared" ref="D49:BO50" ca="1" si="29">(C$49*$Q36)+(C$50*$R36)+(C$51*$S36)+(C$52*$T36)+(C$53*$U36)+(C$54*$V36)+(C$55*$W36)+(C$56*$X36)+(C$57*$Y36)</f>
        <v>1709.2033090703596</v>
      </c>
      <c r="E49">
        <f t="shared" ca="1" si="29"/>
        <v>1905.7031358099441</v>
      </c>
      <c r="F49">
        <f t="shared" ca="1" si="29"/>
        <v>2061.5653304221441</v>
      </c>
      <c r="G49">
        <f t="shared" ca="1" si="29"/>
        <v>2185.1116265874002</v>
      </c>
      <c r="H49">
        <f t="shared" ca="1" si="29"/>
        <v>2282.518804597596</v>
      </c>
      <c r="I49">
        <f t="shared" ca="1" si="29"/>
        <v>2358.5686413943085</v>
      </c>
      <c r="J49">
        <f t="shared" ca="1" si="29"/>
        <v>2417.0688616719885</v>
      </c>
      <c r="K49">
        <f t="shared" ca="1" si="29"/>
        <v>2461.1064683084583</v>
      </c>
      <c r="L49">
        <f t="shared" ca="1" si="29"/>
        <v>2493.2122835262021</v>
      </c>
      <c r="M49">
        <f t="shared" ca="1" si="29"/>
        <v>2515.4757244011926</v>
      </c>
      <c r="N49">
        <f t="shared" ca="1" si="29"/>
        <v>2529.629611690435</v>
      </c>
      <c r="O49">
        <f t="shared" ca="1" si="29"/>
        <v>2537.1154730380235</v>
      </c>
      <c r="P49">
        <f t="shared" ca="1" si="29"/>
        <v>2539.1352049776419</v>
      </c>
      <c r="Q49">
        <f t="shared" ca="1" si="29"/>
        <v>2536.6926367921251</v>
      </c>
      <c r="R49">
        <f t="shared" ca="1" si="29"/>
        <v>2530.6273155384897</v>
      </c>
      <c r="S49">
        <f t="shared" ca="1" si="29"/>
        <v>2521.6421444353086</v>
      </c>
      <c r="T49">
        <f t="shared" ca="1" si="29"/>
        <v>2510.3260892165863</v>
      </c>
      <c r="U49">
        <f t="shared" ca="1" si="29"/>
        <v>2497.1728912148792</v>
      </c>
      <c r="V49">
        <f t="shared" ca="1" si="29"/>
        <v>2482.5965299094096</v>
      </c>
      <c r="W49">
        <f t="shared" ca="1" si="29"/>
        <v>2466.9440305709099</v>
      </c>
      <c r="X49">
        <f t="shared" ca="1" si="29"/>
        <v>2450.5060982518576</v>
      </c>
      <c r="Y49">
        <f t="shared" ca="1" si="29"/>
        <v>2433.525968549051</v>
      </c>
      <c r="Z49">
        <f t="shared" ca="1" si="29"/>
        <v>2416.2067926257969</v>
      </c>
      <c r="AA49">
        <f t="shared" ca="1" si="29"/>
        <v>2398.7178150628488</v>
      </c>
      <c r="AB49">
        <f t="shared" ca="1" si="29"/>
        <v>2381.1995553838346</v>
      </c>
      <c r="AC49">
        <f t="shared" ca="1" si="29"/>
        <v>2363.7681653963341</v>
      </c>
      <c r="AD49">
        <f t="shared" ca="1" si="29"/>
        <v>2346.5191030798323</v>
      </c>
      <c r="AE49">
        <f t="shared" ca="1" si="29"/>
        <v>2329.5302382500199</v>
      </c>
      <c r="AF49">
        <f t="shared" ca="1" si="29"/>
        <v>2312.8644845133308</v>
      </c>
      <c r="AG49">
        <f t="shared" ca="1" si="29"/>
        <v>2296.5720351864647</v>
      </c>
      <c r="AH49">
        <f t="shared" ca="1" si="29"/>
        <v>2280.6922671552311</v>
      </c>
      <c r="AI49">
        <f t="shared" ca="1" si="29"/>
        <v>2265.2553654877966</v>
      </c>
      <c r="AJ49">
        <f t="shared" ca="1" si="29"/>
        <v>2250.2837125157171</v>
      </c>
      <c r="AK49">
        <f t="shared" ca="1" si="29"/>
        <v>2235.7930776609064</v>
      </c>
      <c r="AL49">
        <f t="shared" ca="1" si="29"/>
        <v>2221.7936382019871</v>
      </c>
      <c r="AM49">
        <f t="shared" ca="1" si="29"/>
        <v>2208.2908561841023</v>
      </c>
      <c r="AN49">
        <f t="shared" ca="1" si="29"/>
        <v>2195.2862325760693</v>
      </c>
      <c r="AO49">
        <f t="shared" ca="1" si="29"/>
        <v>2182.7779564013499</v>
      </c>
      <c r="AP49">
        <f t="shared" ca="1" si="29"/>
        <v>2170.7614637801116</v>
      </c>
      <c r="AQ49">
        <f t="shared" ca="1" si="29"/>
        <v>2159.2299195100331</v>
      </c>
      <c r="AR49">
        <f t="shared" ca="1" si="29"/>
        <v>2148.1746318954433</v>
      </c>
      <c r="AS49">
        <f t="shared" ca="1" si="29"/>
        <v>2137.5854099367389</v>
      </c>
      <c r="AT49">
        <f t="shared" ca="1" si="29"/>
        <v>2127.4508706570873</v>
      </c>
      <c r="AU49">
        <f t="shared" ca="1" si="29"/>
        <v>2117.7587032243491</v>
      </c>
      <c r="AV49">
        <f t="shared" ca="1" si="29"/>
        <v>2108.4958955849711</v>
      </c>
      <c r="AW49">
        <f t="shared" ca="1" si="29"/>
        <v>2099.6489285323023</v>
      </c>
      <c r="AX49">
        <f t="shared" ca="1" si="29"/>
        <v>2091.2039414591923</v>
      </c>
      <c r="AY49" s="9">
        <f t="shared" ca="1" si="29"/>
        <v>2083.1468734732534</v>
      </c>
      <c r="AZ49">
        <f t="shared" ca="1" si="29"/>
        <v>2075.4635830659386</v>
      </c>
      <c r="BA49">
        <f t="shared" ca="1" si="29"/>
        <v>2068.1399491098064</v>
      </c>
      <c r="BB49">
        <f t="shared" ca="1" si="29"/>
        <v>2061.1619556006817</v>
      </c>
      <c r="BC49">
        <f t="shared" ca="1" si="29"/>
        <v>2054.5157622535021</v>
      </c>
      <c r="BD49">
        <f t="shared" ca="1" si="29"/>
        <v>2048.187762794757</v>
      </c>
      <c r="BE49">
        <f t="shared" ca="1" si="29"/>
        <v>2042.1646325641668</v>
      </c>
      <c r="BF49">
        <f t="shared" ca="1" si="29"/>
        <v>2036.4333668383279</v>
      </c>
      <c r="BG49">
        <f t="shared" ca="1" si="29"/>
        <v>2030.9813111149788</v>
      </c>
      <c r="BH49">
        <f t="shared" ca="1" si="29"/>
        <v>2025.7961844446922</v>
      </c>
      <c r="BI49">
        <f t="shared" ca="1" si="29"/>
        <v>2020.8660967639626</v>
      </c>
      <c r="BJ49">
        <f t="shared" ca="1" si="29"/>
        <v>2016.1795610673178</v>
      </c>
      <c r="BK49">
        <f t="shared" ca="1" si="29"/>
        <v>2011.7255011539346</v>
      </c>
      <c r="BL49">
        <f t="shared" ca="1" si="29"/>
        <v>2007.4932555944631</v>
      </c>
      <c r="BM49">
        <f t="shared" ca="1" si="29"/>
        <v>2003.4725784847276</v>
      </c>
      <c r="BN49">
        <f t="shared" ca="1" si="29"/>
        <v>1999.6536374833231</v>
      </c>
      <c r="BO49">
        <f t="shared" ca="1" si="29"/>
        <v>1996.0270095686833</v>
      </c>
      <c r="BP49">
        <f t="shared" ref="BP49:EA52" ca="1" si="30">(BO$49*$Q36)+(BO$50*$R36)+(BO$51*$S36)+(BO$52*$T36)+(BO$53*$U36)+(BO$54*$V36)+(BO$55*$W36)+(BO$56*$X36)+(BO$57*$Y36)</f>
        <v>1992.5836748969582</v>
      </c>
      <c r="BQ49">
        <f t="shared" ca="1" si="30"/>
        <v>1989.3150090941187</v>
      </c>
      <c r="BR49">
        <f t="shared" ca="1" si="30"/>
        <v>1986.212774273368</v>
      </c>
      <c r="BS49">
        <f t="shared" ca="1" si="30"/>
        <v>1983.2691090315036</v>
      </c>
      <c r="BT49">
        <f t="shared" ca="1" si="30"/>
        <v>1980.4765176447968</v>
      </c>
      <c r="BU49">
        <f t="shared" ca="1" si="30"/>
        <v>1977.8278586556976</v>
      </c>
      <c r="BV49">
        <f t="shared" ca="1" si="30"/>
        <v>1975.31633301583</v>
      </c>
      <c r="BW49">
        <f t="shared" ca="1" si="30"/>
        <v>1972.9354719279163</v>
      </c>
      <c r="BX49">
        <f t="shared" ca="1" si="30"/>
        <v>1970.6791245091051</v>
      </c>
      <c r="BY49">
        <f t="shared" ca="1" si="30"/>
        <v>1968.5414453803962</v>
      </c>
      <c r="BZ49">
        <f t="shared" ca="1" si="30"/>
        <v>1966.5168822711873</v>
      </c>
      <c r="CA49">
        <f t="shared" ca="1" si="30"/>
        <v>1964.6001637141658</v>
      </c>
      <c r="CB49">
        <f t="shared" ca="1" si="30"/>
        <v>1962.7862868936297</v>
      </c>
      <c r="CC49">
        <f t="shared" ca="1" si="30"/>
        <v>1961.0705056996806</v>
      </c>
      <c r="CD49">
        <f t="shared" ca="1" si="30"/>
        <v>1959.4483190313831</v>
      </c>
      <c r="CE49">
        <f t="shared" ca="1" si="30"/>
        <v>1957.9154593838214</v>
      </c>
      <c r="CF49">
        <f t="shared" ca="1" si="30"/>
        <v>1956.4678817468539</v>
      </c>
      <c r="CG49">
        <f t="shared" ca="1" si="30"/>
        <v>1955.1017528371533</v>
      </c>
      <c r="CH49">
        <f t="shared" ca="1" si="30"/>
        <v>1953.8134406797342</v>
      </c>
      <c r="CI49">
        <f t="shared" ca="1" si="30"/>
        <v>1952.5995045505031</v>
      </c>
      <c r="CJ49">
        <f t="shared" ca="1" si="30"/>
        <v>1951.4566852873452</v>
      </c>
      <c r="CK49">
        <f t="shared" ca="1" si="30"/>
        <v>1950.3818959737987</v>
      </c>
      <c r="CL49">
        <f t="shared" ca="1" si="30"/>
        <v>1949.3722129964326</v>
      </c>
      <c r="CM49">
        <f t="shared" ca="1" si="30"/>
        <v>1948.4248674745279</v>
      </c>
      <c r="CN49">
        <f t="shared" ca="1" si="30"/>
        <v>1947.5372370585444</v>
      </c>
      <c r="CO49">
        <f t="shared" ca="1" si="30"/>
        <v>1946.7068380920941</v>
      </c>
      <c r="CP49">
        <f t="shared" ca="1" si="30"/>
        <v>1945.9313181306725</v>
      </c>
      <c r="CQ49">
        <f t="shared" ca="1" si="30"/>
        <v>1945.2084488091919</v>
      </c>
      <c r="CR49">
        <f t="shared" ca="1" si="30"/>
        <v>1944.5361190494068</v>
      </c>
      <c r="CS49">
        <f t="shared" ca="1" si="30"/>
        <v>1943.9123285975422</v>
      </c>
      <c r="CT49">
        <f t="shared" ca="1" si="30"/>
        <v>1943.3351818818594</v>
      </c>
      <c r="CU49">
        <f t="shared" ca="1" si="30"/>
        <v>1942.8028821794551</v>
      </c>
      <c r="CV49">
        <f t="shared" ca="1" si="30"/>
        <v>1942.3137260812882</v>
      </c>
      <c r="CW49" s="9">
        <f t="shared" ca="1" si="30"/>
        <v>1941.8660982442484</v>
      </c>
      <c r="CX49">
        <f t="shared" ca="1" si="30"/>
        <v>1941.4584664189845</v>
      </c>
      <c r="CY49">
        <f t="shared" ca="1" si="30"/>
        <v>1941.0893767422151</v>
      </c>
      <c r="CZ49">
        <f t="shared" ca="1" si="30"/>
        <v>1940.7574492823023</v>
      </c>
      <c r="DA49">
        <f t="shared" ca="1" si="30"/>
        <v>1940.4613738270089</v>
      </c>
      <c r="DB49">
        <f t="shared" ca="1" si="30"/>
        <v>1940.1999059025193</v>
      </c>
      <c r="DC49">
        <f t="shared" ca="1" si="30"/>
        <v>1939.9718630130415</v>
      </c>
      <c r="DD49">
        <f t="shared" ca="1" si="30"/>
        <v>1939.7761210905444</v>
      </c>
      <c r="DE49">
        <f t="shared" ca="1" si="30"/>
        <v>1939.611611144471</v>
      </c>
      <c r="DF49">
        <f t="shared" ca="1" si="30"/>
        <v>1939.4773161015682</v>
      </c>
      <c r="DG49">
        <f t="shared" ca="1" si="30"/>
        <v>1939.3722678262855</v>
      </c>
      <c r="DH49">
        <f t="shared" ca="1" si="30"/>
        <v>1939.295544312525</v>
      </c>
      <c r="DI49">
        <f t="shared" ca="1" si="30"/>
        <v>1939.2462670378643</v>
      </c>
      <c r="DJ49">
        <f t="shared" ca="1" si="30"/>
        <v>1939.2235984717063</v>
      </c>
      <c r="DK49">
        <f t="shared" ca="1" si="30"/>
        <v>1939.2267397291532</v>
      </c>
      <c r="DL49">
        <f t="shared" ca="1" si="30"/>
        <v>1939.254928362752</v>
      </c>
      <c r="DM49">
        <f t="shared" ca="1" si="30"/>
        <v>1939.30743628458</v>
      </c>
      <c r="DN49">
        <f t="shared" ca="1" si="30"/>
        <v>1939.3835678114924</v>
      </c>
      <c r="DO49">
        <f t="shared" ca="1" si="30"/>
        <v>1939.4826578266623</v>
      </c>
      <c r="DP49">
        <f t="shared" ca="1" si="30"/>
        <v>1939.6040700508797</v>
      </c>
      <c r="DQ49">
        <f t="shared" ca="1" si="30"/>
        <v>1939.7471954173814</v>
      </c>
      <c r="DR49">
        <f t="shared" ca="1" si="30"/>
        <v>1939.9114505442883</v>
      </c>
      <c r="DS49">
        <f t="shared" ca="1" si="30"/>
        <v>1940.0962762990262</v>
      </c>
      <c r="DT49">
        <f t="shared" ca="1" si="30"/>
        <v>1940.3011364493827</v>
      </c>
      <c r="DU49">
        <f t="shared" ca="1" si="30"/>
        <v>1940.5255163961403</v>
      </c>
      <c r="DV49">
        <f t="shared" ca="1" si="30"/>
        <v>1940.7689219824783</v>
      </c>
      <c r="DW49">
        <f t="shared" ca="1" si="30"/>
        <v>1941.0308783755993</v>
      </c>
      <c r="DX49">
        <f t="shared" ca="1" si="30"/>
        <v>1941.3109290162784</v>
      </c>
      <c r="DY49">
        <f t="shared" ca="1" si="30"/>
        <v>1941.6086346322659</v>
      </c>
      <c r="DZ49">
        <f t="shared" ca="1" si="30"/>
        <v>1941.9235723116981</v>
      </c>
      <c r="EA49">
        <f t="shared" ca="1" si="30"/>
        <v>1942.2553346328884</v>
      </c>
      <c r="EB49">
        <f t="shared" ref="EB49:EU51" ca="1" si="31">(EA$49*$Q36)+(EA$50*$R36)+(EA$51*$S36)+(EA$52*$T36)+(EA$53*$U36)+(EA$54*$V36)+(EA$55*$W36)+(EA$56*$X36)+(EA$57*$Y36)</f>
        <v>1942.6035288470666</v>
      </c>
      <c r="EC49">
        <f t="shared" ca="1" si="31"/>
        <v>1942.9677761108433</v>
      </c>
      <c r="ED49">
        <f t="shared" ca="1" si="31"/>
        <v>1943.3477107653412</v>
      </c>
      <c r="EE49">
        <f t="shared" ca="1" si="31"/>
        <v>1943.7429796591323</v>
      </c>
      <c r="EF49">
        <f t="shared" ca="1" si="31"/>
        <v>1944.1532415122688</v>
      </c>
      <c r="EG49">
        <f t="shared" ca="1" si="31"/>
        <v>1944.578166318865</v>
      </c>
      <c r="EH49">
        <f t="shared" ca="1" si="31"/>
        <v>1945.0174347858365</v>
      </c>
      <c r="EI49">
        <f t="shared" ca="1" si="31"/>
        <v>1945.4707378055407</v>
      </c>
      <c r="EJ49">
        <f t="shared" ca="1" si="31"/>
        <v>1945.9377759601994</v>
      </c>
      <c r="EK49">
        <f t="shared" ca="1" si="31"/>
        <v>1946.4182590561172</v>
      </c>
      <c r="EL49">
        <f t="shared" ca="1" si="31"/>
        <v>1946.9119056858194</v>
      </c>
      <c r="EM49">
        <f t="shared" ca="1" si="31"/>
        <v>1947.4184428163567</v>
      </c>
      <c r="EN49">
        <f t="shared" ca="1" si="31"/>
        <v>1947.9376054021268</v>
      </c>
      <c r="EO49">
        <f t="shared" ca="1" si="31"/>
        <v>1948.4691360206634</v>
      </c>
      <c r="EP49">
        <f t="shared" ca="1" si="31"/>
        <v>1949.0127845299426</v>
      </c>
      <c r="EQ49">
        <f t="shared" ca="1" si="31"/>
        <v>1949.5683077458411</v>
      </c>
      <c r="ER49">
        <f t="shared" ca="1" si="31"/>
        <v>1950.1354691384745</v>
      </c>
      <c r="ES49">
        <f t="shared" ca="1" si="31"/>
        <v>1950.7140385462114</v>
      </c>
      <c r="ET49">
        <f t="shared" ca="1" si="31"/>
        <v>1951.3037919062483</v>
      </c>
      <c r="EU49" s="9">
        <f t="shared" ca="1" si="31"/>
        <v>1951.9045110006853</v>
      </c>
    </row>
    <row r="50" spans="2:151" x14ac:dyDescent="0.25">
      <c r="B50">
        <f t="shared" ref="B50:B57" ca="1" si="32">(Q37*$O$9)+(R37*$O$10)+(S37*$O$11)+(T37*$O$12)+(U37*$O$13)+(V37*$O$14)+(W37*$O$15)+(X37*$O$16)+(Y37*$O$17)</f>
        <v>845.28729300569012</v>
      </c>
      <c r="C50">
        <f t="shared" ref="C50:R57" ca="1" si="33">(B$49*$Q37)+(B$50*$R37)+(B$51*$S37)+(B$52*$T37)+(B$53*$U37)+(B$54*$V37)+(B$55*$W37)+(B$56*$X37)+(B$57*$Y37)</f>
        <v>970.0220516276845</v>
      </c>
      <c r="D50">
        <f t="shared" ca="1" si="33"/>
        <v>1061.3072906833522</v>
      </c>
      <c r="E50">
        <f t="shared" ca="1" si="33"/>
        <v>1130.5369939078823</v>
      </c>
      <c r="F50">
        <f t="shared" ca="1" si="33"/>
        <v>1184.978242770439</v>
      </c>
      <c r="G50">
        <f t="shared" ca="1" si="33"/>
        <v>1229.1490255214646</v>
      </c>
      <c r="H50">
        <f t="shared" ca="1" si="33"/>
        <v>1265.8273053844346</v>
      </c>
      <c r="I50">
        <f t="shared" ca="1" si="33"/>
        <v>1296.7287614311908</v>
      </c>
      <c r="J50">
        <f t="shared" ca="1" si="33"/>
        <v>1322.938185191892</v>
      </c>
      <c r="K50">
        <f t="shared" ca="1" si="33"/>
        <v>1345.1736903235735</v>
      </c>
      <c r="L50">
        <f t="shared" ca="1" si="33"/>
        <v>1363.9435465227129</v>
      </c>
      <c r="M50">
        <f t="shared" ca="1" si="33"/>
        <v>1379.6366617865222</v>
      </c>
      <c r="N50">
        <f t="shared" ca="1" si="33"/>
        <v>1392.5732961284425</v>
      </c>
      <c r="O50">
        <f t="shared" ca="1" si="33"/>
        <v>1403.03258095097</v>
      </c>
      <c r="P50">
        <f t="shared" ca="1" si="33"/>
        <v>1411.2668795526749</v>
      </c>
      <c r="Q50">
        <f t="shared" ca="1" si="33"/>
        <v>1417.508915890734</v>
      </c>
      <c r="R50">
        <f t="shared" ca="1" si="33"/>
        <v>1421.9750901016762</v>
      </c>
      <c r="S50">
        <f t="shared" ca="1" si="29"/>
        <v>1424.8669024196408</v>
      </c>
      <c r="T50">
        <f t="shared" ca="1" si="29"/>
        <v>1426.3715322114085</v>
      </c>
      <c r="U50">
        <f t="shared" ca="1" si="29"/>
        <v>1426.6621179065146</v>
      </c>
      <c r="V50">
        <f t="shared" ca="1" si="29"/>
        <v>1425.8980033809257</v>
      </c>
      <c r="W50">
        <f t="shared" ca="1" si="29"/>
        <v>1424.225064160162</v>
      </c>
      <c r="X50">
        <f t="shared" ca="1" si="29"/>
        <v>1421.7761475534405</v>
      </c>
      <c r="Y50">
        <f t="shared" ca="1" si="29"/>
        <v>1418.6716222741716</v>
      </c>
      <c r="Z50">
        <f t="shared" ca="1" si="29"/>
        <v>1415.0200166521649</v>
      </c>
      <c r="AA50">
        <f t="shared" ca="1" si="29"/>
        <v>1410.9187196447604</v>
      </c>
      <c r="AB50">
        <f t="shared" ca="1" si="29"/>
        <v>1406.4547196259803</v>
      </c>
      <c r="AC50">
        <f t="shared" ca="1" si="29"/>
        <v>1401.7053591750621</v>
      </c>
      <c r="AD50">
        <f t="shared" ca="1" si="29"/>
        <v>1396.7390881174301</v>
      </c>
      <c r="AE50">
        <f t="shared" ca="1" si="29"/>
        <v>1391.616201057215</v>
      </c>
      <c r="AF50">
        <f t="shared" ca="1" si="29"/>
        <v>1386.3895492068343</v>
      </c>
      <c r="AG50">
        <f t="shared" ca="1" si="29"/>
        <v>1381.1052193355231</v>
      </c>
      <c r="AH50">
        <f t="shared" ca="1" si="29"/>
        <v>1375.8031751172191</v>
      </c>
      <c r="AI50">
        <f t="shared" ca="1" si="29"/>
        <v>1370.5178581074551</v>
      </c>
      <c r="AJ50">
        <f t="shared" ca="1" si="29"/>
        <v>1365.2787470886844</v>
      </c>
      <c r="AK50">
        <f t="shared" ca="1" si="29"/>
        <v>1360.1108756669971</v>
      </c>
      <c r="AL50">
        <f t="shared" ca="1" si="29"/>
        <v>1355.0353088485642</v>
      </c>
      <c r="AM50">
        <f t="shared" ca="1" si="29"/>
        <v>1350.069579931082</v>
      </c>
      <c r="AN50">
        <f t="shared" ca="1" si="29"/>
        <v>1345.2280894643834</v>
      </c>
      <c r="AO50">
        <f t="shared" ca="1" si="29"/>
        <v>1340.5224683068707</v>
      </c>
      <c r="AP50">
        <f t="shared" ca="1" si="29"/>
        <v>1335.9619069643579</v>
      </c>
      <c r="AQ50">
        <f t="shared" ca="1" si="29"/>
        <v>1331.5534534724193</v>
      </c>
      <c r="AR50">
        <f t="shared" ca="1" si="29"/>
        <v>1327.3022820940564</v>
      </c>
      <c r="AS50">
        <f t="shared" ca="1" si="29"/>
        <v>1323.2119350684652</v>
      </c>
      <c r="AT50">
        <f t="shared" ca="1" si="29"/>
        <v>1319.2845395772324</v>
      </c>
      <c r="AU50">
        <f t="shared" ca="1" si="29"/>
        <v>1315.5210020018612</v>
      </c>
      <c r="AV50">
        <f t="shared" ca="1" si="29"/>
        <v>1311.921181439033</v>
      </c>
      <c r="AW50">
        <f t="shared" ca="1" si="29"/>
        <v>1308.4840443236778</v>
      </c>
      <c r="AX50">
        <f t="shared" ca="1" si="29"/>
        <v>1305.2078018892917</v>
      </c>
      <c r="AY50" s="9">
        <f t="shared" ca="1" si="29"/>
        <v>1302.0900320734806</v>
      </c>
      <c r="AZ50">
        <f t="shared" ca="1" si="29"/>
        <v>1299.1277873569982</v>
      </c>
      <c r="BA50">
        <f t="shared" ca="1" si="29"/>
        <v>1296.3176899082969</v>
      </c>
      <c r="BB50">
        <f t="shared" ca="1" si="29"/>
        <v>1293.6560152941827</v>
      </c>
      <c r="BC50">
        <f t="shared" ca="1" si="29"/>
        <v>1291.1387659112811</v>
      </c>
      <c r="BD50">
        <f t="shared" ca="1" si="29"/>
        <v>1288.7617351932613</v>
      </c>
      <c r="BE50">
        <f t="shared" ca="1" si="29"/>
        <v>1286.5205635553189</v>
      </c>
      <c r="BF50">
        <f t="shared" ca="1" si="29"/>
        <v>1284.4107869503591</v>
      </c>
      <c r="BG50">
        <f t="shared" ca="1" si="29"/>
        <v>1282.4278788306044</v>
      </c>
      <c r="BH50">
        <f t="shared" ca="1" si="29"/>
        <v>1280.5672862337583</v>
      </c>
      <c r="BI50">
        <f t="shared" ca="1" si="29"/>
        <v>1278.824460644186</v>
      </c>
      <c r="BJ50">
        <f t="shared" ca="1" si="29"/>
        <v>1277.1948842165123</v>
      </c>
      <c r="BK50">
        <f t="shared" ca="1" si="29"/>
        <v>1275.6740918912935</v>
      </c>
      <c r="BL50">
        <f t="shared" ca="1" si="29"/>
        <v>1274.2576898796451</v>
      </c>
      <c r="BM50">
        <f t="shared" ca="1" si="29"/>
        <v>1272.9413709455937</v>
      </c>
      <c r="BN50">
        <f t="shared" ca="1" si="29"/>
        <v>1271.7209268711092</v>
      </c>
      <c r="BO50">
        <f t="shared" ca="1" si="29"/>
        <v>1270.5922584489736</v>
      </c>
      <c r="BP50">
        <f t="shared" ca="1" si="30"/>
        <v>1269.5513833125203</v>
      </c>
      <c r="BQ50">
        <f t="shared" ca="1" si="30"/>
        <v>1268.5944418785505</v>
      </c>
      <c r="BR50">
        <f t="shared" ca="1" si="30"/>
        <v>1267.71770165012</v>
      </c>
      <c r="BS50">
        <f t="shared" ca="1" si="30"/>
        <v>1266.9175600991232</v>
      </c>
      <c r="BT50">
        <f t="shared" ca="1" si="30"/>
        <v>1266.1905463244484</v>
      </c>
      <c r="BU50">
        <f t="shared" ca="1" si="30"/>
        <v>1265.5333216596912</v>
      </c>
      <c r="BV50">
        <f t="shared" ca="1" si="30"/>
        <v>1264.9426793847997</v>
      </c>
      <c r="BW50">
        <f t="shared" ca="1" si="30"/>
        <v>1264.4155436783819</v>
      </c>
      <c r="BX50">
        <f t="shared" ca="1" si="30"/>
        <v>1263.9489679315402</v>
      </c>
      <c r="BY50">
        <f t="shared" ca="1" si="30"/>
        <v>1263.540132529874</v>
      </c>
      <c r="BZ50">
        <f t="shared" ca="1" si="30"/>
        <v>1263.1863421975233</v>
      </c>
      <c r="CA50">
        <f t="shared" ca="1" si="30"/>
        <v>1262.8850229856989</v>
      </c>
      <c r="CB50">
        <f t="shared" ca="1" si="30"/>
        <v>1262.633718977919</v>
      </c>
      <c r="CC50">
        <f t="shared" ca="1" si="30"/>
        <v>1262.4300887750378</v>
      </c>
      <c r="CD50">
        <f t="shared" ca="1" si="30"/>
        <v>1262.2719018149955</v>
      </c>
      <c r="CE50">
        <f t="shared" ca="1" si="30"/>
        <v>1262.1570345749553</v>
      </c>
      <c r="CF50">
        <f t="shared" ca="1" si="30"/>
        <v>1262.0834666970245</v>
      </c>
      <c r="CG50">
        <f t="shared" ca="1" si="30"/>
        <v>1262.0492770730061</v>
      </c>
      <c r="CH50">
        <f t="shared" ca="1" si="30"/>
        <v>1262.0526399185296</v>
      </c>
      <c r="CI50">
        <f t="shared" ca="1" si="30"/>
        <v>1262.0918208623809</v>
      </c>
      <c r="CJ50">
        <f t="shared" ca="1" si="30"/>
        <v>1262.1651730728677</v>
      </c>
      <c r="CK50">
        <f t="shared" ca="1" si="30"/>
        <v>1262.2711334395065</v>
      </c>
      <c r="CL50">
        <f t="shared" ca="1" si="30"/>
        <v>1262.4082188252262</v>
      </c>
      <c r="CM50">
        <f t="shared" ca="1" si="30"/>
        <v>1262.5750224015326</v>
      </c>
      <c r="CN50">
        <f t="shared" ca="1" si="30"/>
        <v>1262.770210076691</v>
      </c>
      <c r="CO50">
        <f t="shared" ca="1" si="30"/>
        <v>1262.9925170248789</v>
      </c>
      <c r="CP50">
        <f t="shared" ca="1" si="30"/>
        <v>1263.2407443224306</v>
      </c>
      <c r="CQ50">
        <f t="shared" ca="1" si="30"/>
        <v>1263.5137556957043</v>
      </c>
      <c r="CR50">
        <f t="shared" ca="1" si="30"/>
        <v>1263.8104743837303</v>
      </c>
      <c r="CS50">
        <f t="shared" ca="1" si="30"/>
        <v>1264.1298801175908</v>
      </c>
      <c r="CT50">
        <f t="shared" ca="1" si="30"/>
        <v>1264.471006217484</v>
      </c>
      <c r="CU50">
        <f t="shared" ca="1" si="30"/>
        <v>1264.8329368075308</v>
      </c>
      <c r="CV50">
        <f t="shared" ca="1" si="30"/>
        <v>1265.2148041476516</v>
      </c>
      <c r="CW50" s="9">
        <f t="shared" ca="1" si="30"/>
        <v>1265.6157860812173</v>
      </c>
      <c r="CX50">
        <f t="shared" ca="1" si="30"/>
        <v>1266.0351035966482</v>
      </c>
      <c r="CY50">
        <f t="shared" ca="1" si="30"/>
        <v>1266.4720185007122</v>
      </c>
      <c r="CZ50">
        <f t="shared" ca="1" si="30"/>
        <v>1266.925831200914</v>
      </c>
      <c r="DA50">
        <f t="shared" ca="1" si="30"/>
        <v>1267.3958785940865</v>
      </c>
      <c r="DB50">
        <f t="shared" ca="1" si="30"/>
        <v>1267.8815320580798</v>
      </c>
      <c r="DC50">
        <f t="shared" ca="1" si="30"/>
        <v>1268.3821955432618</v>
      </c>
      <c r="DD50">
        <f t="shared" ca="1" si="30"/>
        <v>1268.8973037604342</v>
      </c>
      <c r="DE50">
        <f t="shared" ca="1" si="30"/>
        <v>1269.4263204616782</v>
      </c>
      <c r="DF50">
        <f t="shared" ca="1" si="30"/>
        <v>1269.9687368105949</v>
      </c>
      <c r="DG50">
        <f t="shared" ca="1" si="30"/>
        <v>1270.5240698383875</v>
      </c>
      <c r="DH50">
        <f t="shared" ca="1" si="30"/>
        <v>1271.0918609822415</v>
      </c>
      <c r="DI50">
        <f t="shared" ca="1" si="30"/>
        <v>1271.67167470248</v>
      </c>
      <c r="DJ50">
        <f t="shared" ca="1" si="30"/>
        <v>1272.2630971750182</v>
      </c>
      <c r="DK50">
        <f t="shared" ca="1" si="30"/>
        <v>1272.8657350557046</v>
      </c>
      <c r="DL50">
        <f t="shared" ca="1" si="30"/>
        <v>1273.4792143132031</v>
      </c>
      <c r="DM50">
        <f t="shared" ca="1" si="30"/>
        <v>1274.1031791271519</v>
      </c>
      <c r="DN50">
        <f t="shared" ca="1" si="30"/>
        <v>1274.7372908484333</v>
      </c>
      <c r="DO50">
        <f t="shared" ca="1" si="30"/>
        <v>1275.3812270184701</v>
      </c>
      <c r="DP50">
        <f t="shared" ca="1" si="30"/>
        <v>1276.034680444579</v>
      </c>
      <c r="DQ50">
        <f t="shared" ca="1" si="30"/>
        <v>1276.6973583285071</v>
      </c>
      <c r="DR50">
        <f t="shared" ca="1" si="30"/>
        <v>1277.3689814453835</v>
      </c>
      <c r="DS50">
        <f t="shared" ca="1" si="30"/>
        <v>1278.0492833704293</v>
      </c>
      <c r="DT50">
        <f t="shared" ca="1" si="30"/>
        <v>1278.7380097508735</v>
      </c>
      <c r="DU50">
        <f t="shared" ca="1" si="30"/>
        <v>1279.4349176206313</v>
      </c>
      <c r="DV50">
        <f t="shared" ca="1" si="30"/>
        <v>1280.1397747554054</v>
      </c>
      <c r="DW50">
        <f t="shared" ca="1" si="30"/>
        <v>1280.8523590659754</v>
      </c>
      <c r="DX50">
        <f t="shared" ca="1" si="30"/>
        <v>1281.5724580275476</v>
      </c>
      <c r="DY50">
        <f t="shared" ca="1" si="30"/>
        <v>1282.2998681431272</v>
      </c>
      <c r="DZ50">
        <f t="shared" ca="1" si="30"/>
        <v>1283.0343944389899</v>
      </c>
      <c r="EA50">
        <f t="shared" ca="1" si="30"/>
        <v>1283.7758499904032</v>
      </c>
      <c r="EB50">
        <f t="shared" ca="1" si="31"/>
        <v>1284.5240554758589</v>
      </c>
      <c r="EC50">
        <f t="shared" ca="1" si="31"/>
        <v>1285.2788387581545</v>
      </c>
      <c r="ED50">
        <f t="shared" ca="1" si="31"/>
        <v>1286.040034490758</v>
      </c>
      <c r="EE50">
        <f t="shared" ca="1" si="31"/>
        <v>1286.8074837479555</v>
      </c>
      <c r="EF50">
        <f t="shared" ca="1" si="31"/>
        <v>1287.581033677387</v>
      </c>
      <c r="EG50">
        <f t="shared" ca="1" si="31"/>
        <v>1288.3605371736207</v>
      </c>
      <c r="EH50">
        <f t="shared" ca="1" si="31"/>
        <v>1289.1458525715157</v>
      </c>
      <c r="EI50">
        <f t="shared" ca="1" si="31"/>
        <v>1289.936843358176</v>
      </c>
      <c r="EJ50">
        <f t="shared" ca="1" si="31"/>
        <v>1290.7333779023743</v>
      </c>
      <c r="EK50">
        <f t="shared" ca="1" si="31"/>
        <v>1291.5353292003788</v>
      </c>
      <c r="EL50">
        <f t="shared" ca="1" si="31"/>
        <v>1292.3425746371865</v>
      </c>
      <c r="EM50">
        <f t="shared" ca="1" si="31"/>
        <v>1293.1549957622155</v>
      </c>
      <c r="EN50">
        <f t="shared" ca="1" si="31"/>
        <v>1293.9724780785691</v>
      </c>
      <c r="EO50">
        <f t="shared" ca="1" si="31"/>
        <v>1294.7949108450321</v>
      </c>
      <c r="EP50">
        <f t="shared" ca="1" si="31"/>
        <v>1295.6221868900129</v>
      </c>
      <c r="EQ50">
        <f t="shared" ca="1" si="31"/>
        <v>1296.4542024366874</v>
      </c>
      <c r="ER50">
        <f t="shared" ca="1" si="31"/>
        <v>1297.2908569386477</v>
      </c>
      <c r="ES50">
        <f t="shared" ca="1" si="31"/>
        <v>1298.1320529254021</v>
      </c>
      <c r="ET50">
        <f t="shared" ca="1" si="31"/>
        <v>1298.9776958571051</v>
      </c>
      <c r="EU50" s="9">
        <f t="shared" ca="1" si="31"/>
        <v>1299.8276939879427</v>
      </c>
    </row>
    <row r="51" spans="2:151" x14ac:dyDescent="0.25">
      <c r="B51">
        <f t="shared" ca="1" si="32"/>
        <v>36732.986019238895</v>
      </c>
      <c r="C51">
        <f t="shared" ca="1" si="33"/>
        <v>36760.730194542783</v>
      </c>
      <c r="D51">
        <f t="shared" ref="D51:BO54" ca="1" si="34">(C$49*$Q38)+(C$50*$R38)+(C$51*$S38)+(C$52*$T38)+(C$53*$U38)+(C$54*$V38)+(C$55*$W38)+(C$56*$X38)+(C$57*$Y38)</f>
        <v>36806.015452430947</v>
      </c>
      <c r="E51">
        <f t="shared" ca="1" si="34"/>
        <v>36864.093839609501</v>
      </c>
      <c r="F51">
        <f t="shared" ca="1" si="34"/>
        <v>36931.855986159724</v>
      </c>
      <c r="G51">
        <f t="shared" ca="1" si="34"/>
        <v>37007.229495721484</v>
      </c>
      <c r="H51">
        <f t="shared" ca="1" si="34"/>
        <v>37088.779176782817</v>
      </c>
      <c r="I51">
        <f t="shared" ca="1" si="34"/>
        <v>37175.455561323033</v>
      </c>
      <c r="J51">
        <f t="shared" ca="1" si="34"/>
        <v>37266.442941328423</v>
      </c>
      <c r="K51">
        <f t="shared" ca="1" si="34"/>
        <v>37361.070515555482</v>
      </c>
      <c r="L51">
        <f t="shared" ca="1" si="34"/>
        <v>37458.761924995561</v>
      </c>
      <c r="M51">
        <f t="shared" ca="1" si="34"/>
        <v>37559.007328047977</v>
      </c>
      <c r="N51">
        <f t="shared" ca="1" si="34"/>
        <v>37661.348260864375</v>
      </c>
      <c r="O51">
        <f t="shared" ca="1" si="34"/>
        <v>37765.369475601226</v>
      </c>
      <c r="P51">
        <f t="shared" ca="1" si="34"/>
        <v>37870.694405242386</v>
      </c>
      <c r="Q51">
        <f t="shared" ca="1" si="34"/>
        <v>37976.982384895018</v>
      </c>
      <c r="R51">
        <f t="shared" ca="1" si="34"/>
        <v>38083.926628823596</v>
      </c>
      <c r="S51">
        <f t="shared" ca="1" si="34"/>
        <v>38191.252459015224</v>
      </c>
      <c r="T51">
        <f t="shared" ca="1" si="34"/>
        <v>38298.715555942654</v>
      </c>
      <c r="U51">
        <f t="shared" ca="1" si="34"/>
        <v>38406.100148247468</v>
      </c>
      <c r="V51">
        <f t="shared" ca="1" si="34"/>
        <v>38513.217131016689</v>
      </c>
      <c r="W51">
        <f t="shared" ca="1" si="34"/>
        <v>38619.902134942851</v>
      </c>
      <c r="X51">
        <f t="shared" ca="1" si="34"/>
        <v>38726.013579850391</v>
      </c>
      <c r="Y51">
        <f t="shared" ca="1" si="34"/>
        <v>38831.430746529048</v>
      </c>
      <c r="Z51">
        <f t="shared" ca="1" si="34"/>
        <v>38936.051896427809</v>
      </c>
      <c r="AA51">
        <f t="shared" ca="1" si="34"/>
        <v>39039.792462669699</v>
      </c>
      <c r="AB51">
        <f t="shared" ca="1" si="34"/>
        <v>39142.583329632209</v>
      </c>
      <c r="AC51">
        <f t="shared" ca="1" si="34"/>
        <v>39244.369212731632</v>
      </c>
      <c r="AD51">
        <f t="shared" ca="1" si="34"/>
        <v>39345.107145322916</v>
      </c>
      <c r="AE51">
        <f t="shared" ca="1" si="34"/>
        <v>39444.765075820331</v>
      </c>
      <c r="AF51">
        <f t="shared" ca="1" si="34"/>
        <v>39543.320575185367</v>
      </c>
      <c r="AG51">
        <f t="shared" ca="1" si="34"/>
        <v>39640.759652704728</v>
      </c>
      <c r="AH51">
        <f t="shared" ca="1" si="34"/>
        <v>39737.075676366694</v>
      </c>
      <c r="AI51">
        <f t="shared" ca="1" si="34"/>
        <v>39832.268393024031</v>
      </c>
      <c r="AJ51">
        <f t="shared" ca="1" si="34"/>
        <v>39926.343042801876</v>
      </c>
      <c r="AK51">
        <f t="shared" ca="1" si="34"/>
        <v>40019.309561782866</v>
      </c>
      <c r="AL51">
        <f t="shared" ca="1" si="34"/>
        <v>40111.181866808205</v>
      </c>
      <c r="AM51">
        <f t="shared" ca="1" si="34"/>
        <v>40201.977216213483</v>
      </c>
      <c r="AN51">
        <f t="shared" ca="1" si="34"/>
        <v>40291.71564042598</v>
      </c>
      <c r="AO51">
        <f t="shared" ca="1" si="34"/>
        <v>40380.419436549615</v>
      </c>
      <c r="AP51">
        <f t="shared" ca="1" si="34"/>
        <v>40468.112721325386</v>
      </c>
      <c r="AQ51">
        <f t="shared" ca="1" si="34"/>
        <v>40554.821037157555</v>
      </c>
      <c r="AR51">
        <f t="shared" ca="1" si="34"/>
        <v>40640.571006221959</v>
      </c>
      <c r="AS51">
        <f t="shared" ca="1" si="34"/>
        <v>40725.390028009781</v>
      </c>
      <c r="AT51">
        <f t="shared" ca="1" si="34"/>
        <v>40809.306015998343</v>
      </c>
      <c r="AU51">
        <f t="shared" ca="1" si="34"/>
        <v>40892.347169473236</v>
      </c>
      <c r="AV51">
        <f t="shared" ca="1" si="34"/>
        <v>40974.541776848433</v>
      </c>
      <c r="AW51">
        <f t="shared" ca="1" si="34"/>
        <v>41055.918047139188</v>
      </c>
      <c r="AX51">
        <f t="shared" ca="1" si="34"/>
        <v>41136.503966534576</v>
      </c>
      <c r="AY51" s="9">
        <f t="shared" ca="1" si="34"/>
        <v>41216.32717729143</v>
      </c>
      <c r="AZ51">
        <f t="shared" ca="1" si="34"/>
        <v>41295.414876427843</v>
      </c>
      <c r="BA51">
        <f t="shared" ca="1" si="34"/>
        <v>41373.793731933059</v>
      </c>
      <c r="BB51">
        <f t="shared" ca="1" si="34"/>
        <v>41451.489814430912</v>
      </c>
      <c r="BC51">
        <f t="shared" ca="1" si="34"/>
        <v>41528.528542437467</v>
      </c>
      <c r="BD51">
        <f t="shared" ca="1" si="34"/>
        <v>41604.934639539948</v>
      </c>
      <c r="BE51">
        <f t="shared" ca="1" si="34"/>
        <v>41680.732101994836</v>
      </c>
      <c r="BF51">
        <f t="shared" ca="1" si="34"/>
        <v>41755.944175399185</v>
      </c>
      <c r="BG51">
        <f t="shared" ca="1" si="34"/>
        <v>41830.593339230916</v>
      </c>
      <c r="BH51">
        <f t="shared" ca="1" si="34"/>
        <v>41904.701298183325</v>
      </c>
      <c r="BI51">
        <f t="shared" ca="1" si="34"/>
        <v>41978.28897933571</v>
      </c>
      <c r="BJ51">
        <f t="shared" ca="1" si="34"/>
        <v>42051.376534308321</v>
      </c>
      <c r="BK51">
        <f t="shared" ca="1" si="34"/>
        <v>42123.983345645582</v>
      </c>
      <c r="BL51">
        <f t="shared" ca="1" si="34"/>
        <v>42196.128036757698</v>
      </c>
      <c r="BM51">
        <f t="shared" ca="1" si="34"/>
        <v>42267.828484828999</v>
      </c>
      <c r="BN51">
        <f t="shared" ca="1" si="34"/>
        <v>42339.101836171067</v>
      </c>
      <c r="BO51">
        <f t="shared" ca="1" si="34"/>
        <v>42409.964523561786</v>
      </c>
      <c r="BP51">
        <f t="shared" ca="1" si="30"/>
        <v>42480.432285167808</v>
      </c>
      <c r="BQ51">
        <f t="shared" ca="1" si="30"/>
        <v>42550.520184698318</v>
      </c>
      <c r="BR51">
        <f t="shared" ca="1" si="30"/>
        <v>42620.242632483329</v>
      </c>
      <c r="BS51">
        <f t="shared" ca="1" si="30"/>
        <v>42689.613407209974</v>
      </c>
      <c r="BT51">
        <f t="shared" ca="1" si="30"/>
        <v>42758.64567808617</v>
      </c>
      <c r="BU51">
        <f t="shared" ca="1" si="30"/>
        <v>42827.352027233108</v>
      </c>
      <c r="BV51">
        <f t="shared" ca="1" si="30"/>
        <v>42895.744472136364</v>
      </c>
      <c r="BW51">
        <f t="shared" ca="1" si="30"/>
        <v>42963.834488010827</v>
      </c>
      <c r="BX51">
        <f t="shared" ca="1" si="30"/>
        <v>43031.633029956713</v>
      </c>
      <c r="BY51">
        <f t="shared" ca="1" si="30"/>
        <v>43099.150554803884</v>
      </c>
      <c r="BZ51">
        <f t="shared" ca="1" si="30"/>
        <v>43166.397042559045</v>
      </c>
      <c r="CA51">
        <f t="shared" ca="1" si="30"/>
        <v>43233.382017385651</v>
      </c>
      <c r="CB51">
        <f t="shared" ca="1" si="30"/>
        <v>43300.114568059915</v>
      </c>
      <c r="CC51">
        <f t="shared" ca="1" si="30"/>
        <v>43366.603367857868</v>
      </c>
      <c r="CD51">
        <f t="shared" ca="1" si="30"/>
        <v>43432.85669383905</v>
      </c>
      <c r="CE51">
        <f t="shared" ca="1" si="30"/>
        <v>43498.882445500989</v>
      </c>
      <c r="CF51">
        <f t="shared" ca="1" si="30"/>
        <v>43564.688162786537</v>
      </c>
      <c r="CG51">
        <f t="shared" ca="1" si="30"/>
        <v>43630.281043432915</v>
      </c>
      <c r="CH51">
        <f t="shared" ca="1" si="30"/>
        <v>43695.667959656901</v>
      </c>
      <c r="CI51">
        <f t="shared" ca="1" si="30"/>
        <v>43760.855474175616</v>
      </c>
      <c r="CJ51">
        <f t="shared" ca="1" si="30"/>
        <v>43825.849855566485</v>
      </c>
      <c r="CK51">
        <f t="shared" ca="1" si="30"/>
        <v>43890.657092973532</v>
      </c>
      <c r="CL51">
        <f t="shared" ca="1" si="30"/>
        <v>43955.282910170121</v>
      </c>
      <c r="CM51">
        <f t="shared" ca="1" si="30"/>
        <v>44019.732778990503</v>
      </c>
      <c r="CN51">
        <f t="shared" ca="1" si="30"/>
        <v>44084.011932144953</v>
      </c>
      <c r="CO51">
        <f t="shared" ca="1" si="30"/>
        <v>44148.125375434298</v>
      </c>
      <c r="CP51">
        <f t="shared" ca="1" si="30"/>
        <v>44212.077899381467</v>
      </c>
      <c r="CQ51">
        <f t="shared" ca="1" si="30"/>
        <v>44275.874090298217</v>
      </c>
      <c r="CR51">
        <f t="shared" ca="1" si="30"/>
        <v>44339.518340806193</v>
      </c>
      <c r="CS51">
        <f t="shared" ca="1" si="30"/>
        <v>44403.014859831717</v>
      </c>
      <c r="CT51">
        <f t="shared" ca="1" si="30"/>
        <v>44466.367682094213</v>
      </c>
      <c r="CU51">
        <f t="shared" ca="1" si="30"/>
        <v>44529.580677108126</v>
      </c>
      <c r="CV51">
        <f t="shared" ca="1" si="30"/>
        <v>44592.657557718223</v>
      </c>
      <c r="CW51" s="9">
        <f t="shared" ca="1" si="30"/>
        <v>44655.601888188037</v>
      </c>
      <c r="CX51">
        <f t="shared" ca="1" si="30"/>
        <v>44718.417091860938</v>
      </c>
      <c r="CY51">
        <f t="shared" ca="1" si="30"/>
        <v>44781.106458413058</v>
      </c>
      <c r="CZ51">
        <f t="shared" ca="1" si="30"/>
        <v>44843.673150716801</v>
      </c>
      <c r="DA51">
        <f t="shared" ca="1" si="30"/>
        <v>44906.120211333277</v>
      </c>
      <c r="DB51">
        <f t="shared" ca="1" si="30"/>
        <v>44968.450568651482</v>
      </c>
      <c r="DC51">
        <f t="shared" ca="1" si="30"/>
        <v>45030.66704269153</v>
      </c>
      <c r="DD51">
        <f t="shared" ca="1" si="30"/>
        <v>45092.772350588653</v>
      </c>
      <c r="DE51">
        <f t="shared" ca="1" si="30"/>
        <v>45154.769111774149</v>
      </c>
      <c r="DF51">
        <f t="shared" ca="1" si="30"/>
        <v>45216.659852868812</v>
      </c>
      <c r="DG51">
        <f t="shared" ca="1" si="30"/>
        <v>45278.447012303826</v>
      </c>
      <c r="DH51">
        <f t="shared" ca="1" si="30"/>
        <v>45340.132944683479</v>
      </c>
      <c r="DI51">
        <f t="shared" ca="1" si="30"/>
        <v>45401.719924903438</v>
      </c>
      <c r="DJ51">
        <f t="shared" ca="1" si="30"/>
        <v>45463.210152037835</v>
      </c>
      <c r="DK51">
        <f t="shared" ca="1" si="30"/>
        <v>45524.605753007658</v>
      </c>
      <c r="DL51">
        <f t="shared" ca="1" si="30"/>
        <v>45585.908786042492</v>
      </c>
      <c r="DM51">
        <f t="shared" ca="1" si="30"/>
        <v>45647.12124394712</v>
      </c>
      <c r="DN51">
        <f t="shared" ca="1" si="30"/>
        <v>45708.245057183762</v>
      </c>
      <c r="DO51">
        <f t="shared" ca="1" si="30"/>
        <v>45769.282096780487</v>
      </c>
      <c r="DP51">
        <f t="shared" ca="1" si="30"/>
        <v>45830.234177075472</v>
      </c>
      <c r="DQ51">
        <f t="shared" ca="1" si="30"/>
        <v>45891.103058306639</v>
      </c>
      <c r="DR51">
        <f t="shared" ca="1" si="30"/>
        <v>45951.89044905539</v>
      </c>
      <c r="DS51">
        <f t="shared" ca="1" si="30"/>
        <v>46012.59800855301</v>
      </c>
      <c r="DT51">
        <f t="shared" ca="1" si="30"/>
        <v>46073.227348857545</v>
      </c>
      <c r="DU51">
        <f t="shared" ca="1" si="30"/>
        <v>46133.780036908858</v>
      </c>
      <c r="DV51">
        <f t="shared" ca="1" si="30"/>
        <v>46194.257596468859</v>
      </c>
      <c r="DW51">
        <f t="shared" ca="1" si="30"/>
        <v>46254.661509953738</v>
      </c>
      <c r="DX51">
        <f t="shared" ca="1" si="30"/>
        <v>46314.993220164513</v>
      </c>
      <c r="DY51">
        <f t="shared" ca="1" si="30"/>
        <v>46375.254131922025</v>
      </c>
      <c r="DZ51">
        <f t="shared" ca="1" si="30"/>
        <v>46435.445613611846</v>
      </c>
      <c r="EA51">
        <f t="shared" ca="1" si="30"/>
        <v>46495.568998644674</v>
      </c>
      <c r="EB51">
        <f t="shared" ca="1" si="31"/>
        <v>46555.625586837115</v>
      </c>
      <c r="EC51">
        <f t="shared" ca="1" si="31"/>
        <v>46615.616645717681</v>
      </c>
      <c r="ED51">
        <f t="shared" ca="1" si="31"/>
        <v>46675.543411762417</v>
      </c>
      <c r="EE51">
        <f t="shared" ca="1" si="31"/>
        <v>46735.407091564462</v>
      </c>
      <c r="EF51">
        <f t="shared" ca="1" si="31"/>
        <v>46795.208862941428</v>
      </c>
      <c r="EG51">
        <f t="shared" ca="1" si="31"/>
        <v>46854.949875984348</v>
      </c>
      <c r="EH51">
        <f t="shared" ca="1" si="31"/>
        <v>46914.631254051783</v>
      </c>
      <c r="EI51">
        <f t="shared" ca="1" si="31"/>
        <v>46974.254094712269</v>
      </c>
      <c r="EJ51">
        <f t="shared" ca="1" si="31"/>
        <v>47033.819470638256</v>
      </c>
      <c r="EK51">
        <f t="shared" ca="1" si="31"/>
        <v>47093.328430454509</v>
      </c>
      <c r="EL51">
        <f t="shared" ca="1" si="31"/>
        <v>47152.781999543593</v>
      </c>
      <c r="EM51">
        <f t="shared" ca="1" si="31"/>
        <v>47212.181180811145</v>
      </c>
      <c r="EN51">
        <f t="shared" ca="1" si="31"/>
        <v>47271.526955413203</v>
      </c>
      <c r="EO51">
        <f t="shared" ca="1" si="31"/>
        <v>47330.820283448018</v>
      </c>
      <c r="EP51">
        <f t="shared" ca="1" si="31"/>
        <v>47390.062104614313</v>
      </c>
      <c r="EQ51">
        <f t="shared" ca="1" si="31"/>
        <v>47449.253338838105</v>
      </c>
      <c r="ER51">
        <f t="shared" ca="1" si="31"/>
        <v>47508.394886869901</v>
      </c>
      <c r="ES51">
        <f t="shared" ca="1" si="31"/>
        <v>47567.487630854041</v>
      </c>
      <c r="ET51">
        <f t="shared" ca="1" si="31"/>
        <v>47626.532434871828</v>
      </c>
      <c r="EU51" s="9">
        <f t="shared" ca="1" si="31"/>
        <v>47685.530145459983</v>
      </c>
    </row>
    <row r="52" spans="2:151" x14ac:dyDescent="0.25">
      <c r="B52">
        <f t="shared" ca="1" si="32"/>
        <v>74999939.400195673</v>
      </c>
      <c r="C52">
        <f t="shared" ca="1" si="33"/>
        <v>74999878.800457209</v>
      </c>
      <c r="D52">
        <f t="shared" ca="1" si="34"/>
        <v>74999818.200923368</v>
      </c>
      <c r="E52">
        <f t="shared" ca="1" si="34"/>
        <v>74999757.601692438</v>
      </c>
      <c r="F52">
        <f t="shared" ca="1" si="34"/>
        <v>74999697.002836138</v>
      </c>
      <c r="G52">
        <f t="shared" ca="1" si="34"/>
        <v>74999636.404408723</v>
      </c>
      <c r="H52">
        <f t="shared" ca="1" si="34"/>
        <v>74999575.806452855</v>
      </c>
      <c r="I52">
        <f t="shared" ca="1" si="34"/>
        <v>74999515.209003136</v>
      </c>
      <c r="J52">
        <f t="shared" ca="1" si="34"/>
        <v>74999454.612088308</v>
      </c>
      <c r="K52">
        <f t="shared" ca="1" si="34"/>
        <v>74999394.015732527</v>
      </c>
      <c r="L52">
        <f t="shared" ca="1" si="34"/>
        <v>74999333.419956207</v>
      </c>
      <c r="M52">
        <f t="shared" ca="1" si="34"/>
        <v>74999272.8247765</v>
      </c>
      <c r="N52">
        <f t="shared" ca="1" si="34"/>
        <v>74999212.230207726</v>
      </c>
      <c r="O52">
        <f t="shared" ca="1" si="34"/>
        <v>74999151.636261642</v>
      </c>
      <c r="P52">
        <f t="shared" ca="1" si="34"/>
        <v>74999091.042947635</v>
      </c>
      <c r="Q52">
        <f t="shared" ca="1" si="34"/>
        <v>74999030.450273022</v>
      </c>
      <c r="R52">
        <f t="shared" ca="1" si="34"/>
        <v>74998969.858243212</v>
      </c>
      <c r="S52">
        <f t="shared" ca="1" si="34"/>
        <v>74998909.266861886</v>
      </c>
      <c r="T52">
        <f t="shared" ca="1" si="34"/>
        <v>74998848.676131159</v>
      </c>
      <c r="U52">
        <f t="shared" ca="1" si="34"/>
        <v>74998788.086051807</v>
      </c>
      <c r="V52">
        <f t="shared" ca="1" si="34"/>
        <v>74998727.496623397</v>
      </c>
      <c r="W52">
        <f t="shared" ca="1" si="34"/>
        <v>74998666.907844424</v>
      </c>
      <c r="X52">
        <f t="shared" ca="1" si="34"/>
        <v>74998606.319712475</v>
      </c>
      <c r="Y52">
        <f t="shared" ca="1" si="34"/>
        <v>74998545.73222433</v>
      </c>
      <c r="Z52">
        <f t="shared" ca="1" si="34"/>
        <v>74998485.145376086</v>
      </c>
      <c r="AA52">
        <f t="shared" ca="1" si="34"/>
        <v>74998424.559163302</v>
      </c>
      <c r="AB52">
        <f t="shared" ca="1" si="34"/>
        <v>74998363.973581016</v>
      </c>
      <c r="AC52">
        <f t="shared" ca="1" si="34"/>
        <v>74998303.388623938</v>
      </c>
      <c r="AD52">
        <f t="shared" ca="1" si="34"/>
        <v>74998242.804286405</v>
      </c>
      <c r="AE52">
        <f t="shared" ca="1" si="34"/>
        <v>74998182.220562562</v>
      </c>
      <c r="AF52">
        <f t="shared" ca="1" si="34"/>
        <v>74998121.637446344</v>
      </c>
      <c r="AG52">
        <f t="shared" ca="1" si="34"/>
        <v>74998061.054931581</v>
      </c>
      <c r="AH52">
        <f t="shared" ca="1" si="34"/>
        <v>74998000.473012015</v>
      </c>
      <c r="AI52">
        <f t="shared" ca="1" si="34"/>
        <v>74997939.891681343</v>
      </c>
      <c r="AJ52">
        <f t="shared" ca="1" si="34"/>
        <v>74997879.310933277</v>
      </c>
      <c r="AK52">
        <f t="shared" ca="1" si="34"/>
        <v>74997818.730761558</v>
      </c>
      <c r="AL52">
        <f t="shared" ca="1" si="34"/>
        <v>74997758.151159957</v>
      </c>
      <c r="AM52">
        <f t="shared" ca="1" si="34"/>
        <v>74997697.57212235</v>
      </c>
      <c r="AN52">
        <f t="shared" ca="1" si="34"/>
        <v>74997636.993642703</v>
      </c>
      <c r="AO52">
        <f t="shared" ca="1" si="34"/>
        <v>74997576.415715098</v>
      </c>
      <c r="AP52">
        <f t="shared" ca="1" si="34"/>
        <v>74997515.838333726</v>
      </c>
      <c r="AQ52">
        <f t="shared" ca="1" si="34"/>
        <v>74997455.261492923</v>
      </c>
      <c r="AR52">
        <f t="shared" ca="1" si="34"/>
        <v>74997394.685187176</v>
      </c>
      <c r="AS52">
        <f t="shared" ca="1" si="34"/>
        <v>74997334.10941112</v>
      </c>
      <c r="AT52">
        <f t="shared" ca="1" si="34"/>
        <v>74997273.534159511</v>
      </c>
      <c r="AU52">
        <f t="shared" ca="1" si="34"/>
        <v>74997212.959427297</v>
      </c>
      <c r="AV52">
        <f t="shared" ca="1" si="34"/>
        <v>74997152.38520959</v>
      </c>
      <c r="AW52">
        <f t="shared" ca="1" si="34"/>
        <v>74997091.811501637</v>
      </c>
      <c r="AX52">
        <f t="shared" ca="1" si="34"/>
        <v>74997031.238298848</v>
      </c>
      <c r="AY52" s="9">
        <f t="shared" ca="1" si="34"/>
        <v>74996970.665596798</v>
      </c>
      <c r="AZ52">
        <f t="shared" ca="1" si="34"/>
        <v>74996910.09339121</v>
      </c>
      <c r="BA52">
        <f t="shared" ca="1" si="34"/>
        <v>74996849.521677956</v>
      </c>
      <c r="BB52">
        <f t="shared" ca="1" si="34"/>
        <v>74996788.950453073</v>
      </c>
      <c r="BC52">
        <f t="shared" ca="1" si="34"/>
        <v>74996728.379712731</v>
      </c>
      <c r="BD52">
        <f t="shared" ca="1" si="34"/>
        <v>74996667.809453249</v>
      </c>
      <c r="BE52">
        <f t="shared" ca="1" si="34"/>
        <v>74996607.239671066</v>
      </c>
      <c r="BF52">
        <f t="shared" ca="1" si="34"/>
        <v>74996546.670362785</v>
      </c>
      <c r="BG52">
        <f t="shared" ca="1" si="34"/>
        <v>74996486.101525128</v>
      </c>
      <c r="BH52">
        <f t="shared" ca="1" si="34"/>
        <v>74996425.533154935</v>
      </c>
      <c r="BI52">
        <f t="shared" ca="1" si="34"/>
        <v>74996364.965249166</v>
      </c>
      <c r="BJ52">
        <f t="shared" ca="1" si="34"/>
        <v>74996304.397804916</v>
      </c>
      <c r="BK52">
        <f t="shared" ca="1" si="34"/>
        <v>74996243.830819368</v>
      </c>
      <c r="BL52">
        <f t="shared" ca="1" si="34"/>
        <v>74996183.264289841</v>
      </c>
      <c r="BM52">
        <f t="shared" ca="1" si="34"/>
        <v>74996122.698213741</v>
      </c>
      <c r="BN52">
        <f t="shared" ca="1" si="34"/>
        <v>74996062.132588565</v>
      </c>
      <c r="BO52">
        <f t="shared" ca="1" si="34"/>
        <v>74996001.567411929</v>
      </c>
      <c r="BP52">
        <f t="shared" ca="1" si="30"/>
        <v>74995941.002681538</v>
      </c>
      <c r="BQ52">
        <f t="shared" ca="1" si="30"/>
        <v>74995880.438395172</v>
      </c>
      <c r="BR52">
        <f t="shared" ca="1" si="30"/>
        <v>74995819.8745507</v>
      </c>
      <c r="BS52">
        <f t="shared" ca="1" si="30"/>
        <v>74995759.31114608</v>
      </c>
      <c r="BT52">
        <f t="shared" ca="1" si="30"/>
        <v>74995698.748179331</v>
      </c>
      <c r="BU52">
        <f t="shared" ca="1" si="30"/>
        <v>74995638.185648561</v>
      </c>
      <c r="BV52">
        <f t="shared" ca="1" si="30"/>
        <v>74995577.623551935</v>
      </c>
      <c r="BW52">
        <f t="shared" ca="1" si="30"/>
        <v>74995517.061887711</v>
      </c>
      <c r="BX52">
        <f t="shared" ca="1" si="30"/>
        <v>74995456.500654176</v>
      </c>
      <c r="BY52">
        <f t="shared" ca="1" si="30"/>
        <v>74995395.939849705</v>
      </c>
      <c r="BZ52">
        <f t="shared" ca="1" si="30"/>
        <v>74995335.379472718</v>
      </c>
      <c r="CA52">
        <f t="shared" ca="1" si="30"/>
        <v>74995274.81952171</v>
      </c>
      <c r="CB52">
        <f t="shared" ca="1" si="30"/>
        <v>74995214.259995207</v>
      </c>
      <c r="CC52">
        <f t="shared" ca="1" si="30"/>
        <v>74995153.700891793</v>
      </c>
      <c r="CD52">
        <f t="shared" ca="1" si="30"/>
        <v>74995093.142210096</v>
      </c>
      <c r="CE52">
        <f t="shared" ca="1" si="30"/>
        <v>74995032.583948806</v>
      </c>
      <c r="CF52">
        <f t="shared" ca="1" si="30"/>
        <v>74994972.026106641</v>
      </c>
      <c r="CG52">
        <f t="shared" ca="1" si="30"/>
        <v>74994911.468682364</v>
      </c>
      <c r="CH52">
        <f t="shared" ca="1" si="30"/>
        <v>74994850.911674783</v>
      </c>
      <c r="CI52">
        <f t="shared" ca="1" si="30"/>
        <v>74994790.35508275</v>
      </c>
      <c r="CJ52">
        <f t="shared" ca="1" si="30"/>
        <v>74994729.798905134</v>
      </c>
      <c r="CK52">
        <f t="shared" ca="1" si="30"/>
        <v>74994669.243140876</v>
      </c>
      <c r="CL52">
        <f t="shared" ca="1" si="30"/>
        <v>74994608.687788904</v>
      </c>
      <c r="CM52">
        <f t="shared" ca="1" si="30"/>
        <v>74994548.132848203</v>
      </c>
      <c r="CN52">
        <f t="shared" ca="1" si="30"/>
        <v>74994487.578317806</v>
      </c>
      <c r="CO52">
        <f t="shared" ca="1" si="30"/>
        <v>74994427.024196729</v>
      </c>
      <c r="CP52">
        <f t="shared" ca="1" si="30"/>
        <v>74994366.470484063</v>
      </c>
      <c r="CQ52">
        <f t="shared" ca="1" si="30"/>
        <v>74994305.917178914</v>
      </c>
      <c r="CR52">
        <f t="shared" ca="1" si="30"/>
        <v>74994245.364280373</v>
      </c>
      <c r="CS52">
        <f t="shared" ca="1" si="30"/>
        <v>74994184.81178762</v>
      </c>
      <c r="CT52">
        <f t="shared" ca="1" si="30"/>
        <v>74994124.259699807</v>
      </c>
      <c r="CU52">
        <f t="shared" ca="1" si="30"/>
        <v>74994063.708016127</v>
      </c>
      <c r="CV52">
        <f t="shared" ca="1" si="30"/>
        <v>74994003.156735808</v>
      </c>
      <c r="CW52" s="9">
        <f t="shared" ca="1" si="30"/>
        <v>74993942.605858088</v>
      </c>
      <c r="CX52">
        <f t="shared" ca="1" si="30"/>
        <v>74993882.055382207</v>
      </c>
      <c r="CY52">
        <f t="shared" ca="1" si="30"/>
        <v>74993821.505307466</v>
      </c>
      <c r="CZ52">
        <f t="shared" ca="1" si="30"/>
        <v>74993760.955633134</v>
      </c>
      <c r="DA52">
        <f t="shared" ca="1" si="30"/>
        <v>74993700.406358525</v>
      </c>
      <c r="DB52">
        <f t="shared" ca="1" si="30"/>
        <v>74993639.857483</v>
      </c>
      <c r="DC52">
        <f t="shared" ca="1" si="30"/>
        <v>74993579.309005871</v>
      </c>
      <c r="DD52">
        <f t="shared" ca="1" si="30"/>
        <v>74993518.760926515</v>
      </c>
      <c r="DE52">
        <f t="shared" ca="1" si="30"/>
        <v>74993458.213244304</v>
      </c>
      <c r="DF52">
        <f t="shared" ca="1" si="30"/>
        <v>74993397.665958628</v>
      </c>
      <c r="DG52">
        <f t="shared" ca="1" si="30"/>
        <v>74993337.119068891</v>
      </c>
      <c r="DH52">
        <f t="shared" ca="1" si="30"/>
        <v>74993276.572574526</v>
      </c>
      <c r="DI52">
        <f t="shared" ca="1" si="30"/>
        <v>74993216.026474953</v>
      </c>
      <c r="DJ52">
        <f t="shared" ca="1" si="30"/>
        <v>74993155.480769619</v>
      </c>
      <c r="DK52">
        <f t="shared" ca="1" si="30"/>
        <v>74993094.935457975</v>
      </c>
      <c r="DL52">
        <f t="shared" ca="1" si="30"/>
        <v>74993034.390539497</v>
      </c>
      <c r="DM52">
        <f t="shared" ca="1" si="30"/>
        <v>74992973.846013665</v>
      </c>
      <c r="DN52">
        <f t="shared" ca="1" si="30"/>
        <v>74992913.301879972</v>
      </c>
      <c r="DO52">
        <f t="shared" ca="1" si="30"/>
        <v>74992852.758137941</v>
      </c>
      <c r="DP52">
        <f t="shared" ca="1" si="30"/>
        <v>74992792.214787066</v>
      </c>
      <c r="DQ52">
        <f t="shared" ca="1" si="30"/>
        <v>74992731.671826854</v>
      </c>
      <c r="DR52">
        <f t="shared" ca="1" si="30"/>
        <v>74992671.129256859</v>
      </c>
      <c r="DS52">
        <f t="shared" ca="1" si="30"/>
        <v>74992610.587076619</v>
      </c>
      <c r="DT52">
        <f t="shared" ca="1" si="30"/>
        <v>74992550.045285687</v>
      </c>
      <c r="DU52">
        <f t="shared" ca="1" si="30"/>
        <v>74992489.50388363</v>
      </c>
      <c r="DV52">
        <f t="shared" ca="1" si="30"/>
        <v>74992428.962870017</v>
      </c>
      <c r="DW52">
        <f t="shared" ca="1" si="30"/>
        <v>74992368.4222444</v>
      </c>
      <c r="DX52">
        <f t="shared" ca="1" si="30"/>
        <v>74992307.882006392</v>
      </c>
      <c r="DY52">
        <f t="shared" ca="1" si="30"/>
        <v>74992247.342155591</v>
      </c>
      <c r="DZ52">
        <f t="shared" ca="1" si="30"/>
        <v>74992186.802691594</v>
      </c>
      <c r="EA52">
        <f t="shared" ref="EA52:EU57" ca="1" si="35">(DZ$49*$Q39)+(DZ$50*$R39)+(DZ$51*$S39)+(DZ$52*$T39)+(DZ$53*$U39)+(DZ$54*$V39)+(DZ$55*$W39)+(DZ$56*$X39)+(DZ$57*$Y39)</f>
        <v>74992126.263614014</v>
      </c>
      <c r="EB52">
        <f t="shared" ca="1" si="35"/>
        <v>74992065.724922463</v>
      </c>
      <c r="EC52">
        <f t="shared" ca="1" si="35"/>
        <v>74992005.18661657</v>
      </c>
      <c r="ED52">
        <f t="shared" ca="1" si="35"/>
        <v>74991944.648695961</v>
      </c>
      <c r="EE52">
        <f t="shared" ca="1" si="35"/>
        <v>74991884.111160278</v>
      </c>
      <c r="EF52">
        <f t="shared" ca="1" si="35"/>
        <v>74991823.57400918</v>
      </c>
      <c r="EG52">
        <f t="shared" ca="1" si="35"/>
        <v>74991763.037242293</v>
      </c>
      <c r="EH52">
        <f t="shared" ca="1" si="35"/>
        <v>74991702.50085929</v>
      </c>
      <c r="EI52">
        <f t="shared" ca="1" si="35"/>
        <v>74991641.964859843</v>
      </c>
      <c r="EJ52">
        <f t="shared" ca="1" si="35"/>
        <v>74991581.429243624</v>
      </c>
      <c r="EK52">
        <f t="shared" ca="1" si="35"/>
        <v>74991520.894010305</v>
      </c>
      <c r="EL52">
        <f t="shared" ca="1" si="35"/>
        <v>74991460.359159574</v>
      </c>
      <c r="EM52">
        <f t="shared" ca="1" si="35"/>
        <v>74991399.824691117</v>
      </c>
      <c r="EN52">
        <f t="shared" ca="1" si="35"/>
        <v>74991339.290604636</v>
      </c>
      <c r="EO52">
        <f t="shared" ca="1" si="35"/>
        <v>74991278.756899804</v>
      </c>
      <c r="EP52">
        <f t="shared" ca="1" si="35"/>
        <v>74991218.223576367</v>
      </c>
      <c r="EQ52">
        <f t="shared" ca="1" si="35"/>
        <v>74991157.690633997</v>
      </c>
      <c r="ER52">
        <f t="shared" ca="1" si="35"/>
        <v>74991097.158072442</v>
      </c>
      <c r="ES52">
        <f t="shared" ca="1" si="35"/>
        <v>74991036.625891402</v>
      </c>
      <c r="ET52">
        <f t="shared" ca="1" si="35"/>
        <v>74990976.094090626</v>
      </c>
      <c r="EU52" s="9">
        <f t="shared" ca="1" si="35"/>
        <v>74990915.562669814</v>
      </c>
    </row>
    <row r="53" spans="2:151" x14ac:dyDescent="0.25">
      <c r="B53">
        <f t="shared" ca="1" si="32"/>
        <v>59.962827236635206</v>
      </c>
      <c r="C53">
        <f t="shared" ca="1" si="33"/>
        <v>60.073099885069198</v>
      </c>
      <c r="D53">
        <f t="shared" ca="1" si="34"/>
        <v>60.284917795036989</v>
      </c>
      <c r="E53">
        <f t="shared" ca="1" si="34"/>
        <v>60.570597268043336</v>
      </c>
      <c r="F53">
        <f t="shared" ca="1" si="34"/>
        <v>60.912403158683098</v>
      </c>
      <c r="G53">
        <f t="shared" ca="1" si="34"/>
        <v>61.298230111218039</v>
      </c>
      <c r="H53">
        <f t="shared" ca="1" si="34"/>
        <v>61.719307870277333</v>
      </c>
      <c r="I53">
        <f t="shared" ca="1" si="34"/>
        <v>62.168952696075038</v>
      </c>
      <c r="J53">
        <f t="shared" ca="1" si="34"/>
        <v>62.641865774559662</v>
      </c>
      <c r="K53">
        <f t="shared" ca="1" si="34"/>
        <v>63.133722339138664</v>
      </c>
      <c r="L53">
        <f t="shared" ca="1" si="34"/>
        <v>63.640918807554144</v>
      </c>
      <c r="M53">
        <f t="shared" ca="1" si="34"/>
        <v>64.160408434040306</v>
      </c>
      <c r="N53">
        <f t="shared" ca="1" si="34"/>
        <v>64.689588493825795</v>
      </c>
      <c r="O53">
        <f t="shared" ca="1" si="34"/>
        <v>65.226218888636311</v>
      </c>
      <c r="P53">
        <f t="shared" ca="1" si="34"/>
        <v>65.76836091625573</v>
      </c>
      <c r="Q53">
        <f t="shared" ca="1" si="34"/>
        <v>66.314329667305387</v>
      </c>
      <c r="R53">
        <f t="shared" ca="1" si="34"/>
        <v>66.862656082502696</v>
      </c>
      <c r="S53">
        <f t="shared" ca="1" si="34"/>
        <v>67.412056142873055</v>
      </c>
      <c r="T53">
        <f t="shared" ca="1" si="34"/>
        <v>67.961405500488524</v>
      </c>
      <c r="U53">
        <f t="shared" ca="1" si="34"/>
        <v>68.509718362902092</v>
      </c>
      <c r="V53">
        <f t="shared" ca="1" si="34"/>
        <v>69.056129765328265</v>
      </c>
      <c r="W53">
        <f t="shared" ca="1" si="34"/>
        <v>69.5998805783086</v>
      </c>
      <c r="X53">
        <f t="shared" ca="1" si="34"/>
        <v>70.140304747460092</v>
      </c>
      <c r="Y53">
        <f t="shared" ca="1" si="34"/>
        <v>70.676818369714255</v>
      </c>
      <c r="Z53">
        <f t="shared" ca="1" si="34"/>
        <v>71.208910291023031</v>
      </c>
      <c r="AA53">
        <f t="shared" ca="1" si="34"/>
        <v>71.736133972181889</v>
      </c>
      <c r="AB53">
        <f t="shared" ca="1" si="34"/>
        <v>72.258100417475546</v>
      </c>
      <c r="AC53">
        <f t="shared" ca="1" si="34"/>
        <v>72.774471998782104</v>
      </c>
      <c r="AD53">
        <f t="shared" ca="1" si="34"/>
        <v>73.284957037991148</v>
      </c>
      <c r="AE53">
        <f t="shared" ca="1" si="34"/>
        <v>73.789305034834968</v>
      </c>
      <c r="AF53">
        <f t="shared" ca="1" si="34"/>
        <v>74.287302446785745</v>
      </c>
      <c r="AG53">
        <f t="shared" ca="1" si="34"/>
        <v>74.778768943507814</v>
      </c>
      <c r="AH53">
        <f t="shared" ca="1" si="34"/>
        <v>75.263554071228498</v>
      </c>
      <c r="AI53">
        <f t="shared" ca="1" si="34"/>
        <v>75.741534272891116</v>
      </c>
      <c r="AJ53">
        <f t="shared" ca="1" si="34"/>
        <v>76.212610218544668</v>
      </c>
      <c r="AK53">
        <f t="shared" ca="1" si="34"/>
        <v>76.676704407475953</v>
      </c>
      <c r="AL53">
        <f t="shared" ca="1" si="34"/>
        <v>77.133759009396556</v>
      </c>
      <c r="AM53">
        <f t="shared" ca="1" si="34"/>
        <v>77.583733916794742</v>
      </c>
      <c r="AN53">
        <f t="shared" ca="1" si="34"/>
        <v>78.026604984540597</v>
      </c>
      <c r="AO53">
        <f t="shared" ca="1" si="34"/>
        <v>78.462362436144531</v>
      </c>
      <c r="AP53">
        <f t="shared" ca="1" si="34"/>
        <v>78.891009418836205</v>
      </c>
      <c r="AQ53">
        <f t="shared" ca="1" si="34"/>
        <v>79.312560691954275</v>
      </c>
      <c r="AR53">
        <f t="shared" ca="1" si="34"/>
        <v>79.727041435094407</v>
      </c>
      <c r="AS53">
        <f t="shared" ca="1" si="34"/>
        <v>80.134486164120901</v>
      </c>
      <c r="AT53">
        <f t="shared" ca="1" si="34"/>
        <v>80.534937744557951</v>
      </c>
      <c r="AU53">
        <f t="shared" ca="1" si="34"/>
        <v>80.928446493081651</v>
      </c>
      <c r="AV53">
        <f t="shared" ca="1" si="34"/>
        <v>81.31506935886955</v>
      </c>
      <c r="AW53">
        <f t="shared" ca="1" si="34"/>
        <v>81.694869177458401</v>
      </c>
      <c r="AX53">
        <f t="shared" ca="1" si="34"/>
        <v>82.067913990535587</v>
      </c>
      <c r="AY53" s="9">
        <f t="shared" ca="1" si="34"/>
        <v>82.434276425765347</v>
      </c>
      <c r="AZ53">
        <f t="shared" ca="1" si="34"/>
        <v>82.79403313134172</v>
      </c>
      <c r="BA53">
        <f t="shared" ca="1" si="34"/>
        <v>83.147264260480057</v>
      </c>
      <c r="BB53">
        <f t="shared" ca="1" si="34"/>
        <v>83.494053001517955</v>
      </c>
      <c r="BC53">
        <f t="shared" ca="1" si="34"/>
        <v>83.83448514970263</v>
      </c>
      <c r="BD53">
        <f t="shared" ca="1" si="34"/>
        <v>84.168648717104233</v>
      </c>
      <c r="BE53">
        <f t="shared" ca="1" si="34"/>
        <v>84.496633577417398</v>
      </c>
      <c r="BF53">
        <f t="shared" ca="1" si="34"/>
        <v>84.818531142702568</v>
      </c>
      <c r="BG53">
        <f t="shared" ca="1" si="34"/>
        <v>85.134434069379296</v>
      </c>
      <c r="BH53">
        <f t="shared" ca="1" si="34"/>
        <v>85.444435991017016</v>
      </c>
      <c r="BI53">
        <f t="shared" ca="1" si="34"/>
        <v>85.748631275681262</v>
      </c>
      <c r="BJ53">
        <f t="shared" ca="1" si="34"/>
        <v>86.047114805784034</v>
      </c>
      <c r="BK53">
        <f t="shared" ca="1" si="34"/>
        <v>86.339981778561338</v>
      </c>
      <c r="BL53">
        <f t="shared" ca="1" si="34"/>
        <v>86.6273275254579</v>
      </c>
      <c r="BM53">
        <f t="shared" ca="1" si="34"/>
        <v>86.909247348843621</v>
      </c>
      <c r="BN53">
        <f t="shared" ca="1" si="34"/>
        <v>87.185836374616287</v>
      </c>
      <c r="BO53">
        <f t="shared" ca="1" si="34"/>
        <v>87.457189419365164</v>
      </c>
      <c r="BP53">
        <f t="shared" ref="BP53:EA57" ca="1" si="36">(BO$49*$Q40)+(BO$50*$R40)+(BO$51*$S40)+(BO$52*$T40)+(BO$53*$U40)+(BO$54*$V40)+(BO$55*$W40)+(BO$56*$X40)+(BO$57*$Y40)</f>
        <v>87.723400870878777</v>
      </c>
      <c r="BQ53">
        <f t="shared" ca="1" si="36"/>
        <v>87.98456458088026</v>
      </c>
      <c r="BR53">
        <f t="shared" ca="1" si="36"/>
        <v>88.240773768964615</v>
      </c>
      <c r="BS53">
        <f t="shared" ca="1" si="36"/>
        <v>88.492120936796326</v>
      </c>
      <c r="BT53">
        <f t="shared" ca="1" si="36"/>
        <v>88.738697791702037</v>
      </c>
      <c r="BU53">
        <f t="shared" ca="1" si="36"/>
        <v>88.980595178863609</v>
      </c>
      <c r="BV53">
        <f t="shared" ca="1" si="36"/>
        <v>89.217903021381119</v>
      </c>
      <c r="BW53">
        <f t="shared" ca="1" si="36"/>
        <v>89.45071026753503</v>
      </c>
      <c r="BX53">
        <f t="shared" ca="1" si="36"/>
        <v>89.679104844630601</v>
      </c>
      <c r="BY53">
        <f t="shared" ca="1" si="36"/>
        <v>89.903173618858077</v>
      </c>
      <c r="BZ53">
        <f t="shared" ca="1" si="36"/>
        <v>90.123002360647916</v>
      </c>
      <c r="CA53">
        <f t="shared" ca="1" si="36"/>
        <v>90.338675715042385</v>
      </c>
      <c r="CB53">
        <f t="shared" ca="1" si="36"/>
        <v>90.550277176643988</v>
      </c>
      <c r="CC53">
        <f t="shared" ca="1" si="36"/>
        <v>90.757889068736603</v>
      </c>
      <c r="CD53">
        <f t="shared" ca="1" si="36"/>
        <v>90.961592526208136</v>
      </c>
      <c r="CE53">
        <f t="shared" ca="1" si="36"/>
        <v>91.161467481933656</v>
      </c>
      <c r="CF53">
        <f t="shared" ca="1" si="36"/>
        <v>91.35759265630584</v>
      </c>
      <c r="CG53">
        <f t="shared" ca="1" si="36"/>
        <v>91.550045549624812</v>
      </c>
      <c r="CH53">
        <f t="shared" ca="1" si="36"/>
        <v>91.738902437083354</v>
      </c>
      <c r="CI53">
        <f t="shared" ca="1" si="36"/>
        <v>91.924238366104746</v>
      </c>
      <c r="CJ53">
        <f t="shared" ca="1" si="36"/>
        <v>92.106127155810654</v>
      </c>
      <c r="CK53">
        <f t="shared" ca="1" si="36"/>
        <v>92.284641398414394</v>
      </c>
      <c r="CL53">
        <f t="shared" ca="1" si="36"/>
        <v>92.459852462352302</v>
      </c>
      <c r="CM53">
        <f t="shared" ca="1" si="36"/>
        <v>92.631830496980882</v>
      </c>
      <c r="CN53">
        <f t="shared" ca="1" si="36"/>
        <v>92.800644438682028</v>
      </c>
      <c r="CO53">
        <f t="shared" ca="1" si="36"/>
        <v>92.966362018231436</v>
      </c>
      <c r="CP53">
        <f t="shared" ca="1" si="36"/>
        <v>93.129049769297708</v>
      </c>
      <c r="CQ53">
        <f t="shared" ca="1" si="36"/>
        <v>93.288773037950477</v>
      </c>
      <c r="CR53">
        <f t="shared" ca="1" si="36"/>
        <v>93.44559599306622</v>
      </c>
      <c r="CS53">
        <f t="shared" ca="1" si="36"/>
        <v>93.59958163752971</v>
      </c>
      <c r="CT53">
        <f t="shared" ca="1" si="36"/>
        <v>93.750791820137891</v>
      </c>
      <c r="CU53">
        <f t="shared" ca="1" si="36"/>
        <v>93.899287248120714</v>
      </c>
      <c r="CV53">
        <f t="shared" ca="1" si="36"/>
        <v>94.045127500200763</v>
      </c>
      <c r="CW53" s="9">
        <f t="shared" ca="1" si="36"/>
        <v>94.188371040120543</v>
      </c>
      <c r="CX53">
        <f t="shared" ca="1" si="36"/>
        <v>94.32907523057186</v>
      </c>
      <c r="CY53">
        <f t="shared" ca="1" si="36"/>
        <v>94.467296347468121</v>
      </c>
      <c r="CZ53">
        <f t="shared" ca="1" si="36"/>
        <v>94.603089594505093</v>
      </c>
      <c r="DA53">
        <f t="shared" ca="1" si="36"/>
        <v>94.736509117960608</v>
      </c>
      <c r="DB53">
        <f t="shared" ca="1" si="36"/>
        <v>94.867608021688142</v>
      </c>
      <c r="DC53">
        <f t="shared" ca="1" si="36"/>
        <v>94.996438382263221</v>
      </c>
      <c r="DD53">
        <f t="shared" ca="1" si="36"/>
        <v>95.123051264245419</v>
      </c>
      <c r="DE53">
        <f t="shared" ca="1" si="36"/>
        <v>95.247496735521821</v>
      </c>
      <c r="DF53">
        <f t="shared" ca="1" si="36"/>
        <v>95.36982388270151</v>
      </c>
      <c r="DG53">
        <f t="shared" ca="1" si="36"/>
        <v>95.490080826532875</v>
      </c>
      <c r="DH53">
        <f t="shared" ca="1" si="36"/>
        <v>95.608314737318764</v>
      </c>
      <c r="DI53">
        <f t="shared" ca="1" si="36"/>
        <v>95.724571850306532</v>
      </c>
      <c r="DJ53">
        <f t="shared" ca="1" si="36"/>
        <v>95.83889748103239</v>
      </c>
      <c r="DK53">
        <f t="shared" ca="1" si="36"/>
        <v>95.951336040601731</v>
      </c>
      <c r="DL53">
        <f t="shared" ca="1" si="36"/>
        <v>96.061931050888532</v>
      </c>
      <c r="DM53">
        <f t="shared" ca="1" si="36"/>
        <v>96.170725159639062</v>
      </c>
      <c r="DN53">
        <f t="shared" ca="1" si="36"/>
        <v>96.27776015546651</v>
      </c>
      <c r="DO53">
        <f t="shared" ca="1" si="36"/>
        <v>96.383076982724461</v>
      </c>
      <c r="DP53">
        <f t="shared" ca="1" si="36"/>
        <v>96.486715756249055</v>
      </c>
      <c r="DQ53">
        <f t="shared" ca="1" si="36"/>
        <v>96.588715775959869</v>
      </c>
      <c r="DR53">
        <f t="shared" ca="1" si="36"/>
        <v>96.689115541311764</v>
      </c>
      <c r="DS53">
        <f t="shared" ca="1" si="36"/>
        <v>96.787952765590219</v>
      </c>
      <c r="DT53">
        <f t="shared" ca="1" si="36"/>
        <v>96.885264390043744</v>
      </c>
      <c r="DU53">
        <f t="shared" ca="1" si="36"/>
        <v>96.981086597848119</v>
      </c>
      <c r="DV53">
        <f t="shared" ca="1" si="36"/>
        <v>97.075454827897559</v>
      </c>
      <c r="DW53">
        <f t="shared" ca="1" si="36"/>
        <v>97.168403788418971</v>
      </c>
      <c r="DX53">
        <f t="shared" ca="1" si="36"/>
        <v>97.259967470405783</v>
      </c>
      <c r="DY53">
        <f t="shared" ca="1" si="36"/>
        <v>97.350179160868677</v>
      </c>
      <c r="DZ53">
        <f t="shared" ca="1" si="36"/>
        <v>97.439071455901015</v>
      </c>
      <c r="EA53">
        <f t="shared" ca="1" si="36"/>
        <v>97.526676273557257</v>
      </c>
      <c r="EB53">
        <f t="shared" ca="1" si="35"/>
        <v>97.613024866542787</v>
      </c>
      <c r="EC53">
        <f t="shared" ca="1" si="35"/>
        <v>97.698147834714604</v>
      </c>
      <c r="ED53">
        <f t="shared" ca="1" si="35"/>
        <v>97.782075137392255</v>
      </c>
      <c r="EE53">
        <f t="shared" ca="1" si="35"/>
        <v>97.864836105478602</v>
      </c>
      <c r="EF53">
        <f t="shared" ca="1" si="35"/>
        <v>97.946459453390744</v>
      </c>
      <c r="EG53">
        <f t="shared" ca="1" si="35"/>
        <v>98.026973290801394</v>
      </c>
      <c r="EH53">
        <f t="shared" ca="1" si="35"/>
        <v>98.106405134191277</v>
      </c>
      <c r="EI53">
        <f t="shared" ca="1" si="35"/>
        <v>98.184781918213361</v>
      </c>
      <c r="EJ53">
        <f t="shared" ca="1" si="35"/>
        <v>98.262130006870137</v>
      </c>
      <c r="EK53">
        <f t="shared" ca="1" si="35"/>
        <v>98.33847520450486</v>
      </c>
      <c r="EL53">
        <f t="shared" ca="1" si="35"/>
        <v>98.413842766608326</v>
      </c>
      <c r="EM53">
        <f t="shared" ca="1" si="35"/>
        <v>98.488257410442628</v>
      </c>
      <c r="EN53">
        <f t="shared" ca="1" si="35"/>
        <v>98.561743325483434</v>
      </c>
      <c r="EO53">
        <f t="shared" ca="1" si="35"/>
        <v>98.634324183682708</v>
      </c>
      <c r="EP53">
        <f t="shared" ca="1" si="35"/>
        <v>98.706023149553459</v>
      </c>
      <c r="EQ53">
        <f t="shared" ca="1" si="35"/>
        <v>98.776862890078732</v>
      </c>
      <c r="ER53">
        <f t="shared" ca="1" si="35"/>
        <v>98.846865584446462</v>
      </c>
      <c r="ES53">
        <f t="shared" ca="1" si="35"/>
        <v>98.916052933612761</v>
      </c>
      <c r="ET53">
        <f t="shared" ca="1" si="35"/>
        <v>98.98444616969509</v>
      </c>
      <c r="EU53" s="9">
        <f t="shared" ca="1" si="35"/>
        <v>99.05206606519819</v>
      </c>
    </row>
    <row r="54" spans="2:151" x14ac:dyDescent="0.25">
      <c r="B54">
        <f t="shared" ca="1" si="32"/>
        <v>818.95242829819165</v>
      </c>
      <c r="C54">
        <f t="shared" ca="1" si="33"/>
        <v>690.21848370251064</v>
      </c>
      <c r="D54">
        <f t="shared" ca="1" si="34"/>
        <v>598.68853037188376</v>
      </c>
      <c r="E54">
        <f t="shared" ca="1" si="34"/>
        <v>533.78181811118111</v>
      </c>
      <c r="F54">
        <f t="shared" ca="1" si="34"/>
        <v>488.05063914127987</v>
      </c>
      <c r="G54">
        <f t="shared" ca="1" si="34"/>
        <v>456.20300848452348</v>
      </c>
      <c r="H54">
        <f t="shared" ca="1" si="34"/>
        <v>434.4361675881953</v>
      </c>
      <c r="I54">
        <f t="shared" ca="1" si="34"/>
        <v>419.98663270100786</v>
      </c>
      <c r="J54">
        <f t="shared" ca="1" si="34"/>
        <v>410.82620330764325</v>
      </c>
      <c r="K54">
        <f t="shared" ca="1" si="34"/>
        <v>405.45483764255249</v>
      </c>
      <c r="L54">
        <f t="shared" ca="1" si="34"/>
        <v>402.75757082801192</v>
      </c>
      <c r="M54">
        <f t="shared" ca="1" si="34"/>
        <v>401.90398211549268</v>
      </c>
      <c r="N54">
        <f t="shared" ca="1" si="34"/>
        <v>402.27625971560013</v>
      </c>
      <c r="O54">
        <f t="shared" ca="1" si="34"/>
        <v>403.41680422767161</v>
      </c>
      <c r="P54">
        <f t="shared" ca="1" si="34"/>
        <v>404.98944325969626</v>
      </c>
      <c r="Q54">
        <f t="shared" ca="1" si="34"/>
        <v>406.75032555925139</v>
      </c>
      <c r="R54">
        <f t="shared" ca="1" si="34"/>
        <v>408.52583870634606</v>
      </c>
      <c r="S54">
        <f t="shared" ca="1" si="34"/>
        <v>410.19571764750617</v>
      </c>
      <c r="T54">
        <f t="shared" ca="1" si="34"/>
        <v>411.68005061190297</v>
      </c>
      <c r="U54">
        <f t="shared" ca="1" si="34"/>
        <v>412.9292491535125</v>
      </c>
      <c r="V54">
        <f t="shared" ca="1" si="34"/>
        <v>413.91629516109015</v>
      </c>
      <c r="W54">
        <f t="shared" ca="1" si="34"/>
        <v>414.63074990242922</v>
      </c>
      <c r="X54">
        <f t="shared" ca="1" si="34"/>
        <v>415.07413358833105</v>
      </c>
      <c r="Y54">
        <f t="shared" ca="1" si="34"/>
        <v>415.2563743491541</v>
      </c>
      <c r="Z54">
        <f t="shared" ca="1" si="34"/>
        <v>415.19309302687202</v>
      </c>
      <c r="AA54">
        <f t="shared" ca="1" si="34"/>
        <v>414.90354141031446</v>
      </c>
      <c r="AB54">
        <f t="shared" ca="1" si="34"/>
        <v>414.40905090868193</v>
      </c>
      <c r="AC54">
        <f t="shared" ca="1" si="34"/>
        <v>413.73187921198837</v>
      </c>
      <c r="AD54">
        <f t="shared" ca="1" si="34"/>
        <v>412.8943663742092</v>
      </c>
      <c r="AE54">
        <f t="shared" ca="1" si="34"/>
        <v>411.91833052872306</v>
      </c>
      <c r="AF54">
        <f t="shared" ca="1" si="34"/>
        <v>410.82464825454133</v>
      </c>
      <c r="AG54">
        <f t="shared" ca="1" si="34"/>
        <v>409.63297632098784</v>
      </c>
      <c r="AH54">
        <f t="shared" ca="1" si="34"/>
        <v>408.36158080968448</v>
      </c>
      <c r="AI54">
        <f t="shared" ca="1" si="34"/>
        <v>407.02724695815863</v>
      </c>
      <c r="AJ54">
        <f t="shared" ca="1" si="34"/>
        <v>405.64524888919539</v>
      </c>
      <c r="AK54">
        <f t="shared" ca="1" si="34"/>
        <v>404.22936299881854</v>
      </c>
      <c r="AL54">
        <f t="shared" ca="1" si="34"/>
        <v>402.79191242207025</v>
      </c>
      <c r="AM54">
        <f t="shared" ca="1" si="34"/>
        <v>401.34383287666287</v>
      </c>
      <c r="AN54">
        <f t="shared" ca="1" si="34"/>
        <v>399.8947524567414</v>
      </c>
      <c r="AO54">
        <f t="shared" ca="1" si="34"/>
        <v>398.45307973710771</v>
      </c>
      <c r="AP54">
        <f t="shared" ca="1" si="34"/>
        <v>397.02609595167303</v>
      </c>
      <c r="AQ54">
        <f t="shared" ca="1" si="34"/>
        <v>395.62004810783901</v>
      </c>
      <c r="AR54">
        <f t="shared" ca="1" si="34"/>
        <v>394.2402407541145</v>
      </c>
      <c r="AS54">
        <f t="shared" ca="1" si="34"/>
        <v>392.89112478192646</v>
      </c>
      <c r="AT54">
        <f t="shared" ca="1" si="34"/>
        <v>391.57638215442086</v>
      </c>
      <c r="AU54">
        <f t="shared" ca="1" si="34"/>
        <v>390.2990058470557</v>
      </c>
      <c r="AV54">
        <f t="shared" ca="1" si="34"/>
        <v>389.06137458243848</v>
      </c>
      <c r="AW54">
        <f t="shared" ca="1" si="34"/>
        <v>387.86532216540326</v>
      </c>
      <c r="AX54">
        <f t="shared" ca="1" si="34"/>
        <v>386.71220138986689</v>
      </c>
      <c r="AY54" s="9">
        <f t="shared" ca="1" si="34"/>
        <v>385.60294260932505</v>
      </c>
      <c r="AZ54">
        <f t="shared" ca="1" si="34"/>
        <v>384.53810714807724</v>
      </c>
      <c r="BA54">
        <f t="shared" ca="1" si="34"/>
        <v>383.51793578841944</v>
      </c>
      <c r="BB54">
        <f t="shared" ca="1" si="34"/>
        <v>382.5423926064442</v>
      </c>
      <c r="BC54">
        <f t="shared" ca="1" si="34"/>
        <v>381.6112044507264</v>
      </c>
      <c r="BD54">
        <f t="shared" ca="1" si="34"/>
        <v>380.7238963679635</v>
      </c>
      <c r="BE54">
        <f t="shared" ca="1" si="34"/>
        <v>379.87982328065755</v>
      </c>
      <c r="BF54">
        <f t="shared" ca="1" si="34"/>
        <v>379.07819821655676</v>
      </c>
      <c r="BG54">
        <f t="shared" ca="1" si="34"/>
        <v>378.3181173796811</v>
      </c>
      <c r="BH54">
        <f t="shared" ca="1" si="34"/>
        <v>377.59858233977536</v>
      </c>
      <c r="BI54">
        <f t="shared" ca="1" si="34"/>
        <v>376.91851960206043</v>
      </c>
      <c r="BJ54">
        <f t="shared" ca="1" si="34"/>
        <v>376.27679780302913</v>
      </c>
      <c r="BK54">
        <f t="shared" ca="1" si="34"/>
        <v>375.67224276138705</v>
      </c>
      <c r="BL54">
        <f t="shared" ca="1" si="34"/>
        <v>375.10365059653765</v>
      </c>
      <c r="BM54">
        <f t="shared" ca="1" si="34"/>
        <v>374.5697991105925</v>
      </c>
      <c r="BN54">
        <f t="shared" ca="1" si="34"/>
        <v>374.06945761400004</v>
      </c>
      <c r="BO54">
        <f t="shared" ref="BO54:DZ57" ca="1" si="37">(BN$49*$Q41)+(BN$50*$R41)+(BN$51*$S41)+(BN$52*$T41)+(BN$53*$U41)+(BN$54*$V41)+(BN$55*$W41)+(BN$56*$X41)+(BN$57*$Y41)</f>
        <v>373.60139535968779</v>
      </c>
      <c r="BP54">
        <f t="shared" ca="1" si="37"/>
        <v>373.16438873621723</v>
      </c>
      <c r="BQ54">
        <f t="shared" ca="1" si="37"/>
        <v>372.75722735691625</v>
      </c>
      <c r="BR54">
        <f t="shared" ca="1" si="37"/>
        <v>372.37871916931186</v>
      </c>
      <c r="BS54">
        <f t="shared" ca="1" si="37"/>
        <v>372.02769469744032</v>
      </c>
      <c r="BT54">
        <f t="shared" ca="1" si="37"/>
        <v>371.70301051874759</v>
      </c>
      <c r="BU54">
        <f t="shared" ca="1" si="37"/>
        <v>371.40355206728452</v>
      </c>
      <c r="BV54">
        <f t="shared" ca="1" si="37"/>
        <v>371.12823584571123</v>
      </c>
      <c r="BW54">
        <f t="shared" ca="1" si="37"/>
        <v>370.87601112021264</v>
      </c>
      <c r="BX54">
        <f t="shared" ca="1" si="37"/>
        <v>370.64586116474777</v>
      </c>
      <c r="BY54">
        <f t="shared" ca="1" si="37"/>
        <v>370.43680411405859</v>
      </c>
      <c r="BZ54">
        <f t="shared" ca="1" si="37"/>
        <v>370.24789347850663</v>
      </c>
      <c r="CA54">
        <f t="shared" ca="1" si="37"/>
        <v>370.07821836804038</v>
      </c>
      <c r="CB54">
        <f t="shared" ca="1" si="37"/>
        <v>369.9269034673739</v>
      </c>
      <c r="CC54">
        <f t="shared" ca="1" si="37"/>
        <v>369.79310879973866</v>
      </c>
      <c r="CD54">
        <f t="shared" ca="1" si="37"/>
        <v>369.6760293123134</v>
      </c>
      <c r="CE54">
        <f t="shared" ca="1" si="37"/>
        <v>369.57489431259955</v>
      </c>
      <c r="CF54">
        <f t="shared" ca="1" si="37"/>
        <v>369.48896678155916</v>
      </c>
      <c r="CG54">
        <f t="shared" ca="1" si="37"/>
        <v>369.41754258623286</v>
      </c>
      <c r="CH54">
        <f t="shared" ca="1" si="37"/>
        <v>369.35994961177386</v>
      </c>
      <c r="CI54">
        <f t="shared" ca="1" si="37"/>
        <v>369.3155468303446</v>
      </c>
      <c r="CJ54">
        <f t="shared" ca="1" si="37"/>
        <v>369.28372332209381</v>
      </c>
      <c r="CK54">
        <f t="shared" ca="1" si="37"/>
        <v>369.26389726144436</v>
      </c>
      <c r="CL54">
        <f t="shared" ca="1" si="37"/>
        <v>369.25551488014662</v>
      </c>
      <c r="CM54">
        <f t="shared" ca="1" si="37"/>
        <v>369.25804941697425</v>
      </c>
      <c r="CN54">
        <f t="shared" ca="1" si="37"/>
        <v>369.27100006253443</v>
      </c>
      <c r="CO54">
        <f t="shared" ca="1" si="37"/>
        <v>369.29389090641968</v>
      </c>
      <c r="CP54">
        <f t="shared" ca="1" si="37"/>
        <v>369.3262698928242</v>
      </c>
      <c r="CQ54">
        <f t="shared" ca="1" si="37"/>
        <v>369.36770778977296</v>
      </c>
      <c r="CR54">
        <f t="shared" ca="1" si="37"/>
        <v>369.41779717625013</v>
      </c>
      <c r="CS54">
        <f t="shared" ca="1" si="37"/>
        <v>369.47615145075679</v>
      </c>
      <c r="CT54">
        <f t="shared" ca="1" si="37"/>
        <v>369.54240386416097</v>
      </c>
      <c r="CU54">
        <f t="shared" ca="1" si="37"/>
        <v>369.61620657912226</v>
      </c>
      <c r="CV54">
        <f t="shared" ca="1" si="37"/>
        <v>369.69722975786061</v>
      </c>
      <c r="CW54" s="9">
        <f t="shared" ca="1" si="37"/>
        <v>369.78516067959987</v>
      </c>
      <c r="CX54">
        <f t="shared" ca="1" si="37"/>
        <v>369.87970288862823</v>
      </c>
      <c r="CY54">
        <f t="shared" ca="1" si="37"/>
        <v>369.98057537358716</v>
      </c>
      <c r="CZ54">
        <f t="shared" ca="1" si="37"/>
        <v>370.08751177831437</v>
      </c>
      <c r="DA54">
        <f t="shared" ca="1" si="37"/>
        <v>370.20025964432057</v>
      </c>
      <c r="DB54">
        <f t="shared" ca="1" si="37"/>
        <v>370.31857968477226</v>
      </c>
      <c r="DC54">
        <f t="shared" ca="1" si="37"/>
        <v>370.44224508967653</v>
      </c>
      <c r="DD54">
        <f t="shared" ca="1" si="37"/>
        <v>370.57104086181681</v>
      </c>
      <c r="DE54">
        <f t="shared" ca="1" si="37"/>
        <v>370.70476318286467</v>
      </c>
      <c r="DF54">
        <f t="shared" ca="1" si="37"/>
        <v>370.84321880899432</v>
      </c>
      <c r="DG54">
        <f t="shared" ca="1" si="37"/>
        <v>370.98622449524487</v>
      </c>
      <c r="DH54">
        <f t="shared" ca="1" si="37"/>
        <v>371.13360644781017</v>
      </c>
      <c r="DI54">
        <f t="shared" ca="1" si="37"/>
        <v>371.28519980338916</v>
      </c>
      <c r="DJ54">
        <f t="shared" ca="1" si="37"/>
        <v>371.44084813469146</v>
      </c>
      <c r="DK54">
        <f t="shared" ca="1" si="37"/>
        <v>371.60040298116843</v>
      </c>
      <c r="DL54">
        <f t="shared" ca="1" si="37"/>
        <v>371.76372340402463</v>
      </c>
      <c r="DM54">
        <f t="shared" ca="1" si="37"/>
        <v>371.93067556455645</v>
      </c>
      <c r="DN54">
        <f t="shared" ca="1" si="37"/>
        <v>372.10113232486503</v>
      </c>
      <c r="DO54">
        <f t="shared" ca="1" si="37"/>
        <v>372.2749728699963</v>
      </c>
      <c r="DP54">
        <f t="shared" ca="1" si="37"/>
        <v>372.45208235057078</v>
      </c>
      <c r="DQ54">
        <f t="shared" ca="1" si="37"/>
        <v>372.6323515449821</v>
      </c>
      <c r="DR54">
        <f t="shared" ca="1" si="37"/>
        <v>372.81567654026043</v>
      </c>
      <c r="DS54">
        <f t="shared" ca="1" si="37"/>
        <v>373.0019584307185</v>
      </c>
      <c r="DT54">
        <f t="shared" ca="1" si="37"/>
        <v>373.19110303352215</v>
      </c>
      <c r="DU54">
        <f t="shared" ca="1" si="37"/>
        <v>373.38302062035132</v>
      </c>
      <c r="DV54">
        <f t="shared" ca="1" si="37"/>
        <v>373.57762566434531</v>
      </c>
      <c r="DW54">
        <f t="shared" ca="1" si="37"/>
        <v>373.77483660155298</v>
      </c>
      <c r="DX54">
        <f t="shared" ca="1" si="37"/>
        <v>373.97457560613731</v>
      </c>
      <c r="DY54">
        <f t="shared" ca="1" si="37"/>
        <v>374.1767683786116</v>
      </c>
      <c r="DZ54">
        <f t="shared" ca="1" si="37"/>
        <v>374.38134394641469</v>
      </c>
      <c r="EA54">
        <f t="shared" ca="1" si="36"/>
        <v>374.58823447616061</v>
      </c>
      <c r="EB54">
        <f t="shared" ca="1" si="35"/>
        <v>374.79737509692609</v>
      </c>
      <c r="EC54">
        <f t="shared" ca="1" si="35"/>
        <v>375.00870373396862</v>
      </c>
      <c r="ED54">
        <f t="shared" ca="1" si="35"/>
        <v>375.22216095229487</v>
      </c>
      <c r="EE54">
        <f t="shared" ca="1" si="35"/>
        <v>375.43768980952666</v>
      </c>
      <c r="EF54">
        <f t="shared" ca="1" si="35"/>
        <v>375.65523571753698</v>
      </c>
      <c r="EG54">
        <f t="shared" ca="1" si="35"/>
        <v>375.87474631235659</v>
      </c>
      <c r="EH54">
        <f t="shared" ca="1" si="35"/>
        <v>376.09617133187379</v>
      </c>
      <c r="EI54">
        <f t="shared" ca="1" si="35"/>
        <v>376.31946250087685</v>
      </c>
      <c r="EJ54">
        <f t="shared" ca="1" si="35"/>
        <v>376.54457342300896</v>
      </c>
      <c r="EK54">
        <f t="shared" ca="1" si="35"/>
        <v>376.77145947923157</v>
      </c>
      <c r="EL54">
        <f t="shared" ca="1" si="35"/>
        <v>377.00007773240907</v>
      </c>
      <c r="EM54">
        <f t="shared" ca="1" si="35"/>
        <v>377.23038683765253</v>
      </c>
      <c r="EN54">
        <f t="shared" ca="1" si="35"/>
        <v>377.4623469580776</v>
      </c>
      <c r="EO54">
        <f t="shared" ca="1" si="35"/>
        <v>377.69591968565163</v>
      </c>
      <c r="EP54">
        <f t="shared" ca="1" si="35"/>
        <v>377.93106796682179</v>
      </c>
      <c r="EQ54">
        <f t="shared" ca="1" si="35"/>
        <v>378.16775603263585</v>
      </c>
      <c r="ER54">
        <f t="shared" ca="1" si="35"/>
        <v>378.40594933308046</v>
      </c>
      <c r="ES54">
        <f t="shared" ca="1" si="35"/>
        <v>378.64561447537983</v>
      </c>
      <c r="ET54">
        <f t="shared" ca="1" si="35"/>
        <v>378.88671916601214</v>
      </c>
      <c r="EU54" s="9">
        <f t="shared" ca="1" si="35"/>
        <v>379.1292321562135</v>
      </c>
    </row>
    <row r="55" spans="2:151" x14ac:dyDescent="0.25">
      <c r="B55">
        <f t="shared" ca="1" si="32"/>
        <v>3860.9477960177078</v>
      </c>
      <c r="C55">
        <f t="shared" ca="1" si="33"/>
        <v>3610.5587861878366</v>
      </c>
      <c r="D55">
        <f t="shared" ref="D55:BO57" ca="1" si="38">(C$49*$Q42)+(C$50*$R42)+(C$51*$S42)+(C$52*$T42)+(C$53*$U42)+(C$54*$V42)+(C$55*$W42)+(C$56*$X42)+(C$57*$Y42)</f>
        <v>3377.3313515772793</v>
      </c>
      <c r="E55">
        <f t="shared" ca="1" si="38"/>
        <v>3160.0037861971946</v>
      </c>
      <c r="F55">
        <f t="shared" ca="1" si="38"/>
        <v>2957.4673617254603</v>
      </c>
      <c r="G55">
        <f t="shared" ca="1" si="38"/>
        <v>2768.7196766318211</v>
      </c>
      <c r="H55">
        <f t="shared" ca="1" si="38"/>
        <v>2592.839073584094</v>
      </c>
      <c r="I55">
        <f t="shared" ca="1" si="38"/>
        <v>2428.9700928113261</v>
      </c>
      <c r="J55">
        <f t="shared" ca="1" si="38"/>
        <v>2276.314716004917</v>
      </c>
      <c r="K55">
        <f t="shared" ca="1" si="38"/>
        <v>2134.1266569465161</v>
      </c>
      <c r="L55">
        <f t="shared" ca="1" si="38"/>
        <v>2001.707265109048</v>
      </c>
      <c r="M55">
        <f t="shared" ca="1" si="38"/>
        <v>1878.4022954048462</v>
      </c>
      <c r="N55">
        <f t="shared" ca="1" si="38"/>
        <v>1763.5991574447803</v>
      </c>
      <c r="O55">
        <f t="shared" ca="1" si="38"/>
        <v>1656.7244461749522</v>
      </c>
      <c r="P55">
        <f t="shared" ca="1" si="38"/>
        <v>1557.2416539321089</v>
      </c>
      <c r="Q55">
        <f t="shared" ca="1" si="38"/>
        <v>1464.6490146127621</v>
      </c>
      <c r="R55">
        <f t="shared" ca="1" si="38"/>
        <v>1378.4774563562755</v>
      </c>
      <c r="S55">
        <f t="shared" ca="1" si="38"/>
        <v>1298.28865181675</v>
      </c>
      <c r="T55">
        <f t="shared" ca="1" si="38"/>
        <v>1223.6731610351308</v>
      </c>
      <c r="U55">
        <f t="shared" ca="1" si="38"/>
        <v>1154.2486644376961</v>
      </c>
      <c r="V55">
        <f t="shared" ca="1" si="38"/>
        <v>1089.6582843188621</v>
      </c>
      <c r="W55">
        <f t="shared" ca="1" si="38"/>
        <v>1029.5689932181269</v>
      </c>
      <c r="X55">
        <f t="shared" ca="1" si="38"/>
        <v>973.67010733377697</v>
      </c>
      <c r="Y55">
        <f t="shared" ca="1" si="38"/>
        <v>921.67186275765971</v>
      </c>
      <c r="Z55">
        <f t="shared" ca="1" si="38"/>
        <v>873.30407197232796</v>
      </c>
      <c r="AA55">
        <f t="shared" ca="1" si="38"/>
        <v>828.31485776816885</v>
      </c>
      <c r="AB55">
        <f t="shared" ca="1" si="38"/>
        <v>786.4694615266701</v>
      </c>
      <c r="AC55">
        <f t="shared" ca="1" si="38"/>
        <v>747.54912267488942</v>
      </c>
      <c r="AD55">
        <f t="shared" ca="1" si="38"/>
        <v>711.35002603740168</v>
      </c>
      <c r="AE55">
        <f t="shared" ca="1" si="38"/>
        <v>677.68231378542998</v>
      </c>
      <c r="AF55">
        <f t="shared" ca="1" si="38"/>
        <v>646.36915869850259</v>
      </c>
      <c r="AG55">
        <f t="shared" ca="1" si="38"/>
        <v>617.24589550276937</v>
      </c>
      <c r="AH55">
        <f t="shared" ca="1" si="38"/>
        <v>590.15920712424679</v>
      </c>
      <c r="AI55">
        <f t="shared" ca="1" si="38"/>
        <v>564.96636278824383</v>
      </c>
      <c r="AJ55">
        <f t="shared" ca="1" si="38"/>
        <v>541.53450500271038</v>
      </c>
      <c r="AK55">
        <f t="shared" ca="1" si="38"/>
        <v>519.73998257894857</v>
      </c>
      <c r="AL55">
        <f t="shared" ca="1" si="38"/>
        <v>499.46772696460584</v>
      </c>
      <c r="AM55">
        <f t="shared" ca="1" si="38"/>
        <v>480.6106692884137</v>
      </c>
      <c r="AN55">
        <f t="shared" ca="1" si="38"/>
        <v>463.06919564164207</v>
      </c>
      <c r="AO55">
        <f t="shared" ca="1" si="38"/>
        <v>446.75063824605894</v>
      </c>
      <c r="AP55">
        <f t="shared" ca="1" si="38"/>
        <v>431.56880028108452</v>
      </c>
      <c r="AQ55">
        <f t="shared" ca="1" si="38"/>
        <v>417.44351226286409</v>
      </c>
      <c r="AR55">
        <f t="shared" ca="1" si="38"/>
        <v>404.3002179844778</v>
      </c>
      <c r="AS55">
        <f t="shared" ca="1" si="38"/>
        <v>392.06958813896347</v>
      </c>
      <c r="AT55">
        <f t="shared" ca="1" si="38"/>
        <v>380.68715985493168</v>
      </c>
      <c r="AU55">
        <f t="shared" ca="1" si="38"/>
        <v>370.09300047808318</v>
      </c>
      <c r="AV55">
        <f t="shared" ca="1" si="38"/>
        <v>360.2313940308029</v>
      </c>
      <c r="AW55">
        <f t="shared" ca="1" si="38"/>
        <v>351.05054887615938</v>
      </c>
      <c r="AX55">
        <f t="shared" ca="1" si="38"/>
        <v>342.50232520211807</v>
      </c>
      <c r="AY55" s="9">
        <f t="shared" ca="1" si="38"/>
        <v>334.54198102664913</v>
      </c>
      <c r="AZ55">
        <f t="shared" ca="1" si="38"/>
        <v>327.12793550477988</v>
      </c>
      <c r="BA55">
        <f t="shared" ca="1" si="38"/>
        <v>320.22154839464332</v>
      </c>
      <c r="BB55">
        <f t="shared" ca="1" si="38"/>
        <v>313.78691461134724</v>
      </c>
      <c r="BC55">
        <f t="shared" ca="1" si="38"/>
        <v>307.79067286520234</v>
      </c>
      <c r="BD55">
        <f t="shared" ca="1" si="38"/>
        <v>302.2018274446595</v>
      </c>
      <c r="BE55">
        <f t="shared" ca="1" si="38"/>
        <v>296.99158226439596</v>
      </c>
      <c r="BF55">
        <f t="shared" ca="1" si="38"/>
        <v>292.1331863555273</v>
      </c>
      <c r="BG55">
        <f t="shared" ca="1" si="38"/>
        <v>287.60179002807581</v>
      </c>
      <c r="BH55">
        <f t="shared" ca="1" si="38"/>
        <v>283.37431098577326</v>
      </c>
      <c r="BI55">
        <f t="shared" ca="1" si="38"/>
        <v>279.42930972017535</v>
      </c>
      <c r="BJ55">
        <f t="shared" ca="1" si="38"/>
        <v>275.74687355508507</v>
      </c>
      <c r="BK55">
        <f t="shared" ca="1" si="38"/>
        <v>272.3085087535747</v>
      </c>
      <c r="BL55">
        <f t="shared" ca="1" si="38"/>
        <v>269.09704013861511</v>
      </c>
      <c r="BM55">
        <f t="shared" ca="1" si="38"/>
        <v>266.09651771460915</v>
      </c>
      <c r="BN55">
        <f t="shared" ca="1" si="38"/>
        <v>263.29212981112505</v>
      </c>
      <c r="BO55">
        <f t="shared" ca="1" si="38"/>
        <v>260.67012230196644</v>
      </c>
      <c r="BP55">
        <f t="shared" ca="1" si="37"/>
        <v>258.21772348252352</v>
      </c>
      <c r="BQ55">
        <f t="shared" ca="1" si="37"/>
        <v>255.92307421625122</v>
      </c>
      <c r="BR55">
        <f t="shared" ca="1" si="37"/>
        <v>253.7751629872192</v>
      </c>
      <c r="BS55">
        <f t="shared" ca="1" si="37"/>
        <v>251.76376552009589</v>
      </c>
      <c r="BT55">
        <f t="shared" ca="1" si="37"/>
        <v>249.87938865175562</v>
      </c>
      <c r="BU55">
        <f t="shared" ca="1" si="37"/>
        <v>248.11321816004099</v>
      </c>
      <c r="BV55">
        <f t="shared" ca="1" si="37"/>
        <v>246.45707027515644</v>
      </c>
      <c r="BW55">
        <f t="shared" ca="1" si="37"/>
        <v>244.90334661780673</v>
      </c>
      <c r="BX55">
        <f t="shared" ca="1" si="37"/>
        <v>243.44499232560122</v>
      </c>
      <c r="BY55">
        <f t="shared" ca="1" si="37"/>
        <v>242.07545714550483</v>
      </c>
      <c r="BZ55">
        <f t="shared" ca="1" si="37"/>
        <v>240.78865928529694</v>
      </c>
      <c r="CA55">
        <f t="shared" ca="1" si="37"/>
        <v>239.57895183117211</v>
      </c>
      <c r="CB55">
        <f t="shared" ca="1" si="37"/>
        <v>238.44109155184356</v>
      </c>
      <c r="CC55">
        <f t="shared" ca="1" si="37"/>
        <v>237.37020992185495</v>
      </c>
      <c r="CD55">
        <f t="shared" ca="1" si="37"/>
        <v>236.36178620832109</v>
      </c>
      <c r="CE55">
        <f t="shared" ca="1" si="37"/>
        <v>235.41162247606204</v>
      </c>
      <c r="CF55">
        <f t="shared" ca="1" si="37"/>
        <v>234.51582037611408</v>
      </c>
      <c r="CG55">
        <f t="shared" ca="1" si="37"/>
        <v>233.67075959194344</v>
      </c>
      <c r="CH55">
        <f t="shared" ca="1" si="37"/>
        <v>232.87307782640062</v>
      </c>
      <c r="CI55">
        <f t="shared" ca="1" si="37"/>
        <v>232.11965222057211</v>
      </c>
      <c r="CJ55">
        <f t="shared" ca="1" si="37"/>
        <v>231.40758210325535</v>
      </c>
      <c r="CK55">
        <f t="shared" ca="1" si="37"/>
        <v>230.73417297683551</v>
      </c>
      <c r="CL55">
        <f t="shared" ca="1" si="37"/>
        <v>230.09692165191404</v>
      </c>
      <c r="CM55">
        <f t="shared" ca="1" si="37"/>
        <v>229.49350244916141</v>
      </c>
      <c r="CN55">
        <f t="shared" ca="1" si="37"/>
        <v>228.92175439256914</v>
      </c>
      <c r="CO55">
        <f t="shared" ca="1" si="37"/>
        <v>228.37966932358776</v>
      </c>
      <c r="CP55">
        <f t="shared" ca="1" si="37"/>
        <v>227.86538087058312</v>
      </c>
      <c r="CQ55">
        <f t="shared" ca="1" si="37"/>
        <v>227.37715421264915</v>
      </c>
      <c r="CR55">
        <f t="shared" ca="1" si="37"/>
        <v>226.9133765811024</v>
      </c>
      <c r="CS55">
        <f t="shared" ca="1" si="37"/>
        <v>226.47254844597552</v>
      </c>
      <c r="CT55">
        <f t="shared" ca="1" si="37"/>
        <v>226.05327533854046</v>
      </c>
      <c r="CU55">
        <f t="shared" ca="1" si="37"/>
        <v>225.65426026435051</v>
      </c>
      <c r="CV55">
        <f t="shared" ca="1" si="37"/>
        <v>225.27429666450678</v>
      </c>
      <c r="CW55" s="9">
        <f t="shared" ca="1" si="37"/>
        <v>224.91226188584713</v>
      </c>
      <c r="CX55">
        <f t="shared" ca="1" si="37"/>
        <v>224.56711112354188</v>
      </c>
      <c r="CY55">
        <f t="shared" ca="1" si="37"/>
        <v>224.2378718021688</v>
      </c>
      <c r="CZ55">
        <f t="shared" ca="1" si="37"/>
        <v>223.92363836375094</v>
      </c>
      <c r="DA55">
        <f t="shared" ca="1" si="37"/>
        <v>223.62356743348013</v>
      </c>
      <c r="DB55">
        <f t="shared" ca="1" si="37"/>
        <v>223.33687333593323</v>
      </c>
      <c r="DC55">
        <f t="shared" ca="1" si="37"/>
        <v>223.06282393652538</v>
      </c>
      <c r="DD55">
        <f t="shared" ca="1" si="37"/>
        <v>222.80073678474568</v>
      </c>
      <c r="DE55">
        <f t="shared" ca="1" si="37"/>
        <v>222.54997553739511</v>
      </c>
      <c r="DF55">
        <f t="shared" ca="1" si="37"/>
        <v>222.30994664160312</v>
      </c>
      <c r="DG55">
        <f t="shared" ca="1" si="37"/>
        <v>222.0800962588456</v>
      </c>
      <c r="DH55">
        <f t="shared" ca="1" si="37"/>
        <v>221.85990741253232</v>
      </c>
      <c r="DI55">
        <f t="shared" ca="1" si="37"/>
        <v>221.64889734297995</v>
      </c>
      <c r="DJ55">
        <f t="shared" ca="1" si="37"/>
        <v>221.44661505474875</v>
      </c>
      <c r="DK55">
        <f t="shared" ca="1" si="37"/>
        <v>221.25263904239981</v>
      </c>
      <c r="DL55">
        <f t="shared" ca="1" si="37"/>
        <v>221.06657518173029</v>
      </c>
      <c r="DM55">
        <f t="shared" ca="1" si="37"/>
        <v>220.88805477447738</v>
      </c>
      <c r="DN55">
        <f t="shared" ca="1" si="37"/>
        <v>220.71673273534384</v>
      </c>
      <c r="DO55">
        <f t="shared" ca="1" si="37"/>
        <v>220.55228591100322</v>
      </c>
      <c r="DP55">
        <f t="shared" ca="1" si="37"/>
        <v>220.39441152148734</v>
      </c>
      <c r="DQ55">
        <f t="shared" ca="1" si="37"/>
        <v>220.24282571505177</v>
      </c>
      <c r="DR55">
        <f t="shared" ca="1" si="37"/>
        <v>220.09726222825867</v>
      </c>
      <c r="DS55">
        <f t="shared" ca="1" si="37"/>
        <v>219.95747114361259</v>
      </c>
      <c r="DT55">
        <f t="shared" ca="1" si="37"/>
        <v>219.82321773763977</v>
      </c>
      <c r="DU55">
        <f t="shared" ca="1" si="37"/>
        <v>219.69428141281662</v>
      </c>
      <c r="DV55">
        <f t="shared" ca="1" si="37"/>
        <v>219.57045470723037</v>
      </c>
      <c r="DW55">
        <f t="shared" ca="1" si="37"/>
        <v>219.45154237629808</v>
      </c>
      <c r="DX55">
        <f t="shared" ca="1" si="37"/>
        <v>219.337360541283</v>
      </c>
      <c r="DY55">
        <f t="shared" ca="1" si="37"/>
        <v>219.22773589972823</v>
      </c>
      <c r="DZ55">
        <f t="shared" ca="1" si="37"/>
        <v>219.12250499328272</v>
      </c>
      <c r="EA55">
        <f t="shared" ca="1" si="36"/>
        <v>219.02151352872357</v>
      </c>
      <c r="EB55">
        <f t="shared" ca="1" si="35"/>
        <v>218.92461574828411</v>
      </c>
      <c r="EC55">
        <f t="shared" ca="1" si="35"/>
        <v>218.83167384568003</v>
      </c>
      <c r="ED55">
        <f t="shared" ca="1" si="35"/>
        <v>218.74255742448923</v>
      </c>
      <c r="EE55">
        <f t="shared" ca="1" si="35"/>
        <v>218.6571429957844</v>
      </c>
      <c r="EF55">
        <f t="shared" ca="1" si="35"/>
        <v>218.57531351214405</v>
      </c>
      <c r="EG55">
        <f t="shared" ca="1" si="35"/>
        <v>218.49695793537688</v>
      </c>
      <c r="EH55">
        <f t="shared" ca="1" si="35"/>
        <v>218.42197083548962</v>
      </c>
      <c r="EI55">
        <f t="shared" ca="1" si="35"/>
        <v>218.35025201860856</v>
      </c>
      <c r="EJ55">
        <f t="shared" ca="1" si="35"/>
        <v>218.28170618173269</v>
      </c>
      <c r="EK55">
        <f t="shared" ca="1" si="35"/>
        <v>218.21624259235153</v>
      </c>
      <c r="EL55">
        <f t="shared" ca="1" si="35"/>
        <v>218.1537747911043</v>
      </c>
      <c r="EM55">
        <f t="shared" ca="1" si="35"/>
        <v>218.09422031579143</v>
      </c>
      <c r="EN55">
        <f t="shared" ca="1" si="35"/>
        <v>218.03750044517267</v>
      </c>
      <c r="EO55">
        <f t="shared" ca="1" si="35"/>
        <v>217.98353996110049</v>
      </c>
      <c r="EP55">
        <f t="shared" ca="1" si="35"/>
        <v>217.93226692764478</v>
      </c>
      <c r="EQ55">
        <f t="shared" ca="1" si="35"/>
        <v>217.88361248596283</v>
      </c>
      <c r="ER55">
        <f t="shared" ca="1" si="35"/>
        <v>217.83751066376018</v>
      </c>
      <c r="ES55">
        <f t="shared" ca="1" si="35"/>
        <v>217.79389819827284</v>
      </c>
      <c r="ET55">
        <f t="shared" ca="1" si="35"/>
        <v>217.75271437177975</v>
      </c>
      <c r="EU55" s="9">
        <f t="shared" ca="1" si="35"/>
        <v>217.71390085872761</v>
      </c>
    </row>
    <row r="56" spans="2:151" x14ac:dyDescent="0.25">
      <c r="B56">
        <f t="shared" ca="1" si="32"/>
        <v>616.63204674919859</v>
      </c>
      <c r="C56">
        <f t="shared" ca="1" si="33"/>
        <v>539.1479154924175</v>
      </c>
      <c r="D56">
        <f t="shared" ca="1" si="38"/>
        <v>515.00301868119845</v>
      </c>
      <c r="E56">
        <f t="shared" ca="1" si="38"/>
        <v>516.91616949487104</v>
      </c>
      <c r="F56">
        <f t="shared" ca="1" si="38"/>
        <v>530.80117297518359</v>
      </c>
      <c r="G56">
        <f t="shared" ca="1" si="38"/>
        <v>549.46662906471317</v>
      </c>
      <c r="H56">
        <f t="shared" ca="1" si="38"/>
        <v>569.31899554837412</v>
      </c>
      <c r="I56">
        <f t="shared" ca="1" si="38"/>
        <v>588.63423379031804</v>
      </c>
      <c r="J56">
        <f t="shared" ca="1" si="38"/>
        <v>606.65110697928037</v>
      </c>
      <c r="K56">
        <f t="shared" ca="1" si="38"/>
        <v>623.09596179473351</v>
      </c>
      <c r="L56">
        <f t="shared" ca="1" si="38"/>
        <v>637.93452668987652</v>
      </c>
      <c r="M56">
        <f t="shared" ca="1" si="38"/>
        <v>651.2432563147463</v>
      </c>
      <c r="N56">
        <f t="shared" ca="1" si="38"/>
        <v>663.1435876701388</v>
      </c>
      <c r="O56">
        <f t="shared" ca="1" si="38"/>
        <v>673.76920431114127</v>
      </c>
      <c r="P56">
        <f t="shared" ca="1" si="38"/>
        <v>683.25050320020478</v>
      </c>
      <c r="Q56">
        <f t="shared" ca="1" si="38"/>
        <v>691.70791410846243</v>
      </c>
      <c r="R56">
        <f t="shared" ca="1" si="38"/>
        <v>699.24967185583876</v>
      </c>
      <c r="S56">
        <f t="shared" ca="1" si="38"/>
        <v>705.97173718814975</v>
      </c>
      <c r="T56">
        <f t="shared" ca="1" si="38"/>
        <v>711.95867333817262</v>
      </c>
      <c r="U56">
        <f t="shared" ca="1" si="38"/>
        <v>717.28487321800321</v>
      </c>
      <c r="V56">
        <f t="shared" ca="1" si="38"/>
        <v>722.01584149575899</v>
      </c>
      <c r="W56">
        <f t="shared" ca="1" si="38"/>
        <v>726.20939683574863</v>
      </c>
      <c r="X56">
        <f t="shared" ca="1" si="38"/>
        <v>729.91674185429451</v>
      </c>
      <c r="Y56">
        <f t="shared" ca="1" si="38"/>
        <v>733.18338900206356</v>
      </c>
      <c r="Z56">
        <f t="shared" ca="1" si="38"/>
        <v>736.0499494648077</v>
      </c>
      <c r="AA56">
        <f t="shared" ca="1" si="38"/>
        <v>738.55279985296841</v>
      </c>
      <c r="AB56">
        <f t="shared" ca="1" si="38"/>
        <v>740.72464353804776</v>
      </c>
      <c r="AC56">
        <f t="shared" ca="1" si="38"/>
        <v>742.59498294106822</v>
      </c>
      <c r="AD56">
        <f t="shared" ca="1" si="38"/>
        <v>744.19051741353758</v>
      </c>
      <c r="AE56">
        <f t="shared" ca="1" si="38"/>
        <v>745.53547934353651</v>
      </c>
      <c r="AF56">
        <f t="shared" ca="1" si="38"/>
        <v>746.65191913764806</v>
      </c>
      <c r="AG56">
        <f t="shared" ca="1" si="38"/>
        <v>747.55994793356899</v>
      </c>
      <c r="AH56">
        <f t="shared" ca="1" si="38"/>
        <v>748.2779453425419</v>
      </c>
      <c r="AI56">
        <f t="shared" ca="1" si="38"/>
        <v>748.82273820787373</v>
      </c>
      <c r="AJ56">
        <f t="shared" ca="1" si="38"/>
        <v>749.20975527547887</v>
      </c>
      <c r="AK56">
        <f t="shared" ca="1" si="38"/>
        <v>749.45316177596374</v>
      </c>
      <c r="AL56">
        <f t="shared" ca="1" si="38"/>
        <v>749.56597718546368</v>
      </c>
      <c r="AM56">
        <f t="shared" ca="1" si="38"/>
        <v>749.56017883658967</v>
      </c>
      <c r="AN56">
        <f t="shared" ca="1" si="38"/>
        <v>749.44679356715665</v>
      </c>
      <c r="AO56">
        <f t="shared" ca="1" si="38"/>
        <v>749.2359792022188</v>
      </c>
      <c r="AP56">
        <f t="shared" ca="1" si="38"/>
        <v>748.93709734711911</v>
      </c>
      <c r="AQ56">
        <f t="shared" ca="1" si="38"/>
        <v>748.55877871163932</v>
      </c>
      <c r="AR56">
        <f t="shared" ca="1" si="38"/>
        <v>748.10898197634185</v>
      </c>
      <c r="AS56">
        <f t="shared" ca="1" si="38"/>
        <v>747.59504704245342</v>
      </c>
      <c r="AT56">
        <f t="shared" ca="1" si="38"/>
        <v>747.02374336856474</v>
      </c>
      <c r="AU56">
        <f t="shared" ca="1" si="38"/>
        <v>746.40131398488415</v>
      </c>
      <c r="AV56">
        <f t="shared" ca="1" si="38"/>
        <v>745.73351568384874</v>
      </c>
      <c r="AW56">
        <f t="shared" ca="1" si="38"/>
        <v>745.02565581059253</v>
      </c>
      <c r="AX56">
        <f t="shared" ca="1" si="38"/>
        <v>744.28262601490803</v>
      </c>
      <c r="AY56" s="9">
        <f t="shared" ca="1" si="38"/>
        <v>743.50893327532424</v>
      </c>
      <c r="AZ56">
        <f t="shared" ca="1" si="38"/>
        <v>742.70872846372072</v>
      </c>
      <c r="BA56">
        <f t="shared" ca="1" si="38"/>
        <v>741.88583268381194</v>
      </c>
      <c r="BB56">
        <f t="shared" ca="1" si="38"/>
        <v>741.04376158755269</v>
      </c>
      <c r="BC56">
        <f t="shared" ca="1" si="38"/>
        <v>740.18574784894167</v>
      </c>
      <c r="BD56">
        <f t="shared" ca="1" si="38"/>
        <v>739.31476195397443</v>
      </c>
      <c r="BE56">
        <f t="shared" ca="1" si="38"/>
        <v>738.43353144792115</v>
      </c>
      <c r="BF56">
        <f t="shared" ca="1" si="38"/>
        <v>737.54455876610473</v>
      </c>
      <c r="BG56">
        <f t="shared" ca="1" si="38"/>
        <v>736.65013776148783</v>
      </c>
      <c r="BH56">
        <f t="shared" ca="1" si="38"/>
        <v>735.75236903126483</v>
      </c>
      <c r="BI56">
        <f t="shared" ca="1" si="38"/>
        <v>734.85317413499774</v>
      </c>
      <c r="BJ56">
        <f t="shared" ca="1" si="38"/>
        <v>733.95430878840239</v>
      </c>
      <c r="BK56">
        <f t="shared" ca="1" si="38"/>
        <v>733.05737510946631</v>
      </c>
      <c r="BL56">
        <f t="shared" ca="1" si="38"/>
        <v>732.16383298702476</v>
      </c>
      <c r="BM56">
        <f t="shared" ca="1" si="38"/>
        <v>731.27501063608315</v>
      </c>
      <c r="BN56">
        <f t="shared" ca="1" si="38"/>
        <v>730.39211439896258</v>
      </c>
      <c r="BO56">
        <f t="shared" ca="1" si="38"/>
        <v>729.51623784666322</v>
      </c>
      <c r="BP56">
        <f t="shared" ca="1" si="37"/>
        <v>728.64837023061148</v>
      </c>
      <c r="BQ56">
        <f t="shared" ca="1" si="37"/>
        <v>727.7894043311353</v>
      </c>
      <c r="BR56">
        <f t="shared" ca="1" si="37"/>
        <v>726.94014374552569</v>
      </c>
      <c r="BS56">
        <f t="shared" ca="1" si="37"/>
        <v>726.10130965537485</v>
      </c>
      <c r="BT56">
        <f t="shared" ca="1" si="37"/>
        <v>725.2735471099694</v>
      </c>
      <c r="BU56">
        <f t="shared" ca="1" si="37"/>
        <v>724.45743085985896</v>
      </c>
      <c r="BV56">
        <f t="shared" ca="1" si="37"/>
        <v>723.65347077226249</v>
      </c>
      <c r="BW56">
        <f t="shared" ca="1" si="37"/>
        <v>722.86211685772309</v>
      </c>
      <c r="BX56">
        <f t="shared" ca="1" si="37"/>
        <v>722.08376393533274</v>
      </c>
      <c r="BY56">
        <f t="shared" ca="1" si="37"/>
        <v>721.31875596192344</v>
      </c>
      <c r="BZ56">
        <f t="shared" ca="1" si="37"/>
        <v>720.56739004883684</v>
      </c>
      <c r="CA56">
        <f t="shared" ca="1" si="37"/>
        <v>719.8299201882312</v>
      </c>
      <c r="CB56">
        <f t="shared" ca="1" si="37"/>
        <v>719.10656070934999</v>
      </c>
      <c r="CC56">
        <f t="shared" ca="1" si="37"/>
        <v>718.39748948375507</v>
      </c>
      <c r="CD56">
        <f t="shared" ca="1" si="37"/>
        <v>717.70285089720142</v>
      </c>
      <c r="CE56">
        <f t="shared" ca="1" si="37"/>
        <v>717.02275860460531</v>
      </c>
      <c r="CF56">
        <f t="shared" ca="1" si="37"/>
        <v>716.35729808340955</v>
      </c>
      <c r="CG56">
        <f t="shared" ca="1" si="37"/>
        <v>715.70652899959077</v>
      </c>
      <c r="CH56">
        <f t="shared" ca="1" si="37"/>
        <v>715.07048739956099</v>
      </c>
      <c r="CI56">
        <f t="shared" ca="1" si="37"/>
        <v>714.44918774029679</v>
      </c>
      <c r="CJ56">
        <f t="shared" ca="1" si="37"/>
        <v>713.84262476916865</v>
      </c>
      <c r="CK56">
        <f t="shared" ca="1" si="37"/>
        <v>713.25077526415043</v>
      </c>
      <c r="CL56">
        <f t="shared" ca="1" si="37"/>
        <v>712.67359964433808</v>
      </c>
      <c r="CM56">
        <f t="shared" ca="1" si="37"/>
        <v>712.1110434600223</v>
      </c>
      <c r="CN56">
        <f t="shared" ca="1" si="37"/>
        <v>711.56303877090841</v>
      </c>
      <c r="CO56">
        <f t="shared" ca="1" si="37"/>
        <v>711.02950542048166</v>
      </c>
      <c r="CP56">
        <f t="shared" ca="1" si="37"/>
        <v>710.51035221395352</v>
      </c>
      <c r="CQ56">
        <f t="shared" ca="1" si="37"/>
        <v>710.00547800670643</v>
      </c>
      <c r="CR56">
        <f t="shared" ca="1" si="37"/>
        <v>709.51477270966802</v>
      </c>
      <c r="CS56">
        <f t="shared" ca="1" si="37"/>
        <v>709.03811821759541</v>
      </c>
      <c r="CT56">
        <f t="shared" ca="1" si="37"/>
        <v>708.57538926583095</v>
      </c>
      <c r="CU56">
        <f t="shared" ca="1" si="37"/>
        <v>708.12645422069659</v>
      </c>
      <c r="CV56">
        <f t="shared" ca="1" si="37"/>
        <v>707.69117580833324</v>
      </c>
      <c r="CW56" s="9">
        <f t="shared" ca="1" si="37"/>
        <v>707.2694117864495</v>
      </c>
      <c r="CX56">
        <f t="shared" ca="1" si="37"/>
        <v>706.86101556313258</v>
      </c>
      <c r="CY56">
        <f t="shared" ca="1" si="37"/>
        <v>706.46583676657497</v>
      </c>
      <c r="CZ56">
        <f t="shared" ca="1" si="37"/>
        <v>706.08372176930357</v>
      </c>
      <c r="DA56">
        <f t="shared" ca="1" si="37"/>
        <v>705.71451417023786</v>
      </c>
      <c r="DB56">
        <f t="shared" ca="1" si="37"/>
        <v>705.35805523767135</v>
      </c>
      <c r="DC56">
        <f t="shared" ca="1" si="37"/>
        <v>705.01418431604907</v>
      </c>
      <c r="DD56">
        <f t="shared" ca="1" si="37"/>
        <v>704.68273919920773</v>
      </c>
      <c r="DE56">
        <f t="shared" ca="1" si="37"/>
        <v>704.36355647255766</v>
      </c>
      <c r="DF56">
        <f t="shared" ca="1" si="37"/>
        <v>704.05647182650614</v>
      </c>
      <c r="DG56">
        <f t="shared" ca="1" si="37"/>
        <v>703.7613203432586</v>
      </c>
      <c r="DH56">
        <f t="shared" ca="1" si="37"/>
        <v>703.47793675897969</v>
      </c>
      <c r="DI56">
        <f t="shared" ca="1" si="37"/>
        <v>703.20615570315533</v>
      </c>
      <c r="DJ56">
        <f t="shared" ca="1" si="37"/>
        <v>702.94581191686427</v>
      </c>
      <c r="DK56">
        <f t="shared" ca="1" si="37"/>
        <v>702.69674045154329</v>
      </c>
      <c r="DL56">
        <f t="shared" ca="1" si="37"/>
        <v>702.4587768497172</v>
      </c>
      <c r="DM56">
        <f t="shared" ca="1" si="37"/>
        <v>702.23175730905996</v>
      </c>
      <c r="DN56">
        <f t="shared" ca="1" si="37"/>
        <v>702.01551883105014</v>
      </c>
      <c r="DO56">
        <f t="shared" ca="1" si="37"/>
        <v>701.8098993553964</v>
      </c>
      <c r="DP56">
        <f t="shared" ca="1" si="37"/>
        <v>701.61473788132298</v>
      </c>
      <c r="DQ56">
        <f t="shared" ca="1" si="37"/>
        <v>701.42987457672302</v>
      </c>
      <c r="DR56">
        <f t="shared" ca="1" si="37"/>
        <v>701.25515087611768</v>
      </c>
      <c r="DS56">
        <f t="shared" ca="1" si="37"/>
        <v>701.09040956828835</v>
      </c>
      <c r="DT56">
        <f t="shared" ca="1" si="37"/>
        <v>700.9354948743869</v>
      </c>
      <c r="DU56">
        <f t="shared" ca="1" si="37"/>
        <v>700.79025251726989</v>
      </c>
      <c r="DV56">
        <f t="shared" ca="1" si="37"/>
        <v>700.65452978274686</v>
      </c>
      <c r="DW56">
        <f t="shared" ca="1" si="37"/>
        <v>700.52817557338517</v>
      </c>
      <c r="DX56">
        <f t="shared" ca="1" si="37"/>
        <v>700.41104045546172</v>
      </c>
      <c r="DY56">
        <f t="shared" ca="1" si="37"/>
        <v>700.30297669961408</v>
      </c>
      <c r="DZ56">
        <f t="shared" ca="1" si="37"/>
        <v>700.20383831569723</v>
      </c>
      <c r="EA56">
        <f t="shared" ca="1" si="36"/>
        <v>700.1134810823188</v>
      </c>
      <c r="EB56">
        <f t="shared" ca="1" si="35"/>
        <v>700.0317625714888</v>
      </c>
      <c r="EC56">
        <f t="shared" ca="1" si="35"/>
        <v>699.95854216878649</v>
      </c>
      <c r="ED56">
        <f t="shared" ca="1" si="35"/>
        <v>699.8936810894204</v>
      </c>
      <c r="EE56">
        <f t="shared" ca="1" si="35"/>
        <v>699.83704239052463</v>
      </c>
      <c r="EF56">
        <f t="shared" ca="1" si="35"/>
        <v>699.78849098001331</v>
      </c>
      <c r="EG56">
        <f t="shared" ca="1" si="35"/>
        <v>699.74789362228807</v>
      </c>
      <c r="EH56">
        <f t="shared" ca="1" si="35"/>
        <v>699.71511894107277</v>
      </c>
      <c r="EI56">
        <f t="shared" ca="1" si="35"/>
        <v>699.69003741962729</v>
      </c>
      <c r="EJ56">
        <f t="shared" ca="1" si="35"/>
        <v>699.6725213985759</v>
      </c>
      <c r="EK56">
        <f t="shared" ca="1" si="35"/>
        <v>699.66244507156523</v>
      </c>
      <c r="EL56">
        <f t="shared" ca="1" si="35"/>
        <v>699.65968447895023</v>
      </c>
      <c r="EM56">
        <f t="shared" ca="1" si="35"/>
        <v>699.66411749969541</v>
      </c>
      <c r="EN56">
        <f t="shared" ca="1" si="35"/>
        <v>699.67562384165808</v>
      </c>
      <c r="EO56">
        <f t="shared" ca="1" si="35"/>
        <v>699.69408503041416</v>
      </c>
      <c r="EP56">
        <f t="shared" ca="1" si="35"/>
        <v>699.71938439676785</v>
      </c>
      <c r="EQ56">
        <f t="shared" ca="1" si="35"/>
        <v>699.75140706308184</v>
      </c>
      <c r="ER56">
        <f t="shared" ca="1" si="35"/>
        <v>699.7900399285495</v>
      </c>
      <c r="ES56">
        <f t="shared" ca="1" si="35"/>
        <v>699.83517165352373</v>
      </c>
      <c r="ET56">
        <f t="shared" ca="1" si="35"/>
        <v>699.88669264300597</v>
      </c>
      <c r="EU56" s="9">
        <f t="shared" ca="1" si="35"/>
        <v>699.94449502939256</v>
      </c>
    </row>
    <row r="57" spans="2:151" x14ac:dyDescent="0.25">
      <c r="B57">
        <f t="shared" ca="1" si="32"/>
        <v>1295.5486092088213</v>
      </c>
      <c r="C57">
        <f t="shared" ca="1" si="33"/>
        <v>1340.6225549092651</v>
      </c>
      <c r="D57">
        <f t="shared" ca="1" si="38"/>
        <v>1364.5072343649522</v>
      </c>
      <c r="E57">
        <f t="shared" ca="1" si="38"/>
        <v>1381.5146713197455</v>
      </c>
      <c r="F57">
        <f t="shared" ca="1" si="38"/>
        <v>1398.2694073436071</v>
      </c>
      <c r="G57">
        <f t="shared" ca="1" si="38"/>
        <v>1417.5019545164366</v>
      </c>
      <c r="H57">
        <f t="shared" ca="1" si="38"/>
        <v>1440.0194465341738</v>
      </c>
      <c r="I57">
        <f t="shared" ca="1" si="38"/>
        <v>1465.7235266892035</v>
      </c>
      <c r="J57">
        <f t="shared" ca="1" si="38"/>
        <v>1494.1301124886782</v>
      </c>
      <c r="K57">
        <f t="shared" ca="1" si="38"/>
        <v>1524.6291705525812</v>
      </c>
      <c r="L57">
        <f t="shared" ca="1" si="38"/>
        <v>1556.6094381041485</v>
      </c>
      <c r="M57">
        <f t="shared" ca="1" si="38"/>
        <v>1589.5136724326223</v>
      </c>
      <c r="N57">
        <f t="shared" ca="1" si="38"/>
        <v>1622.8588102055423</v>
      </c>
      <c r="O57">
        <f t="shared" ca="1" si="38"/>
        <v>1656.238989474105</v>
      </c>
      <c r="P57">
        <f t="shared" ca="1" si="38"/>
        <v>1689.320729800934</v>
      </c>
      <c r="Q57">
        <f t="shared" ca="1" si="38"/>
        <v>1721.8350080271048</v>
      </c>
      <c r="R57">
        <f t="shared" ca="1" si="38"/>
        <v>1753.5685758178793</v>
      </c>
      <c r="S57">
        <f t="shared" ca="1" si="38"/>
        <v>1784.3556197285966</v>
      </c>
      <c r="T57">
        <f t="shared" ca="1" si="38"/>
        <v>1814.070224892755</v>
      </c>
      <c r="U57">
        <f t="shared" ca="1" si="38"/>
        <v>1842.6197830380245</v>
      </c>
      <c r="V57">
        <f t="shared" ca="1" si="38"/>
        <v>1869.9393322761771</v>
      </c>
      <c r="W57">
        <f t="shared" ca="1" si="38"/>
        <v>1895.9867492765907</v>
      </c>
      <c r="X57">
        <f t="shared" ca="1" si="38"/>
        <v>1920.7386913035609</v>
      </c>
      <c r="Y57">
        <f t="shared" ca="1" si="38"/>
        <v>1944.1871837022732</v>
      </c>
      <c r="Z57">
        <f t="shared" ca="1" si="38"/>
        <v>1966.3367560658514</v>
      </c>
      <c r="AA57">
        <f t="shared" ca="1" si="38"/>
        <v>1987.2020415443701</v>
      </c>
      <c r="AB57">
        <f t="shared" ca="1" si="38"/>
        <v>2006.8057656317751</v>
      </c>
      <c r="AC57">
        <f t="shared" ca="1" si="38"/>
        <v>2025.1770619379186</v>
      </c>
      <c r="AD57">
        <f t="shared" ca="1" si="38"/>
        <v>2042.3500623837174</v>
      </c>
      <c r="AE57">
        <f t="shared" ca="1" si="38"/>
        <v>2058.362717816226</v>
      </c>
      <c r="AF57">
        <f t="shared" ca="1" si="38"/>
        <v>2073.2558122856426</v>
      </c>
      <c r="AG57">
        <f t="shared" ca="1" si="38"/>
        <v>2087.0721402953518</v>
      </c>
      <c r="AH57">
        <f t="shared" ca="1" si="38"/>
        <v>2099.8558213894844</v>
      </c>
      <c r="AI57">
        <f t="shared" ca="1" si="38"/>
        <v>2111.6517306368951</v>
      </c>
      <c r="AJ57">
        <f t="shared" ca="1" si="38"/>
        <v>2122.5050270475781</v>
      </c>
      <c r="AK57">
        <f t="shared" ca="1" si="38"/>
        <v>2132.4607648401293</v>
      </c>
      <c r="AL57">
        <f t="shared" ca="1" si="38"/>
        <v>2141.5635748707718</v>
      </c>
      <c r="AM57">
        <f t="shared" ca="1" si="38"/>
        <v>2149.8574055223171</v>
      </c>
      <c r="AN57">
        <f t="shared" ca="1" si="38"/>
        <v>2157.3853140067772</v>
      </c>
      <c r="AO57">
        <f t="shared" ca="1" si="38"/>
        <v>2164.189300417012</v>
      </c>
      <c r="AP57">
        <f t="shared" ca="1" si="38"/>
        <v>2170.3101780189604</v>
      </c>
      <c r="AQ57">
        <f t="shared" ca="1" si="38"/>
        <v>2175.7874742461008</v>
      </c>
      <c r="AR57">
        <f t="shared" ca="1" si="38"/>
        <v>2180.659357674012</v>
      </c>
      <c r="AS57">
        <f t="shared" ca="1" si="38"/>
        <v>2184.9625869416609</v>
      </c>
      <c r="AT57">
        <f t="shared" ca="1" si="38"/>
        <v>2188.7324781688558</v>
      </c>
      <c r="AU57">
        <f t="shared" ca="1" si="38"/>
        <v>2192.0028879138958</v>
      </c>
      <c r="AV57">
        <f t="shared" ca="1" si="38"/>
        <v>2194.8062091363181</v>
      </c>
      <c r="AW57">
        <f t="shared" ca="1" si="38"/>
        <v>2197.1733779887454</v>
      </c>
      <c r="AX57">
        <f t="shared" ca="1" si="38"/>
        <v>2199.1338895690205</v>
      </c>
      <c r="AY57" s="9">
        <f t="shared" ca="1" si="38"/>
        <v>2200.7158210272132</v>
      </c>
      <c r="AZ57">
        <f t="shared" ca="1" si="38"/>
        <v>2201.9458606484695</v>
      </c>
      <c r="BA57">
        <f t="shared" ca="1" si="38"/>
        <v>2202.849341727619</v>
      </c>
      <c r="BB57">
        <f t="shared" ca="1" si="38"/>
        <v>2203.4502802196757</v>
      </c>
      <c r="BC57">
        <f t="shared" ca="1" si="38"/>
        <v>2203.7714152957378</v>
      </c>
      <c r="BD57">
        <f t="shared" ca="1" si="38"/>
        <v>2203.8342520596266</v>
      </c>
      <c r="BE57">
        <f t="shared" ca="1" si="38"/>
        <v>2203.6591057896353</v>
      </c>
      <c r="BF57">
        <f t="shared" ca="1" si="38"/>
        <v>2203.2651471643353</v>
      </c>
      <c r="BG57">
        <f t="shared" ca="1" si="38"/>
        <v>2202.6704480134863</v>
      </c>
      <c r="BH57">
        <f t="shared" ca="1" si="38"/>
        <v>2201.8920272063879</v>
      </c>
      <c r="BI57">
        <f t="shared" ca="1" si="38"/>
        <v>2200.9458963519414</v>
      </c>
      <c r="BJ57">
        <f t="shared" ca="1" si="38"/>
        <v>2199.8471050384733</v>
      </c>
      <c r="BK57">
        <f t="shared" ca="1" si="38"/>
        <v>2198.6097853880715</v>
      </c>
      <c r="BL57">
        <f t="shared" ca="1" si="38"/>
        <v>2197.2471957407101</v>
      </c>
      <c r="BM57">
        <f t="shared" ca="1" si="38"/>
        <v>2195.7717633185575</v>
      </c>
      <c r="BN57">
        <f t="shared" ca="1" si="38"/>
        <v>2194.195125751271</v>
      </c>
      <c r="BO57">
        <f t="shared" ca="1" si="38"/>
        <v>2192.5281713693644</v>
      </c>
      <c r="BP57">
        <f t="shared" ca="1" si="37"/>
        <v>2190.7810781953958</v>
      </c>
      <c r="BQ57">
        <f t="shared" ca="1" si="37"/>
        <v>2188.9633515822252</v>
      </c>
      <c r="BR57">
        <f t="shared" ca="1" si="37"/>
        <v>2187.0838604643159</v>
      </c>
      <c r="BS57">
        <f t="shared" ca="1" si="37"/>
        <v>2185.1508722023427</v>
      </c>
      <c r="BT57">
        <f t="shared" ca="1" si="37"/>
        <v>2183.1720860135351</v>
      </c>
      <c r="BU57">
        <f t="shared" ca="1" si="37"/>
        <v>2181.1546649904753</v>
      </c>
      <c r="BV57">
        <f t="shared" ca="1" si="37"/>
        <v>2179.1052667197337</v>
      </c>
      <c r="BW57">
        <f t="shared" ca="1" si="37"/>
        <v>2177.0300725189486</v>
      </c>
      <c r="BX57">
        <f t="shared" ca="1" si="37"/>
        <v>2174.9348153169499</v>
      </c>
      <c r="BY57">
        <f t="shared" ca="1" si="37"/>
        <v>2172.824806206404</v>
      </c>
      <c r="BZ57">
        <f t="shared" ca="1" si="37"/>
        <v>2170.7049597024088</v>
      </c>
      <c r="CA57">
        <f t="shared" ca="1" si="37"/>
        <v>2168.5798177435822</v>
      </c>
      <c r="CB57">
        <f t="shared" ca="1" si="37"/>
        <v>2166.4535724745838</v>
      </c>
      <c r="CC57">
        <f t="shared" ca="1" si="37"/>
        <v>2164.3300878507962</v>
      </c>
      <c r="CD57">
        <f t="shared" ca="1" si="37"/>
        <v>2162.212920107133</v>
      </c>
      <c r="CE57">
        <f t="shared" ca="1" si="37"/>
        <v>2160.1053371337289</v>
      </c>
      <c r="CF57">
        <f t="shared" ca="1" si="37"/>
        <v>2158.0103368016657</v>
      </c>
      <c r="CG57">
        <f t="shared" ca="1" si="37"/>
        <v>2155.9306642819402</v>
      </c>
      <c r="CH57">
        <f t="shared" ca="1" si="37"/>
        <v>2153.8688284006598</v>
      </c>
      <c r="CI57">
        <f t="shared" ca="1" si="37"/>
        <v>2151.8271170729922</v>
      </c>
      <c r="CJ57">
        <f t="shared" ca="1" si="37"/>
        <v>2149.8076118577283</v>
      </c>
      <c r="CK57">
        <f t="shared" ca="1" si="37"/>
        <v>2147.8122016734987</v>
      </c>
      <c r="CL57">
        <f t="shared" ca="1" si="37"/>
        <v>2145.8425957167265</v>
      </c>
      <c r="CM57">
        <f t="shared" ca="1" si="37"/>
        <v>2143.900335620328</v>
      </c>
      <c r="CN57">
        <f t="shared" ca="1" si="37"/>
        <v>2141.9868068910346</v>
      </c>
      <c r="CO57">
        <f t="shared" ca="1" si="37"/>
        <v>2140.103249661991</v>
      </c>
      <c r="CP57">
        <f t="shared" ca="1" si="37"/>
        <v>2138.250768796026</v>
      </c>
      <c r="CQ57">
        <f t="shared" ca="1" si="37"/>
        <v>2136.4303433737068</v>
      </c>
      <c r="CR57">
        <f t="shared" ca="1" si="37"/>
        <v>2134.642835598981</v>
      </c>
      <c r="CS57">
        <f t="shared" ca="1" si="37"/>
        <v>2132.888999153889</v>
      </c>
      <c r="CT57">
        <f t="shared" ca="1" si="37"/>
        <v>2131.1694870325227</v>
      </c>
      <c r="CU57">
        <f t="shared" ca="1" si="37"/>
        <v>2129.4848588831051</v>
      </c>
      <c r="CV57">
        <f t="shared" ca="1" si="37"/>
        <v>2127.8355878857706</v>
      </c>
      <c r="CW57" s="9">
        <f t="shared" ca="1" si="37"/>
        <v>2126.2220671923751</v>
      </c>
      <c r="CX57">
        <f t="shared" ca="1" si="37"/>
        <v>2124.6446159534139</v>
      </c>
      <c r="CY57">
        <f t="shared" ca="1" si="37"/>
        <v>2123.1034849559323</v>
      </c>
      <c r="CZ57">
        <f t="shared" ca="1" si="37"/>
        <v>2121.5988618951314</v>
      </c>
      <c r="DA57">
        <f t="shared" ca="1" si="37"/>
        <v>2120.1308763012385</v>
      </c>
      <c r="DB57">
        <f t="shared" ca="1" si="37"/>
        <v>2118.6996041421121</v>
      </c>
      <c r="DC57">
        <f t="shared" ca="1" si="37"/>
        <v>2117.3050721209875</v>
      </c>
      <c r="DD57">
        <f t="shared" ca="1" si="37"/>
        <v>2115.9472616877488</v>
      </c>
      <c r="DE57">
        <f t="shared" ca="1" si="37"/>
        <v>2114.626112781134</v>
      </c>
      <c r="DF57">
        <f t="shared" ca="1" si="37"/>
        <v>2113.3415273183314</v>
      </c>
      <c r="DG57">
        <f t="shared" ca="1" si="37"/>
        <v>2112.0933724475281</v>
      </c>
      <c r="DH57">
        <f t="shared" ca="1" si="37"/>
        <v>2110.8814835781095</v>
      </c>
      <c r="DI57">
        <f t="shared" ca="1" si="37"/>
        <v>2109.7056672023778</v>
      </c>
      <c r="DJ57">
        <f t="shared" ca="1" si="37"/>
        <v>2108.565703521881</v>
      </c>
      <c r="DK57">
        <f t="shared" ca="1" si="37"/>
        <v>2107.4613488906857</v>
      </c>
      <c r="DL57">
        <f t="shared" ca="1" si="37"/>
        <v>2106.3923380872211</v>
      </c>
      <c r="DM57">
        <f t="shared" ca="1" si="37"/>
        <v>2105.3583864256416</v>
      </c>
      <c r="DN57">
        <f t="shared" ca="1" si="37"/>
        <v>2104.3591917170111</v>
      </c>
      <c r="DO57">
        <f t="shared" ca="1" si="37"/>
        <v>2103.3944360900045</v>
      </c>
      <c r="DP57">
        <f t="shared" ca="1" si="37"/>
        <v>2102.4637876802426</v>
      </c>
      <c r="DQ57">
        <f t="shared" ca="1" si="37"/>
        <v>2101.5669021968238</v>
      </c>
      <c r="DR57">
        <f t="shared" ca="1" si="37"/>
        <v>2100.7034243741073</v>
      </c>
      <c r="DS57">
        <f t="shared" ca="1" si="37"/>
        <v>2099.8729893163013</v>
      </c>
      <c r="DT57">
        <f t="shared" ca="1" si="37"/>
        <v>2099.0752237419533</v>
      </c>
      <c r="DU57">
        <f t="shared" ca="1" si="37"/>
        <v>2098.3097471350002</v>
      </c>
      <c r="DV57">
        <f t="shared" ca="1" si="37"/>
        <v>2097.5761728086209</v>
      </c>
      <c r="DW57">
        <f t="shared" ca="1" si="37"/>
        <v>2096.8741088877459</v>
      </c>
      <c r="DX57">
        <f t="shared" ca="1" si="37"/>
        <v>2096.2031592157118</v>
      </c>
      <c r="DY57">
        <f t="shared" ca="1" si="37"/>
        <v>2095.5629241901984</v>
      </c>
      <c r="DZ57">
        <f t="shared" ca="1" si="37"/>
        <v>2094.9530015332698</v>
      </c>
      <c r="EA57">
        <f t="shared" ca="1" si="36"/>
        <v>2094.3729870000175</v>
      </c>
      <c r="EB57">
        <f t="shared" ca="1" si="35"/>
        <v>2093.8224750300342</v>
      </c>
      <c r="EC57">
        <f t="shared" ca="1" si="35"/>
        <v>2093.3010593456615</v>
      </c>
      <c r="ED57">
        <f t="shared" ca="1" si="35"/>
        <v>2092.8083335007041</v>
      </c>
      <c r="EE57">
        <f t="shared" ca="1" si="35"/>
        <v>2092.343891383066</v>
      </c>
      <c r="EF57">
        <f t="shared" ca="1" si="35"/>
        <v>2091.9073276745344</v>
      </c>
      <c r="EG57">
        <f t="shared" ca="1" si="35"/>
        <v>2091.4982382707308</v>
      </c>
      <c r="EH57">
        <f t="shared" ca="1" si="35"/>
        <v>2091.1162206640438</v>
      </c>
      <c r="EI57">
        <f t="shared" ca="1" si="35"/>
        <v>2090.7608742921807</v>
      </c>
      <c r="EJ57">
        <f t="shared" ca="1" si="35"/>
        <v>2090.4318008547943</v>
      </c>
      <c r="EK57">
        <f t="shared" ca="1" si="35"/>
        <v>2090.128604600477</v>
      </c>
      <c r="EL57">
        <f t="shared" ca="1" si="35"/>
        <v>2089.8508925862693</v>
      </c>
      <c r="EM57">
        <f t="shared" ca="1" si="35"/>
        <v>2089.5982749116743</v>
      </c>
      <c r="EN57">
        <f t="shared" ca="1" si="35"/>
        <v>2089.3703649290478</v>
      </c>
      <c r="EO57">
        <f t="shared" ca="1" si="35"/>
        <v>2089.1667794320983</v>
      </c>
      <c r="EP57">
        <f t="shared" ca="1" si="35"/>
        <v>2088.9871388241186</v>
      </c>
      <c r="EQ57">
        <f t="shared" ca="1" si="35"/>
        <v>2088.831067267457</v>
      </c>
      <c r="ER57">
        <f t="shared" ca="1" si="35"/>
        <v>2088.6981928156392</v>
      </c>
      <c r="ES57">
        <f t="shared" ca="1" si="35"/>
        <v>2088.5881475294464</v>
      </c>
      <c r="ET57">
        <f t="shared" ca="1" si="35"/>
        <v>2088.5005675781745</v>
      </c>
      <c r="EU57" s="9">
        <f t="shared" ca="1" si="35"/>
        <v>2088.4350933272099</v>
      </c>
    </row>
    <row r="61" spans="2:151" x14ac:dyDescent="0.25">
      <c r="B61" t="s">
        <v>17</v>
      </c>
    </row>
    <row r="62" spans="2:151" x14ac:dyDescent="0.25">
      <c r="B62" s="6"/>
      <c r="C62" s="6"/>
      <c r="D62" s="7"/>
      <c r="E62" s="6"/>
      <c r="F62" s="7"/>
      <c r="G62" s="7"/>
      <c r="H62" s="7"/>
      <c r="I62" s="7"/>
      <c r="J62" s="7"/>
      <c r="K62" s="7"/>
    </row>
    <row r="63" spans="2:151" x14ac:dyDescent="0.25">
      <c r="B63" s="7"/>
      <c r="C63" s="7"/>
      <c r="D63" s="7"/>
      <c r="E63" s="7"/>
      <c r="F63" s="7"/>
      <c r="G63" s="7"/>
      <c r="H63" s="7"/>
      <c r="I63" s="7"/>
      <c r="J63" s="7"/>
      <c r="K63" s="6"/>
    </row>
    <row r="64" spans="2:151" x14ac:dyDescent="0.25">
      <c r="B64" s="7"/>
      <c r="C64" s="7"/>
      <c r="D64" s="7"/>
      <c r="E64" s="7"/>
      <c r="F64" s="7"/>
      <c r="G64" s="7"/>
      <c r="H64" s="7"/>
      <c r="I64" s="7"/>
      <c r="J64" s="7"/>
      <c r="K64" s="7"/>
    </row>
    <row r="65" spans="2:11" x14ac:dyDescent="0.25">
      <c r="B65" s="7"/>
      <c r="C65" s="7"/>
      <c r="D65" s="7"/>
      <c r="E65" s="7"/>
      <c r="F65" s="7"/>
      <c r="G65" s="7"/>
      <c r="H65" s="7"/>
      <c r="I65" s="7"/>
      <c r="J65" s="7"/>
      <c r="K65" s="7"/>
    </row>
    <row r="66" spans="2:11" x14ac:dyDescent="0.25">
      <c r="B66" s="7"/>
      <c r="C66" s="7"/>
      <c r="D66" s="7"/>
      <c r="E66" s="7"/>
      <c r="F66" s="7"/>
      <c r="G66" s="7"/>
      <c r="H66" s="7"/>
      <c r="I66" s="7"/>
      <c r="J66" s="7"/>
      <c r="K66" s="7"/>
    </row>
    <row r="67" spans="2:11" x14ac:dyDescent="0.25">
      <c r="B67" s="7"/>
      <c r="C67" s="7"/>
      <c r="D67" s="7"/>
      <c r="E67" s="7"/>
      <c r="F67" s="7"/>
      <c r="G67" s="7"/>
      <c r="H67" s="7"/>
      <c r="I67" s="7"/>
      <c r="J67" s="7"/>
      <c r="K67" s="7"/>
    </row>
    <row r="68" spans="2:11" x14ac:dyDescent="0.25">
      <c r="B68" s="7"/>
      <c r="C68" s="7"/>
      <c r="D68" s="7"/>
      <c r="E68" s="7"/>
      <c r="F68" s="7"/>
      <c r="G68" s="7"/>
      <c r="H68" s="7"/>
      <c r="I68" s="7"/>
      <c r="J68" s="7"/>
      <c r="K68" s="7"/>
    </row>
    <row r="69" spans="2:11" x14ac:dyDescent="0.25">
      <c r="B69" s="7"/>
      <c r="C69" s="7"/>
      <c r="D69" s="7"/>
      <c r="E69" s="7"/>
      <c r="F69" s="7"/>
      <c r="G69" s="7"/>
      <c r="H69" s="7"/>
      <c r="I69" s="7"/>
      <c r="J69" s="7"/>
      <c r="K69" s="7"/>
    </row>
    <row r="70" spans="2:11" x14ac:dyDescent="0.25">
      <c r="B70" s="7"/>
      <c r="C70" s="7"/>
      <c r="D70" s="7"/>
      <c r="E70" s="7"/>
      <c r="F70" s="7"/>
      <c r="G70" s="7"/>
      <c r="H70" s="7"/>
      <c r="I70" s="7"/>
      <c r="J70" s="7"/>
      <c r="K70" s="7"/>
    </row>
    <row r="71" spans="2:11" x14ac:dyDescent="0.25">
      <c r="B71" s="7"/>
      <c r="C71" s="7"/>
      <c r="D71" s="7"/>
      <c r="E71" s="7"/>
      <c r="F71" s="7"/>
      <c r="G71" s="7"/>
      <c r="H71" s="7"/>
      <c r="I71" s="7"/>
      <c r="J71" s="7"/>
      <c r="K71" s="7"/>
    </row>
    <row r="72" spans="2:11" x14ac:dyDescent="0.25">
      <c r="B72" s="7"/>
      <c r="C72" s="7"/>
      <c r="D72" s="7"/>
      <c r="E72" s="7"/>
      <c r="F72" s="7"/>
      <c r="G72" s="7"/>
      <c r="H72" s="7"/>
      <c r="I72" s="7"/>
      <c r="J72" s="7"/>
      <c r="K72" s="7"/>
    </row>
  </sheetData>
  <pageMargins left="0.75" right="0.75" top="1" bottom="1" header="0.5" footer="0.5"/>
  <pageSetup orientation="portrait" horizontalDpi="4294967292" verticalDpi="4294967292"/>
  <ignoredErrors>
    <ignoredError sqref="R10 S11" formula="1"/>
  </ignoredErrors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Fossil 50 Years</vt:lpstr>
      <vt:lpstr>Terrestrial life 50 years</vt:lpstr>
      <vt:lpstr>Marine Life 50 years</vt:lpstr>
      <vt:lpstr>Atmosphere 50 Years </vt:lpstr>
      <vt:lpstr>Detritus 50 Years</vt:lpstr>
      <vt:lpstr>Detritus  100 yrs</vt:lpstr>
      <vt:lpstr>Terrestrial 100 yrs</vt:lpstr>
      <vt:lpstr>Fossil 100 yrs</vt:lpstr>
      <vt:lpstr>Marine Life 100 yrs</vt:lpstr>
      <vt:lpstr>Atmosphere 100 yrs</vt:lpstr>
      <vt:lpstr>Atmosphere 150 yrs</vt:lpstr>
      <vt:lpstr>Marine Biota 150 yrs</vt:lpstr>
      <vt:lpstr>Fossil 150 yrs</vt:lpstr>
      <vt:lpstr>Terrestrial Life 150 yrs</vt:lpstr>
      <vt:lpstr>Destritus 150 yrs</vt:lpstr>
      <vt:lpstr>MCMC Projection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Samuel Robert Showalter</dc:creator>
  <cp:lastModifiedBy>depauw</cp:lastModifiedBy>
  <dcterms:created xsi:type="dcterms:W3CDTF">2015-10-16T23:27:29Z</dcterms:created>
  <dcterms:modified xsi:type="dcterms:W3CDTF">2016-09-22T23:28:48Z</dcterms:modified>
</cp:coreProperties>
</file>